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drawings/drawing3.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drawings/drawing4.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drawings/drawing5.xml" ContentType="application/vnd.openxmlformats-officedocument.drawing+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drawings/drawing6.xml" ContentType="application/vnd.openxmlformats-officedocument.drawing+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harts/chart11.xml" ContentType="application/vnd.openxmlformats-officedocument.drawingml.chart+xml"/>
  <Override PartName="/xl/charts/style6.xml" ContentType="application/vnd.ms-office.chartstyle+xml"/>
  <Override PartName="/xl/charts/colors6.xml" ContentType="application/vnd.ms-office.chartcolorstyle+xml"/>
  <Override PartName="/xl/charts/chart12.xml" ContentType="application/vnd.openxmlformats-officedocument.drawingml.chart+xml"/>
  <Override PartName="/xl/drawings/drawing7.xml" ContentType="application/vnd.openxmlformats-officedocument.drawing+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charts/chart14.xml" ContentType="application/vnd.openxmlformats-officedocument.drawingml.chart+xml"/>
  <Override PartName="/xl/drawings/drawing8.xml" ContentType="application/vnd.openxmlformats-officedocument.drawing+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harts/chart15.xml" ContentType="application/vnd.openxmlformats-officedocument.drawingml.chart+xml"/>
  <Override PartName="/xl/charts/style8.xml" ContentType="application/vnd.ms-office.chartstyle+xml"/>
  <Override PartName="/xl/charts/colors8.xml" ContentType="application/vnd.ms-office.chartcolorstyle+xml"/>
  <Override PartName="/xl/charts/chart16.xml" ContentType="application/vnd.openxmlformats-officedocument.drawingml.chart+xml"/>
  <Override PartName="/xl/drawings/drawing9.xml" ContentType="application/vnd.openxmlformats-officedocument.drawing+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charts/chart18.xml" ContentType="application/vnd.openxmlformats-officedocument.drawingml.chart+xml"/>
  <Override PartName="/xl/drawings/drawing10.xml" ContentType="application/vnd.openxmlformats-officedocument.drawing+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harts/chart19.xml" ContentType="application/vnd.openxmlformats-officedocument.drawingml.chart+xml"/>
  <Override PartName="/xl/charts/style10.xml" ContentType="application/vnd.ms-office.chartstyle+xml"/>
  <Override PartName="/xl/charts/colors10.xml" ContentType="application/vnd.ms-office.chartcolorstyle+xml"/>
  <Override PartName="/xl/charts/chart20.xml" ContentType="application/vnd.openxmlformats-officedocument.drawingml.chart+xml"/>
  <Override PartName="/xl/drawings/drawing11.xml" ContentType="application/vnd.openxmlformats-officedocument.drawing+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harts/chart21.xml" ContentType="application/vnd.openxmlformats-officedocument.drawingml.chart+xml"/>
  <Override PartName="/xl/charts/style11.xml" ContentType="application/vnd.ms-office.chartstyle+xml"/>
  <Override PartName="/xl/charts/colors11.xml" ContentType="application/vnd.ms-office.chartcolorstyle+xml"/>
  <Override PartName="/xl/charts/chart22.xml" ContentType="application/vnd.openxmlformats-officedocument.drawingml.chart+xml"/>
  <Override PartName="/xl/drawings/drawing12.xml" ContentType="application/vnd.openxmlformats-officedocument.drawing+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harts/chart23.xml" ContentType="application/vnd.openxmlformats-officedocument.drawingml.chart+xml"/>
  <Override PartName="/xl/charts/style12.xml" ContentType="application/vnd.ms-office.chartstyle+xml"/>
  <Override PartName="/xl/charts/colors12.xml" ContentType="application/vnd.ms-office.chartcolorstyle+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drawings/drawing13.xml" ContentType="application/vnd.openxmlformats-officedocument.drawing+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harts/chart28.xml" ContentType="application/vnd.openxmlformats-officedocument.drawingml.chart+xml"/>
  <Override PartName="/xl/charts/style13.xml" ContentType="application/vnd.ms-office.chartstyle+xml"/>
  <Override PartName="/xl/charts/colors13.xml" ContentType="application/vnd.ms-office.chartcolorstyle+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drawings/drawing14.xml" ContentType="application/vnd.openxmlformats-officedocument.drawing+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harts/chart33.xml" ContentType="application/vnd.openxmlformats-officedocument.drawingml.chart+xml"/>
  <Override PartName="/xl/charts/style14.xml" ContentType="application/vnd.ms-office.chartstyle+xml"/>
  <Override PartName="/xl/charts/colors14.xml" ContentType="application/vnd.ms-office.chartcolorstyle+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15.xml" ContentType="application/vnd.openxmlformats-officedocument.drawing+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harts/chart38.xml" ContentType="application/vnd.openxmlformats-officedocument.drawingml.chart+xml"/>
  <Override PartName="/xl/charts/style15.xml" ContentType="application/vnd.ms-office.chartstyle+xml"/>
  <Override PartName="/xl/charts/colors15.xml" ContentType="application/vnd.ms-office.chartcolorstyle+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16.xml" ContentType="application/vnd.openxmlformats-officedocument.drawing+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harts/chart43.xml" ContentType="application/vnd.openxmlformats-officedocument.drawingml.chart+xml"/>
  <Override PartName="/xl/charts/style16.xml" ContentType="application/vnd.ms-office.chartstyle+xml"/>
  <Override PartName="/xl/charts/colors16.xml" ContentType="application/vnd.ms-office.chartcolorstyle+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drawings/drawing17.xml" ContentType="application/vnd.openxmlformats-officedocument.drawing+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harts/chart48.xml" ContentType="application/vnd.openxmlformats-officedocument.drawingml.chart+xml"/>
  <Override PartName="/xl/charts/style17.xml" ContentType="application/vnd.ms-office.chartstyle+xml"/>
  <Override PartName="/xl/charts/colors17.xml" ContentType="application/vnd.ms-office.chartcolorstyle+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drawings/drawing18.xml" ContentType="application/vnd.openxmlformats-officedocument.drawing+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harts/chart53.xml" ContentType="application/vnd.openxmlformats-officedocument.drawingml.chart+xml"/>
  <Override PartName="/xl/charts/style18.xml" ContentType="application/vnd.ms-office.chartstyle+xml"/>
  <Override PartName="/xl/charts/colors18.xml" ContentType="application/vnd.ms-office.chartcolorstyle+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drawings/drawing19.xml" ContentType="application/vnd.openxmlformats-officedocument.drawing+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harts/chart58.xml" ContentType="application/vnd.openxmlformats-officedocument.drawingml.chart+xml"/>
  <Override PartName="/xl/charts/style19.xml" ContentType="application/vnd.ms-office.chartstyle+xml"/>
  <Override PartName="/xl/charts/colors19.xml" ContentType="application/vnd.ms-office.chartcolorstyle+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drawings/drawing20.xml" ContentType="application/vnd.openxmlformats-officedocument.drawing+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harts/chart63.xml" ContentType="application/vnd.openxmlformats-officedocument.drawingml.chart+xml"/>
  <Override PartName="/xl/charts/style20.xml" ContentType="application/vnd.ms-office.chartstyle+xml"/>
  <Override PartName="/xl/charts/colors20.xml" ContentType="application/vnd.ms-office.chartcolorstyle+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drawings/drawing21.xml" ContentType="application/vnd.openxmlformats-officedocument.drawing+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harts/chart68.xml" ContentType="application/vnd.openxmlformats-officedocument.drawingml.chart+xml"/>
  <Override PartName="/xl/charts/style21.xml" ContentType="application/vnd.ms-office.chartstyle+xml"/>
  <Override PartName="/xl/charts/colors21.xml" ContentType="application/vnd.ms-office.chartcolorstyle+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drawings/drawing22.xml" ContentType="application/vnd.openxmlformats-officedocument.drawing+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harts/chart73.xml" ContentType="application/vnd.openxmlformats-officedocument.drawingml.chart+xml"/>
  <Override PartName="/xl/charts/style22.xml" ContentType="application/vnd.ms-office.chartstyle+xml"/>
  <Override PartName="/xl/charts/colors22.xml" ContentType="application/vnd.ms-office.chartcolorstyle+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drawings/drawing23.xml" ContentType="application/vnd.openxmlformats-officedocument.drawing+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style23.xml" ContentType="application/vnd.ms-office.chartstyle+xml"/>
  <Override PartName="/xl/charts/colors23.xml" ContentType="application/vnd.ms-office.chartcolorstyle+xml"/>
  <Override PartName="/xl/charts/chart82.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24.xml" ContentType="application/vnd.openxmlformats-officedocument.drawing+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style25.xml" ContentType="application/vnd.ms-office.chartstyle+xml"/>
  <Override PartName="/xl/charts/colors25.xml" ContentType="application/vnd.ms-office.chartcolorstyle+xml"/>
  <Override PartName="/xl/charts/chart87.xml" ContentType="application/vnd.openxmlformats-officedocument.drawingml.chart+xml"/>
  <Override PartName="/xl/charts/style26.xml" ContentType="application/vnd.ms-office.chartstyle+xml"/>
  <Override PartName="/xl/charts/colors2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C:\Users\Flo\Downloads\"/>
    </mc:Choice>
  </mc:AlternateContent>
  <bookViews>
    <workbookView xWindow="0" yWindow="0" windowWidth="28800" windowHeight="11865" activeTab="2"/>
  </bookViews>
  <sheets>
    <sheet name="Food_Index" sheetId="31" r:id="rId1"/>
    <sheet name="RPE_1RM" sheetId="32" r:id="rId2"/>
    <sheet name="Training" sheetId="4" r:id="rId3"/>
    <sheet name="Eaten Day1" sheetId="3" state="hidden" r:id="rId4"/>
    <sheet name="Eaten D2" sheetId="7" state="hidden" r:id="rId5"/>
    <sheet name="Eaten D3" sheetId="8" state="hidden" r:id="rId6"/>
    <sheet name="Eaten D4" sheetId="9" state="hidden" r:id="rId7"/>
    <sheet name="Eaten D5" sheetId="10" state="hidden" r:id="rId8"/>
    <sheet name="Eaten D6" sheetId="11" state="hidden" r:id="rId9"/>
    <sheet name="Eaten D7" sheetId="12" state="hidden" r:id="rId10"/>
    <sheet name="Eaten D8" sheetId="13" state="hidden" r:id="rId11"/>
    <sheet name="Eaten D9" sheetId="14" state="hidden" r:id="rId12"/>
    <sheet name="Eaten D10" sheetId="15" state="hidden" r:id="rId13"/>
    <sheet name="Eaten D11" sheetId="16" state="hidden" r:id="rId14"/>
    <sheet name="Eaten D12" sheetId="17" state="hidden" r:id="rId15"/>
    <sheet name="Eaten D13" sheetId="18" state="hidden" r:id="rId16"/>
    <sheet name="Eaten D14" sheetId="19" state="hidden" r:id="rId17"/>
    <sheet name="Eaten D15" sheetId="20" state="hidden" r:id="rId18"/>
    <sheet name="Eaten D16" sheetId="21" state="hidden" r:id="rId19"/>
    <sheet name="Eaten D17" sheetId="22" state="hidden" r:id="rId20"/>
    <sheet name="Eaten D18" sheetId="23" state="hidden" r:id="rId21"/>
    <sheet name="Eaten D19" sheetId="24" state="hidden" r:id="rId22"/>
    <sheet name="Eaten D20" sheetId="25" state="hidden" r:id="rId23"/>
    <sheet name="Eaten D21" sheetId="26" state="hidden" r:id="rId24"/>
    <sheet name="Eaten D22" sheetId="27" state="hidden" r:id="rId25"/>
    <sheet name="Prot" sheetId="33" r:id="rId26"/>
    <sheet name="Food_Log" sheetId="36" r:id="rId27"/>
    <sheet name="Food_Log (1)" sheetId="37" r:id="rId28"/>
    <sheet name="BW" sheetId="35" r:id="rId29"/>
  </sheets>
  <definedNames>
    <definedName name="Food" localSheetId="0">Food_Index!$B$4</definedName>
    <definedName name="FoodIdx" localSheetId="26">OFFSET(Food_Index!Food,0,0,COUNTA(FoodList)-1,1)</definedName>
    <definedName name="FoodIdx" localSheetId="27">#N/A</definedName>
    <definedName name="FoodList" localSheetId="0">OFFSET(Food_Index!$B$4,,,COUNTA(Food_Index!$B:$B)-1)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 i="36" l="1"/>
  <c r="G47" i="37" l="1"/>
  <c r="I46" i="37"/>
  <c r="I47" i="37" s="1"/>
  <c r="H46" i="37"/>
  <c r="H47" i="37" s="1"/>
  <c r="G46" i="37"/>
  <c r="J46" i="37" s="1"/>
  <c r="I45" i="37"/>
  <c r="H45" i="37"/>
  <c r="G45" i="37"/>
  <c r="I44" i="37"/>
  <c r="H44" i="37"/>
  <c r="G44" i="37"/>
  <c r="N43" i="37"/>
  <c r="N45" i="37" s="1"/>
  <c r="M43" i="37"/>
  <c r="M45" i="37" s="1"/>
  <c r="L43" i="37"/>
  <c r="L45" i="37" s="1"/>
  <c r="N41" i="37"/>
  <c r="M41" i="37"/>
  <c r="L41" i="37"/>
  <c r="J37" i="37"/>
  <c r="J36" i="37"/>
  <c r="G36" i="37"/>
  <c r="J35" i="37"/>
  <c r="H35" i="37"/>
  <c r="J34" i="37"/>
  <c r="J32" i="37"/>
  <c r="G32" i="37"/>
  <c r="J31" i="37"/>
  <c r="J27" i="37"/>
  <c r="J26" i="37"/>
  <c r="J24" i="37"/>
  <c r="H24" i="37"/>
  <c r="J23" i="37"/>
  <c r="H23" i="37"/>
  <c r="G23" i="37"/>
  <c r="F23" i="37"/>
  <c r="G20" i="37"/>
  <c r="J18" i="37"/>
  <c r="J16" i="37"/>
  <c r="J15" i="37"/>
  <c r="J14" i="37"/>
  <c r="H14" i="37"/>
  <c r="J13" i="37"/>
  <c r="G13" i="37"/>
  <c r="J12" i="37"/>
  <c r="L11" i="37"/>
  <c r="L10" i="37"/>
  <c r="H9" i="37"/>
  <c r="G9" i="37"/>
  <c r="F9" i="37"/>
  <c r="E8" i="37"/>
  <c r="J7" i="37"/>
  <c r="E6" i="37"/>
  <c r="J6" i="37" s="1"/>
  <c r="E5" i="37"/>
  <c r="I9" i="37" l="1"/>
  <c r="J44" i="37"/>
  <c r="J45" i="37"/>
  <c r="J8" i="37"/>
  <c r="I23" i="37"/>
  <c r="O41" i="37"/>
  <c r="J5" i="37"/>
  <c r="O43" i="37"/>
  <c r="M41" i="36"/>
  <c r="N41" i="36"/>
  <c r="G47" i="36"/>
  <c r="I46" i="36"/>
  <c r="I47" i="36" s="1"/>
  <c r="H46" i="36"/>
  <c r="H47" i="36" s="1"/>
  <c r="G46" i="36"/>
  <c r="J46" i="36" s="1"/>
  <c r="I45" i="36"/>
  <c r="J45" i="36" s="1"/>
  <c r="H45" i="36"/>
  <c r="G45" i="36"/>
  <c r="I44" i="36"/>
  <c r="H44" i="36"/>
  <c r="G44" i="36"/>
  <c r="J44" i="36" s="1"/>
  <c r="N43" i="36"/>
  <c r="N45" i="36" s="1"/>
  <c r="M43" i="36"/>
  <c r="M45" i="36" s="1"/>
  <c r="L43" i="36"/>
  <c r="L45" i="36" s="1"/>
  <c r="L41" i="36"/>
  <c r="J37" i="36"/>
  <c r="J36" i="36"/>
  <c r="G36" i="36"/>
  <c r="J35" i="36"/>
  <c r="H35" i="36"/>
  <c r="J34" i="36"/>
  <c r="J32" i="36"/>
  <c r="G32" i="36"/>
  <c r="J31" i="36"/>
  <c r="J27" i="36"/>
  <c r="J26" i="36"/>
  <c r="J24" i="36"/>
  <c r="H24" i="36"/>
  <c r="J23" i="36"/>
  <c r="H23" i="36"/>
  <c r="G23" i="36"/>
  <c r="F23" i="36"/>
  <c r="G20" i="36"/>
  <c r="J18" i="36"/>
  <c r="J16" i="36"/>
  <c r="J15" i="36"/>
  <c r="J14" i="36"/>
  <c r="H14" i="36"/>
  <c r="J13" i="36"/>
  <c r="G13" i="36"/>
  <c r="J12" i="36"/>
  <c r="L11" i="36"/>
  <c r="L10" i="36"/>
  <c r="H9" i="36"/>
  <c r="G9" i="36"/>
  <c r="F9" i="36"/>
  <c r="I9" i="36" s="1"/>
  <c r="E8" i="36"/>
  <c r="J8" i="36" s="1"/>
  <c r="J7" i="36"/>
  <c r="J6" i="36"/>
  <c r="E5" i="36"/>
  <c r="J5" i="36" s="1"/>
  <c r="E93" i="31"/>
  <c r="D93" i="31"/>
  <c r="C93" i="31"/>
  <c r="O41" i="36" l="1"/>
  <c r="O43" i="36"/>
  <c r="I23" i="36"/>
  <c r="E92" i="31" l="1"/>
  <c r="D92" i="31"/>
  <c r="C92" i="31"/>
  <c r="E91" i="31" l="1"/>
  <c r="D91" i="31"/>
  <c r="C91" i="31"/>
  <c r="AA29" i="32"/>
  <c r="Z29" i="32"/>
  <c r="Y29" i="32"/>
  <c r="X29" i="32"/>
  <c r="W29" i="32"/>
  <c r="V29" i="32"/>
  <c r="U29" i="32"/>
  <c r="T29" i="32"/>
  <c r="S29" i="32"/>
  <c r="R29" i="32"/>
  <c r="Q29" i="32"/>
  <c r="P29" i="32"/>
  <c r="O29" i="32"/>
  <c r="N29" i="32"/>
  <c r="AA27" i="32"/>
  <c r="Z27" i="32"/>
  <c r="Y27" i="32"/>
  <c r="X27" i="32"/>
  <c r="W27" i="32"/>
  <c r="V27" i="32"/>
  <c r="U27" i="32"/>
  <c r="T27" i="32"/>
  <c r="S27" i="32"/>
  <c r="R27" i="32"/>
  <c r="Q27" i="32"/>
  <c r="P27" i="32"/>
  <c r="O27" i="32"/>
  <c r="N27" i="32"/>
  <c r="C80" i="31"/>
  <c r="E80" i="31"/>
  <c r="H36" i="37" l="1"/>
  <c r="H36" i="36"/>
  <c r="F36" i="37"/>
  <c r="I36" i="37" s="1"/>
  <c r="F36" i="36"/>
  <c r="I36" i="36" s="1"/>
  <c r="C90" i="31"/>
  <c r="D90" i="31"/>
  <c r="E90" i="31"/>
  <c r="F16" i="31" l="1"/>
  <c r="E16" i="31"/>
  <c r="D16" i="31"/>
  <c r="C16" i="31"/>
  <c r="AA25" i="32" l="1"/>
  <c r="Z25" i="32"/>
  <c r="Y25" i="32"/>
  <c r="X25" i="32"/>
  <c r="W25" i="32"/>
  <c r="V25" i="32"/>
  <c r="U25" i="32"/>
  <c r="T25" i="32"/>
  <c r="S25" i="32"/>
  <c r="R25" i="32"/>
  <c r="Q25" i="32"/>
  <c r="P25" i="32"/>
  <c r="O25" i="32"/>
  <c r="N25" i="32"/>
  <c r="N23" i="32"/>
  <c r="O23" i="32"/>
  <c r="P23" i="32"/>
  <c r="Q23" i="32"/>
  <c r="R23" i="32"/>
  <c r="S23" i="32"/>
  <c r="T23" i="32"/>
  <c r="U23" i="32"/>
  <c r="V23" i="32"/>
  <c r="W23" i="32"/>
  <c r="X23" i="32"/>
  <c r="Y23" i="32"/>
  <c r="Z23" i="32"/>
  <c r="AA23" i="32"/>
  <c r="E58" i="31" l="1"/>
  <c r="D58" i="31"/>
  <c r="C58" i="31"/>
  <c r="E74" i="31"/>
  <c r="D74" i="31"/>
  <c r="C74" i="31"/>
  <c r="C84" i="31" l="1"/>
  <c r="D84" i="31"/>
  <c r="Z21" i="32" l="1"/>
  <c r="Y21" i="32"/>
  <c r="X21" i="32"/>
  <c r="W21" i="32"/>
  <c r="V21" i="32"/>
  <c r="U21" i="32"/>
  <c r="T21" i="32"/>
  <c r="S21" i="32"/>
  <c r="R21" i="32"/>
  <c r="Q21" i="32"/>
  <c r="P21" i="32"/>
  <c r="O21" i="32"/>
  <c r="N21" i="32"/>
  <c r="E68" i="31"/>
  <c r="D68" i="31"/>
  <c r="C68" i="31"/>
  <c r="N19" i="32" l="1"/>
  <c r="Z19" i="32"/>
  <c r="Y19" i="32"/>
  <c r="X19" i="32"/>
  <c r="W19" i="32"/>
  <c r="V19" i="32"/>
  <c r="U19" i="32"/>
  <c r="T19" i="32"/>
  <c r="S19" i="32"/>
  <c r="R19" i="32"/>
  <c r="Q19" i="32"/>
  <c r="P19" i="32"/>
  <c r="O19" i="32"/>
  <c r="E31" i="31"/>
  <c r="D31" i="31"/>
  <c r="C31" i="31"/>
  <c r="F31" i="37" l="1"/>
  <c r="F28" i="37"/>
  <c r="F31" i="36"/>
  <c r="F28" i="36"/>
  <c r="I28" i="36" s="1"/>
  <c r="G28" i="37"/>
  <c r="G31" i="37"/>
  <c r="G28" i="36"/>
  <c r="G31" i="36"/>
  <c r="H28" i="37"/>
  <c r="H31" i="37"/>
  <c r="H28" i="36"/>
  <c r="H31" i="36"/>
  <c r="F42" i="31"/>
  <c r="E42" i="31"/>
  <c r="D42" i="31"/>
  <c r="C42" i="31"/>
  <c r="E86" i="31"/>
  <c r="D86" i="31"/>
  <c r="C86" i="31"/>
  <c r="I31" i="36" l="1"/>
  <c r="I28" i="37"/>
  <c r="I31" i="37"/>
  <c r="Z17" i="32"/>
  <c r="Y17" i="32"/>
  <c r="X17" i="32"/>
  <c r="W17" i="32"/>
  <c r="V17" i="32"/>
  <c r="U17" i="32"/>
  <c r="T17" i="32"/>
  <c r="S17" i="32"/>
  <c r="R17" i="32"/>
  <c r="Q17" i="32"/>
  <c r="P17" i="32"/>
  <c r="O17" i="32"/>
  <c r="N17" i="32"/>
  <c r="F36" i="31"/>
  <c r="E36" i="31"/>
  <c r="D36" i="31"/>
  <c r="C36" i="31"/>
  <c r="E6" i="31" l="1"/>
  <c r="D6" i="31"/>
  <c r="C6" i="31"/>
  <c r="D85" i="31" l="1"/>
  <c r="C85" i="31"/>
  <c r="Z15" i="32" l="1"/>
  <c r="Y15" i="32"/>
  <c r="X15" i="32"/>
  <c r="W15" i="32"/>
  <c r="V15" i="32"/>
  <c r="U15" i="32"/>
  <c r="T15" i="32"/>
  <c r="S15" i="32"/>
  <c r="R15" i="32"/>
  <c r="Q15" i="32"/>
  <c r="P15" i="32"/>
  <c r="O15" i="32"/>
  <c r="N15" i="32"/>
  <c r="E49" i="31" l="1"/>
  <c r="D49" i="31"/>
  <c r="C49" i="31"/>
  <c r="E61" i="31"/>
  <c r="D61" i="31"/>
  <c r="C61" i="31"/>
  <c r="D79" i="31" l="1"/>
  <c r="C79" i="31"/>
  <c r="O13" i="32"/>
  <c r="P13" i="32"/>
  <c r="Q13" i="32"/>
  <c r="R13" i="32"/>
  <c r="S13" i="32"/>
  <c r="T13" i="32"/>
  <c r="U13" i="32"/>
  <c r="V13" i="32"/>
  <c r="W13" i="32"/>
  <c r="X13" i="32"/>
  <c r="Y13" i="32"/>
  <c r="Z13" i="32"/>
  <c r="N13" i="32"/>
  <c r="F34" i="31" l="1"/>
  <c r="E34" i="31"/>
  <c r="D34" i="31"/>
  <c r="C34" i="31"/>
  <c r="E38" i="31" l="1"/>
  <c r="D38" i="31"/>
  <c r="C38" i="31"/>
  <c r="H18" i="37" l="1"/>
  <c r="H37" i="37"/>
  <c r="H18" i="36"/>
  <c r="H37" i="36"/>
  <c r="F37" i="37"/>
  <c r="F18" i="37"/>
  <c r="F37" i="36"/>
  <c r="F18" i="36"/>
  <c r="G18" i="37"/>
  <c r="I18" i="37" s="1"/>
  <c r="G37" i="37"/>
  <c r="G18" i="36"/>
  <c r="G37" i="36"/>
  <c r="E46" i="31"/>
  <c r="D46" i="31"/>
  <c r="C46" i="31"/>
  <c r="I37" i="37" l="1"/>
  <c r="I18" i="36"/>
  <c r="I37" i="36"/>
  <c r="O11" i="32"/>
  <c r="P11" i="32"/>
  <c r="Q11" i="32"/>
  <c r="R11" i="32"/>
  <c r="S11" i="32"/>
  <c r="T11" i="32"/>
  <c r="U11" i="32"/>
  <c r="V11" i="32"/>
  <c r="W11" i="32"/>
  <c r="X11" i="32"/>
  <c r="Y11" i="32"/>
  <c r="Z11" i="32"/>
  <c r="N11" i="32"/>
  <c r="F4" i="31"/>
  <c r="E4" i="31"/>
  <c r="D4" i="31"/>
  <c r="C4" i="31"/>
  <c r="E18" i="31" l="1"/>
  <c r="D18" i="31"/>
  <c r="C18" i="31"/>
  <c r="E76" i="31"/>
  <c r="C76" i="31"/>
  <c r="D76" i="31"/>
  <c r="F10" i="31" l="1"/>
  <c r="F27" i="31" l="1"/>
  <c r="C9" i="31" l="1"/>
  <c r="F9" i="31"/>
  <c r="E9" i="31"/>
  <c r="D9" i="31"/>
  <c r="E69" i="31"/>
  <c r="D69" i="31"/>
  <c r="F69" i="31"/>
  <c r="F82" i="31" l="1"/>
  <c r="F44" i="31"/>
  <c r="F65" i="31"/>
  <c r="E26" i="31"/>
  <c r="E25" i="31"/>
  <c r="F64" i="31"/>
  <c r="H13" i="37" l="1"/>
  <c r="H32" i="37"/>
  <c r="H32" i="36"/>
  <c r="H13" i="36"/>
  <c r="H12" i="37"/>
  <c r="H12" i="36"/>
  <c r="F20" i="31"/>
  <c r="E20" i="31"/>
  <c r="D20" i="31"/>
  <c r="C20" i="31"/>
  <c r="F62" i="31"/>
  <c r="E62" i="31"/>
  <c r="D62" i="31"/>
  <c r="C62" i="31"/>
  <c r="AA5" i="32"/>
  <c r="AA4" i="32"/>
  <c r="AA3" i="32"/>
  <c r="AA6" i="32" l="1"/>
  <c r="AA7" i="32" s="1"/>
  <c r="AA8" i="32" s="1"/>
  <c r="F60" i="31"/>
  <c r="F30" i="31"/>
  <c r="F57" i="31"/>
  <c r="F7" i="31"/>
  <c r="F24" i="31"/>
  <c r="E24" i="31"/>
  <c r="D24" i="31"/>
  <c r="C24" i="31"/>
  <c r="J33" i="37" l="1"/>
  <c r="J17" i="37"/>
  <c r="J33" i="36"/>
  <c r="J17" i="36"/>
  <c r="J25" i="37"/>
  <c r="J25" i="36"/>
  <c r="X5" i="32"/>
  <c r="C11" i="33"/>
  <c r="C12" i="33"/>
  <c r="C10" i="33"/>
  <c r="B8" i="33"/>
  <c r="C6" i="33"/>
  <c r="C7" i="33"/>
  <c r="C5" i="33"/>
  <c r="J41" i="36" l="1"/>
  <c r="J41" i="37"/>
  <c r="C8" i="33"/>
  <c r="Z5" i="32"/>
  <c r="Z4" i="32"/>
  <c r="Z3" i="32"/>
  <c r="Y5" i="32"/>
  <c r="Y4" i="32"/>
  <c r="Y3" i="32"/>
  <c r="X4" i="32"/>
  <c r="X3" i="32"/>
  <c r="W5" i="32"/>
  <c r="W4" i="32"/>
  <c r="W3" i="32"/>
  <c r="V5" i="32"/>
  <c r="V4" i="32"/>
  <c r="V3" i="32"/>
  <c r="U5" i="32"/>
  <c r="U4" i="32"/>
  <c r="U3" i="32"/>
  <c r="T5" i="32"/>
  <c r="T4" i="32"/>
  <c r="T3" i="32"/>
  <c r="S5" i="32"/>
  <c r="S4" i="32"/>
  <c r="S3" i="32"/>
  <c r="R5" i="32"/>
  <c r="R4" i="32"/>
  <c r="R3" i="32"/>
  <c r="Q5" i="32"/>
  <c r="Q4" i="32"/>
  <c r="Q3" i="32"/>
  <c r="P5" i="32"/>
  <c r="P4" i="32"/>
  <c r="P3" i="32"/>
  <c r="O5" i="32"/>
  <c r="O4" i="32"/>
  <c r="O3" i="32"/>
  <c r="N3" i="32"/>
  <c r="N5" i="32"/>
  <c r="N4" i="32"/>
  <c r="R6" i="32" l="1"/>
  <c r="R7" i="32" s="1"/>
  <c r="R8" i="32" s="1"/>
  <c r="V6" i="32"/>
  <c r="Y6" i="32"/>
  <c r="Y7" i="32" s="1"/>
  <c r="Y8" i="32" s="1"/>
  <c r="Q6" i="32"/>
  <c r="Q7" i="32" s="1"/>
  <c r="Q8" i="32" s="1"/>
  <c r="T6" i="32"/>
  <c r="S6" i="32"/>
  <c r="W6" i="32"/>
  <c r="W7" i="32" s="1"/>
  <c r="W8" i="32" s="1"/>
  <c r="N6" i="32"/>
  <c r="N7" i="32" s="1"/>
  <c r="N8" i="32" s="1"/>
  <c r="O6" i="32"/>
  <c r="O7" i="32" s="1"/>
  <c r="O8" i="32" s="1"/>
  <c r="Z6" i="32"/>
  <c r="Z7" i="32" s="1"/>
  <c r="Z8" i="32" s="1"/>
  <c r="P6" i="32"/>
  <c r="P7" i="32" s="1"/>
  <c r="P8" i="32" s="1"/>
  <c r="U6" i="32"/>
  <c r="U7" i="32" s="1"/>
  <c r="U8" i="32" s="1"/>
  <c r="X6" i="32"/>
  <c r="E48" i="31"/>
  <c r="D48" i="31"/>
  <c r="C48" i="31"/>
  <c r="E27" i="31"/>
  <c r="D27" i="31"/>
  <c r="C27" i="31"/>
  <c r="E30" i="31"/>
  <c r="D30" i="31"/>
  <c r="C30" i="31"/>
  <c r="F39" i="37" l="1"/>
  <c r="F25" i="37"/>
  <c r="F39" i="36"/>
  <c r="I39" i="36" s="1"/>
  <c r="F25" i="36"/>
  <c r="G39" i="37"/>
  <c r="G25" i="37"/>
  <c r="G39" i="36"/>
  <c r="G25" i="36"/>
  <c r="H39" i="37"/>
  <c r="H25" i="37"/>
  <c r="H39" i="36"/>
  <c r="H25" i="36"/>
  <c r="X7" i="32"/>
  <c r="X8" i="32" s="1"/>
  <c r="T7" i="32"/>
  <c r="T8" i="32" s="1"/>
  <c r="S7" i="32"/>
  <c r="S8" i="32" s="1"/>
  <c r="V7" i="32"/>
  <c r="V8" i="32" s="1"/>
  <c r="D47" i="31"/>
  <c r="C47" i="31"/>
  <c r="E50" i="31"/>
  <c r="D50" i="31"/>
  <c r="C50" i="31"/>
  <c r="E10" i="31"/>
  <c r="D10" i="31"/>
  <c r="C10" i="31"/>
  <c r="I39" i="37" l="1"/>
  <c r="I25" i="36"/>
  <c r="I25" i="37"/>
  <c r="E15" i="31"/>
  <c r="D15" i="31"/>
  <c r="C15" i="31"/>
  <c r="E29" i="31"/>
  <c r="D29" i="31"/>
  <c r="C29" i="31"/>
  <c r="E89" i="31"/>
  <c r="D89" i="31"/>
  <c r="C89" i="31"/>
  <c r="E32" i="31"/>
  <c r="E22" i="31"/>
  <c r="D22" i="31"/>
  <c r="C22" i="31"/>
  <c r="E19" i="31" l="1"/>
  <c r="D19" i="31"/>
  <c r="C19" i="31"/>
  <c r="E52" i="31" l="1"/>
  <c r="C52" i="31"/>
  <c r="D52" i="31"/>
  <c r="E51" i="31"/>
  <c r="D51" i="31"/>
  <c r="C51" i="31"/>
  <c r="E54" i="31"/>
  <c r="D54" i="31"/>
  <c r="C54" i="31"/>
  <c r="E53" i="31"/>
  <c r="D53" i="31"/>
  <c r="C53" i="31"/>
  <c r="C64" i="31" l="1"/>
  <c r="E64" i="31"/>
  <c r="D64" i="31"/>
  <c r="E11" i="31" l="1"/>
  <c r="D11" i="31"/>
  <c r="C11" i="31"/>
  <c r="E82" i="31" l="1"/>
  <c r="D82" i="31"/>
  <c r="C82" i="31"/>
  <c r="E8" i="31"/>
  <c r="D8" i="31"/>
  <c r="C8" i="31"/>
  <c r="D32" i="31" l="1"/>
  <c r="C32" i="31"/>
  <c r="E81" i="31"/>
  <c r="E59" i="31"/>
  <c r="D59" i="31"/>
  <c r="C59" i="31"/>
  <c r="C81" i="31"/>
  <c r="D26" i="31"/>
  <c r="G12" i="37" l="1"/>
  <c r="G12" i="36"/>
  <c r="E23" i="31"/>
  <c r="D23" i="31"/>
  <c r="C23" i="31"/>
  <c r="E65" i="31"/>
  <c r="D65" i="31"/>
  <c r="C65" i="31"/>
  <c r="E44" i="31"/>
  <c r="D44" i="31"/>
  <c r="C44" i="31"/>
  <c r="E67" i="31"/>
  <c r="D67" i="31"/>
  <c r="C67" i="31"/>
  <c r="E12" i="31"/>
  <c r="D12" i="31"/>
  <c r="C12" i="31"/>
  <c r="E70" i="31"/>
  <c r="D70" i="31"/>
  <c r="C70" i="31"/>
  <c r="E84" i="31"/>
  <c r="E21" i="31"/>
  <c r="D21" i="31"/>
  <c r="C21" i="31"/>
  <c r="C69" i="31"/>
  <c r="E35" i="31"/>
  <c r="D35" i="31"/>
  <c r="C35" i="31"/>
  <c r="E55" i="31"/>
  <c r="D55" i="31"/>
  <c r="C55" i="31"/>
  <c r="E72" i="31"/>
  <c r="D72" i="31"/>
  <c r="C72" i="31"/>
  <c r="E63" i="31"/>
  <c r="D63" i="31"/>
  <c r="C63" i="31"/>
  <c r="E73" i="31"/>
  <c r="D73" i="31"/>
  <c r="C73" i="31"/>
  <c r="E7" i="31"/>
  <c r="D7" i="31"/>
  <c r="C7" i="31"/>
  <c r="E14" i="31"/>
  <c r="D14" i="31"/>
  <c r="C14" i="31"/>
  <c r="E66" i="31"/>
  <c r="D66" i="31"/>
  <c r="C66" i="31"/>
  <c r="E43" i="31"/>
  <c r="D43" i="31"/>
  <c r="C43" i="31"/>
  <c r="E57" i="31"/>
  <c r="D57" i="31"/>
  <c r="C57" i="31"/>
  <c r="E60" i="31"/>
  <c r="D60" i="31"/>
  <c r="C60" i="31"/>
  <c r="E56" i="31"/>
  <c r="D56" i="31"/>
  <c r="C56" i="31"/>
  <c r="D13" i="31"/>
  <c r="C13" i="31"/>
  <c r="E71" i="31"/>
  <c r="D71" i="31"/>
  <c r="C71" i="31"/>
  <c r="E77" i="31"/>
  <c r="D77" i="31"/>
  <c r="C77" i="31"/>
  <c r="C25" i="31"/>
  <c r="E5" i="31"/>
  <c r="D5" i="31"/>
  <c r="C5" i="31"/>
  <c r="E83" i="31"/>
  <c r="C83" i="31"/>
  <c r="E75" i="31"/>
  <c r="D75" i="31"/>
  <c r="C75" i="31"/>
  <c r="E45" i="31"/>
  <c r="C45" i="31"/>
  <c r="E78" i="31"/>
  <c r="D78" i="31"/>
  <c r="C78" i="31"/>
  <c r="C26" i="31"/>
  <c r="E41" i="31"/>
  <c r="D41" i="31"/>
  <c r="C41" i="31"/>
  <c r="E39" i="31"/>
  <c r="D39" i="31"/>
  <c r="C39" i="31"/>
  <c r="E17" i="31"/>
  <c r="D17" i="31"/>
  <c r="C17" i="31"/>
  <c r="E28" i="31"/>
  <c r="D28" i="31"/>
  <c r="C28" i="31"/>
  <c r="H20" i="37" l="1"/>
  <c r="H20" i="36"/>
  <c r="F27" i="37"/>
  <c r="I27" i="37" s="1"/>
  <c r="F7" i="37"/>
  <c r="F27" i="36"/>
  <c r="F7" i="36"/>
  <c r="H33" i="37"/>
  <c r="H17" i="37"/>
  <c r="H33" i="36"/>
  <c r="H17" i="36"/>
  <c r="F16" i="37"/>
  <c r="F8" i="37"/>
  <c r="I8" i="37" s="1"/>
  <c r="F16" i="36"/>
  <c r="F8" i="36"/>
  <c r="F12" i="37"/>
  <c r="F12" i="36"/>
  <c r="G33" i="37"/>
  <c r="G17" i="37"/>
  <c r="G17" i="36"/>
  <c r="G33" i="36"/>
  <c r="G27" i="37"/>
  <c r="G7" i="37"/>
  <c r="G27" i="36"/>
  <c r="G7" i="36"/>
  <c r="G16" i="37"/>
  <c r="G8" i="36"/>
  <c r="G8" i="37"/>
  <c r="G16" i="36"/>
  <c r="H27" i="37"/>
  <c r="H7" i="37"/>
  <c r="H27" i="36"/>
  <c r="H7" i="36"/>
  <c r="H16" i="37"/>
  <c r="H8" i="37"/>
  <c r="H16" i="36"/>
  <c r="H8" i="36"/>
  <c r="F32" i="37"/>
  <c r="F13" i="37"/>
  <c r="I13" i="37" s="1"/>
  <c r="F32" i="36"/>
  <c r="F13" i="36"/>
  <c r="I13" i="36" s="1"/>
  <c r="F38" i="37"/>
  <c r="F19" i="37"/>
  <c r="F38" i="36"/>
  <c r="F19" i="36"/>
  <c r="H26" i="37"/>
  <c r="H29" i="37" s="1"/>
  <c r="H34" i="37"/>
  <c r="H6" i="37"/>
  <c r="H34" i="36"/>
  <c r="H26" i="36"/>
  <c r="H29" i="36" s="1"/>
  <c r="H6" i="36"/>
  <c r="F33" i="37"/>
  <c r="F17" i="37"/>
  <c r="I17" i="37" s="1"/>
  <c r="F17" i="36"/>
  <c r="I17" i="36" s="1"/>
  <c r="F33" i="36"/>
  <c r="I33" i="36" s="1"/>
  <c r="F15" i="37"/>
  <c r="F15" i="36"/>
  <c r="F5" i="37"/>
  <c r="F5" i="36"/>
  <c r="F26" i="37"/>
  <c r="F34" i="37"/>
  <c r="F6" i="36"/>
  <c r="F6" i="37"/>
  <c r="F34" i="36"/>
  <c r="F26" i="36"/>
  <c r="F35" i="37"/>
  <c r="F24" i="37"/>
  <c r="F14" i="37"/>
  <c r="F35" i="36"/>
  <c r="I35" i="36" s="1"/>
  <c r="F24" i="36"/>
  <c r="F14" i="36"/>
  <c r="G19" i="37"/>
  <c r="G38" i="37"/>
  <c r="G19" i="36"/>
  <c r="G38" i="36"/>
  <c r="H15" i="37"/>
  <c r="H15" i="36"/>
  <c r="H5" i="36"/>
  <c r="H5" i="37"/>
  <c r="G15" i="37"/>
  <c r="G15" i="36"/>
  <c r="G5" i="36"/>
  <c r="G5" i="37"/>
  <c r="G34" i="37"/>
  <c r="G26" i="37"/>
  <c r="I26" i="37" s="1"/>
  <c r="G26" i="36"/>
  <c r="G6" i="37"/>
  <c r="G34" i="36"/>
  <c r="G6" i="36"/>
  <c r="F20" i="37"/>
  <c r="I20" i="37" s="1"/>
  <c r="F20" i="36"/>
  <c r="G35" i="37"/>
  <c r="G24" i="37"/>
  <c r="G29" i="37" s="1"/>
  <c r="G14" i="37"/>
  <c r="I14" i="37" s="1"/>
  <c r="G24" i="36"/>
  <c r="G14" i="36"/>
  <c r="G21" i="36" s="1"/>
  <c r="G35" i="36"/>
  <c r="H38" i="37"/>
  <c r="H19" i="37"/>
  <c r="H19" i="36"/>
  <c r="H38" i="36"/>
  <c r="C15" i="27"/>
  <c r="C7" i="27"/>
  <c r="C4" i="27"/>
  <c r="C10" i="27"/>
  <c r="H10" i="36" l="1"/>
  <c r="I35" i="37"/>
  <c r="H10" i="37"/>
  <c r="I38" i="37"/>
  <c r="I33" i="37"/>
  <c r="G40" i="37"/>
  <c r="I16" i="37"/>
  <c r="I7" i="36"/>
  <c r="G29" i="36"/>
  <c r="G10" i="37"/>
  <c r="H21" i="36"/>
  <c r="I14" i="36"/>
  <c r="I26" i="36"/>
  <c r="I5" i="36"/>
  <c r="F10" i="36"/>
  <c r="L40" i="36" s="1"/>
  <c r="I12" i="36"/>
  <c r="F21" i="36"/>
  <c r="G21" i="37"/>
  <c r="I27" i="36"/>
  <c r="G10" i="36"/>
  <c r="H21" i="37"/>
  <c r="I24" i="36"/>
  <c r="F29" i="36"/>
  <c r="I34" i="36"/>
  <c r="F10" i="37"/>
  <c r="I5" i="37"/>
  <c r="I32" i="36"/>
  <c r="F40" i="36"/>
  <c r="I12" i="37"/>
  <c r="F21" i="37"/>
  <c r="I7" i="37"/>
  <c r="I6" i="37"/>
  <c r="I15" i="36"/>
  <c r="I19" i="36"/>
  <c r="G40" i="36"/>
  <c r="H40" i="36"/>
  <c r="I6" i="36"/>
  <c r="I15" i="37"/>
  <c r="I38" i="36"/>
  <c r="I32" i="37"/>
  <c r="F40" i="37"/>
  <c r="I16" i="36"/>
  <c r="I20" i="36"/>
  <c r="I24" i="37"/>
  <c r="I29" i="37" s="1"/>
  <c r="F29" i="37"/>
  <c r="I34" i="37"/>
  <c r="I19" i="37"/>
  <c r="I8" i="36"/>
  <c r="H40" i="37"/>
  <c r="L49" i="27"/>
  <c r="K49" i="27"/>
  <c r="J49" i="27"/>
  <c r="I49" i="27"/>
  <c r="L48" i="27"/>
  <c r="K48" i="27"/>
  <c r="J48" i="27"/>
  <c r="I48" i="27"/>
  <c r="L47" i="27"/>
  <c r="K47" i="27"/>
  <c r="J47" i="27"/>
  <c r="A54" i="27" s="1"/>
  <c r="I47" i="27"/>
  <c r="L43" i="27"/>
  <c r="G43" i="27"/>
  <c r="K43" i="27" s="1"/>
  <c r="F43" i="27"/>
  <c r="J43" i="27" s="1"/>
  <c r="E43" i="27"/>
  <c r="I43" i="27" s="1"/>
  <c r="L42" i="27"/>
  <c r="K42" i="27"/>
  <c r="J42" i="27"/>
  <c r="I42" i="27"/>
  <c r="G42" i="27"/>
  <c r="F42" i="27"/>
  <c r="E42" i="27"/>
  <c r="L41" i="27"/>
  <c r="K41" i="27"/>
  <c r="J41" i="27"/>
  <c r="I41" i="27"/>
  <c r="G41" i="27"/>
  <c r="F41" i="27"/>
  <c r="E41" i="27"/>
  <c r="L40" i="27"/>
  <c r="K40" i="27"/>
  <c r="J40" i="27"/>
  <c r="I40" i="27"/>
  <c r="G40" i="27"/>
  <c r="F40" i="27"/>
  <c r="E40" i="27"/>
  <c r="L39" i="27"/>
  <c r="K39" i="27"/>
  <c r="J39" i="27"/>
  <c r="I39" i="27"/>
  <c r="G39" i="27"/>
  <c r="F39" i="27"/>
  <c r="E39" i="27"/>
  <c r="L38" i="27"/>
  <c r="K38" i="27"/>
  <c r="J38" i="27"/>
  <c r="I38" i="27"/>
  <c r="G38" i="27"/>
  <c r="F38" i="27"/>
  <c r="E38" i="27"/>
  <c r="L37" i="27"/>
  <c r="G37" i="27"/>
  <c r="K37" i="27" s="1"/>
  <c r="F37" i="27"/>
  <c r="J37" i="27" s="1"/>
  <c r="E37" i="27"/>
  <c r="I37" i="27" s="1"/>
  <c r="L36" i="27"/>
  <c r="K36" i="27"/>
  <c r="J36" i="27"/>
  <c r="I36" i="27"/>
  <c r="L35" i="27"/>
  <c r="K35" i="27"/>
  <c r="J35" i="27"/>
  <c r="I35" i="27"/>
  <c r="H35" i="27"/>
  <c r="G35" i="27"/>
  <c r="F35" i="27"/>
  <c r="E35" i="27"/>
  <c r="L34" i="27"/>
  <c r="K34" i="27"/>
  <c r="J34" i="27"/>
  <c r="I34" i="27"/>
  <c r="H34" i="27"/>
  <c r="G34" i="27"/>
  <c r="F34" i="27"/>
  <c r="E34" i="27"/>
  <c r="L33" i="27"/>
  <c r="K33" i="27"/>
  <c r="J33" i="27"/>
  <c r="I33" i="27"/>
  <c r="H33" i="27"/>
  <c r="G33" i="27"/>
  <c r="F33" i="27"/>
  <c r="E33" i="27"/>
  <c r="L32" i="27"/>
  <c r="K32" i="27"/>
  <c r="J32" i="27"/>
  <c r="I32" i="27"/>
  <c r="H32" i="27"/>
  <c r="G32" i="27"/>
  <c r="F32" i="27"/>
  <c r="E32" i="27"/>
  <c r="L31" i="27"/>
  <c r="K31" i="27"/>
  <c r="J31" i="27"/>
  <c r="I31" i="27"/>
  <c r="H31" i="27"/>
  <c r="G31" i="27"/>
  <c r="F31" i="27"/>
  <c r="E31" i="27"/>
  <c r="L30" i="27"/>
  <c r="K30" i="27"/>
  <c r="J30" i="27"/>
  <c r="I30" i="27"/>
  <c r="H30" i="27"/>
  <c r="G30" i="27"/>
  <c r="F30" i="27"/>
  <c r="E30" i="27"/>
  <c r="L29" i="27"/>
  <c r="K29" i="27"/>
  <c r="J29" i="27"/>
  <c r="I29" i="27"/>
  <c r="H29" i="27"/>
  <c r="L28" i="27"/>
  <c r="K28" i="27"/>
  <c r="J28" i="27"/>
  <c r="I28" i="27"/>
  <c r="H28" i="27"/>
  <c r="G28" i="27"/>
  <c r="F28" i="27"/>
  <c r="E28" i="27"/>
  <c r="L27" i="27"/>
  <c r="K27" i="27"/>
  <c r="J27" i="27"/>
  <c r="I27" i="27"/>
  <c r="H27" i="27"/>
  <c r="L26" i="27"/>
  <c r="K26" i="27"/>
  <c r="J26" i="27"/>
  <c r="I26" i="27"/>
  <c r="H26" i="27"/>
  <c r="G26" i="27"/>
  <c r="F26" i="27"/>
  <c r="E26" i="27"/>
  <c r="C26" i="27"/>
  <c r="H25" i="27"/>
  <c r="G25" i="27"/>
  <c r="E25" i="27"/>
  <c r="C25" i="27"/>
  <c r="J25" i="27" s="1"/>
  <c r="L24" i="27"/>
  <c r="K24" i="27"/>
  <c r="J24" i="27"/>
  <c r="I24" i="27"/>
  <c r="H24" i="27"/>
  <c r="G24" i="27"/>
  <c r="F24" i="27"/>
  <c r="E24" i="27"/>
  <c r="L23" i="27"/>
  <c r="K23" i="27"/>
  <c r="J23" i="27"/>
  <c r="I23" i="27"/>
  <c r="H23" i="27"/>
  <c r="G23" i="27"/>
  <c r="F23" i="27"/>
  <c r="E23" i="27"/>
  <c r="L22" i="27"/>
  <c r="K22" i="27"/>
  <c r="J22" i="27"/>
  <c r="I22" i="27"/>
  <c r="H22" i="27"/>
  <c r="G22" i="27"/>
  <c r="F22" i="27"/>
  <c r="E22" i="27"/>
  <c r="C22" i="27"/>
  <c r="L21" i="27"/>
  <c r="K21" i="27"/>
  <c r="J21" i="27"/>
  <c r="I21" i="27"/>
  <c r="H21" i="27"/>
  <c r="G21" i="27"/>
  <c r="F21" i="27"/>
  <c r="E21" i="27"/>
  <c r="H20" i="27"/>
  <c r="G20" i="27"/>
  <c r="F20" i="27"/>
  <c r="E20" i="27"/>
  <c r="C20" i="27"/>
  <c r="L19" i="27"/>
  <c r="K19" i="27"/>
  <c r="J19" i="27"/>
  <c r="I19" i="27"/>
  <c r="H19" i="27"/>
  <c r="G19" i="27"/>
  <c r="F19" i="27"/>
  <c r="E19" i="27"/>
  <c r="H18" i="27"/>
  <c r="F18" i="27"/>
  <c r="E18" i="27"/>
  <c r="C18" i="27"/>
  <c r="K18" i="27" s="1"/>
  <c r="L17" i="27"/>
  <c r="K17" i="27"/>
  <c r="J17" i="27"/>
  <c r="I17" i="27"/>
  <c r="H17" i="27"/>
  <c r="G17" i="27"/>
  <c r="F17" i="27"/>
  <c r="E17" i="27"/>
  <c r="L16" i="27"/>
  <c r="K16" i="27"/>
  <c r="J16" i="27"/>
  <c r="I16" i="27"/>
  <c r="H16" i="27"/>
  <c r="G16" i="27"/>
  <c r="F16" i="27"/>
  <c r="E16" i="27"/>
  <c r="J15" i="27"/>
  <c r="H15" i="27"/>
  <c r="L15" i="27" s="1"/>
  <c r="G15" i="27"/>
  <c r="K15" i="27" s="1"/>
  <c r="E15" i="27"/>
  <c r="I15" i="27" s="1"/>
  <c r="L14" i="27"/>
  <c r="K14" i="27"/>
  <c r="J14" i="27"/>
  <c r="I14" i="27"/>
  <c r="H14" i="27"/>
  <c r="G14" i="27"/>
  <c r="F14" i="27"/>
  <c r="E14" i="27"/>
  <c r="L13" i="27"/>
  <c r="K13" i="27"/>
  <c r="J13" i="27"/>
  <c r="I13" i="27"/>
  <c r="L12" i="27"/>
  <c r="K12" i="27"/>
  <c r="J12" i="27"/>
  <c r="I12" i="27"/>
  <c r="H12" i="27"/>
  <c r="G12" i="27"/>
  <c r="E12" i="27"/>
  <c r="L11" i="27"/>
  <c r="K11" i="27"/>
  <c r="J11" i="27"/>
  <c r="I11" i="27"/>
  <c r="H11" i="27"/>
  <c r="G11" i="27"/>
  <c r="F11" i="27"/>
  <c r="E11" i="27"/>
  <c r="H10" i="27"/>
  <c r="L10" i="27" s="1"/>
  <c r="G10" i="27"/>
  <c r="K10" i="27" s="1"/>
  <c r="E10" i="27"/>
  <c r="I10" i="27" s="1"/>
  <c r="J10" i="27"/>
  <c r="H9" i="27"/>
  <c r="G9" i="27"/>
  <c r="F9" i="27"/>
  <c r="E9" i="27"/>
  <c r="C9" i="27"/>
  <c r="L8" i="27"/>
  <c r="H8" i="27"/>
  <c r="G8" i="27"/>
  <c r="K8" i="27" s="1"/>
  <c r="F8" i="27"/>
  <c r="J8" i="27" s="1"/>
  <c r="E8" i="27"/>
  <c r="I8" i="27" s="1"/>
  <c r="C8" i="27"/>
  <c r="H7" i="27"/>
  <c r="L7" i="27" s="1"/>
  <c r="G7" i="27"/>
  <c r="K7" i="27" s="1"/>
  <c r="F7" i="27"/>
  <c r="J7" i="27" s="1"/>
  <c r="E7" i="27"/>
  <c r="I7" i="27" s="1"/>
  <c r="J6" i="27"/>
  <c r="H6" i="27"/>
  <c r="L6" i="27" s="1"/>
  <c r="G6" i="27"/>
  <c r="K6" i="27" s="1"/>
  <c r="E6" i="27"/>
  <c r="I6" i="27" s="1"/>
  <c r="H5" i="27"/>
  <c r="G5" i="27"/>
  <c r="F5" i="27"/>
  <c r="E5" i="27"/>
  <c r="C5" i="27"/>
  <c r="H4" i="27"/>
  <c r="L4" i="27" s="1"/>
  <c r="G4" i="27"/>
  <c r="K4" i="27" s="1"/>
  <c r="F4" i="27"/>
  <c r="J4" i="27" s="1"/>
  <c r="E4" i="27"/>
  <c r="I4" i="27" s="1"/>
  <c r="C15" i="26"/>
  <c r="L43" i="26"/>
  <c r="G43" i="26"/>
  <c r="K43" i="26" s="1"/>
  <c r="F43" i="26"/>
  <c r="J43" i="26" s="1"/>
  <c r="E43" i="26"/>
  <c r="I43" i="26" s="1"/>
  <c r="C18" i="26"/>
  <c r="C7" i="26"/>
  <c r="C4" i="26"/>
  <c r="C20" i="26"/>
  <c r="C8" i="26"/>
  <c r="G8" i="26"/>
  <c r="E8" i="26"/>
  <c r="C10" i="26"/>
  <c r="I21" i="37" l="1"/>
  <c r="I40" i="37"/>
  <c r="I29" i="36"/>
  <c r="I21" i="36"/>
  <c r="M40" i="37"/>
  <c r="I40" i="36"/>
  <c r="L42" i="36"/>
  <c r="L44" i="36"/>
  <c r="L38" i="36"/>
  <c r="N40" i="37"/>
  <c r="I10" i="37"/>
  <c r="M40" i="36"/>
  <c r="I10" i="36"/>
  <c r="L40" i="37"/>
  <c r="N40" i="36"/>
  <c r="L25" i="27"/>
  <c r="I20" i="27"/>
  <c r="K25" i="27"/>
  <c r="I5" i="27"/>
  <c r="I25" i="27"/>
  <c r="J5" i="27"/>
  <c r="J9" i="27"/>
  <c r="J18" i="27"/>
  <c r="K5" i="27"/>
  <c r="K9" i="27"/>
  <c r="L9" i="27"/>
  <c r="I9" i="27"/>
  <c r="L5" i="27"/>
  <c r="I18" i="27"/>
  <c r="L18" i="27"/>
  <c r="K20" i="27"/>
  <c r="J20" i="27"/>
  <c r="L20" i="27"/>
  <c r="A53" i="27"/>
  <c r="L49" i="26"/>
  <c r="K49" i="26"/>
  <c r="J49" i="26"/>
  <c r="I49" i="26"/>
  <c r="L48" i="26"/>
  <c r="K48" i="26"/>
  <c r="J48" i="26"/>
  <c r="I48" i="26"/>
  <c r="L47" i="26"/>
  <c r="K47" i="26"/>
  <c r="J47" i="26"/>
  <c r="A54" i="26" s="1"/>
  <c r="I47" i="26"/>
  <c r="L42" i="26"/>
  <c r="K42" i="26"/>
  <c r="J42" i="26"/>
  <c r="I42" i="26"/>
  <c r="G42" i="26"/>
  <c r="F42" i="26"/>
  <c r="E42" i="26"/>
  <c r="L41" i="26"/>
  <c r="K41" i="26"/>
  <c r="J41" i="26"/>
  <c r="I41" i="26"/>
  <c r="G41" i="26"/>
  <c r="F41" i="26"/>
  <c r="E41" i="26"/>
  <c r="L40" i="26"/>
  <c r="K40" i="26"/>
  <c r="J40" i="26"/>
  <c r="I40" i="26"/>
  <c r="G40" i="26"/>
  <c r="F40" i="26"/>
  <c r="E40" i="26"/>
  <c r="L39" i="26"/>
  <c r="K39" i="26"/>
  <c r="J39" i="26"/>
  <c r="I39" i="26"/>
  <c r="G39" i="26"/>
  <c r="F39" i="26"/>
  <c r="E39" i="26"/>
  <c r="L38" i="26"/>
  <c r="K38" i="26"/>
  <c r="J38" i="26"/>
  <c r="I38" i="26"/>
  <c r="G38" i="26"/>
  <c r="F38" i="26"/>
  <c r="E38" i="26"/>
  <c r="L37" i="26"/>
  <c r="G37" i="26"/>
  <c r="K37" i="26" s="1"/>
  <c r="F37" i="26"/>
  <c r="J37" i="26" s="1"/>
  <c r="E37" i="26"/>
  <c r="I37" i="26" s="1"/>
  <c r="L36" i="26"/>
  <c r="K36" i="26"/>
  <c r="J36" i="26"/>
  <c r="I36" i="26"/>
  <c r="L35" i="26"/>
  <c r="K35" i="26"/>
  <c r="J35" i="26"/>
  <c r="I35" i="26"/>
  <c r="H35" i="26"/>
  <c r="G35" i="26"/>
  <c r="F35" i="26"/>
  <c r="E35" i="26"/>
  <c r="L34" i="26"/>
  <c r="K34" i="26"/>
  <c r="J34" i="26"/>
  <c r="I34" i="26"/>
  <c r="H34" i="26"/>
  <c r="G34" i="26"/>
  <c r="F34" i="26"/>
  <c r="E34" i="26"/>
  <c r="L33" i="26"/>
  <c r="K33" i="26"/>
  <c r="J33" i="26"/>
  <c r="I33" i="26"/>
  <c r="H33" i="26"/>
  <c r="G33" i="26"/>
  <c r="F33" i="26"/>
  <c r="E33" i="26"/>
  <c r="L32" i="26"/>
  <c r="K32" i="26"/>
  <c r="J32" i="26"/>
  <c r="I32" i="26"/>
  <c r="H32" i="26"/>
  <c r="G32" i="26"/>
  <c r="F32" i="26"/>
  <c r="E32" i="26"/>
  <c r="L31" i="26"/>
  <c r="K31" i="26"/>
  <c r="J31" i="26"/>
  <c r="I31" i="26"/>
  <c r="H31" i="26"/>
  <c r="G31" i="26"/>
  <c r="F31" i="26"/>
  <c r="E31" i="26"/>
  <c r="L30" i="26"/>
  <c r="K30" i="26"/>
  <c r="J30" i="26"/>
  <c r="I30" i="26"/>
  <c r="H30" i="26"/>
  <c r="G30" i="26"/>
  <c r="F30" i="26"/>
  <c r="E30" i="26"/>
  <c r="L29" i="26"/>
  <c r="K29" i="26"/>
  <c r="J29" i="26"/>
  <c r="I29" i="26"/>
  <c r="H29" i="26"/>
  <c r="L28" i="26"/>
  <c r="K28" i="26"/>
  <c r="H28" i="26"/>
  <c r="G28" i="26"/>
  <c r="F28" i="26"/>
  <c r="J28" i="26" s="1"/>
  <c r="E28" i="26"/>
  <c r="I28" i="26" s="1"/>
  <c r="L27" i="26"/>
  <c r="K27" i="26"/>
  <c r="J27" i="26"/>
  <c r="I27" i="26"/>
  <c r="H27" i="26"/>
  <c r="L26" i="26"/>
  <c r="H26" i="26"/>
  <c r="G26" i="26"/>
  <c r="K26" i="26" s="1"/>
  <c r="F26" i="26"/>
  <c r="J26" i="26" s="1"/>
  <c r="E26" i="26"/>
  <c r="C26" i="26"/>
  <c r="I26" i="26" s="1"/>
  <c r="L25" i="26"/>
  <c r="K25" i="26"/>
  <c r="J25" i="26"/>
  <c r="I25" i="26"/>
  <c r="H25" i="26"/>
  <c r="G25" i="26"/>
  <c r="E25" i="26"/>
  <c r="C25" i="26"/>
  <c r="L24" i="26"/>
  <c r="K24" i="26"/>
  <c r="J24" i="26"/>
  <c r="I24" i="26"/>
  <c r="H24" i="26"/>
  <c r="G24" i="26"/>
  <c r="F24" i="26"/>
  <c r="E24" i="26"/>
  <c r="L23" i="26"/>
  <c r="K23" i="26"/>
  <c r="J23" i="26"/>
  <c r="I23" i="26"/>
  <c r="H23" i="26"/>
  <c r="G23" i="26"/>
  <c r="F23" i="26"/>
  <c r="E23" i="26"/>
  <c r="L22" i="26"/>
  <c r="K22" i="26"/>
  <c r="J22" i="26"/>
  <c r="I22" i="26"/>
  <c r="H22" i="26"/>
  <c r="G22" i="26"/>
  <c r="F22" i="26"/>
  <c r="E22" i="26"/>
  <c r="C22" i="26"/>
  <c r="L21" i="26"/>
  <c r="K21" i="26"/>
  <c r="J21" i="26"/>
  <c r="I21" i="26"/>
  <c r="H21" i="26"/>
  <c r="G21" i="26"/>
  <c r="F21" i="26"/>
  <c r="E21" i="26"/>
  <c r="H20" i="26"/>
  <c r="L20" i="26" s="1"/>
  <c r="G20" i="26"/>
  <c r="K20" i="26" s="1"/>
  <c r="F20" i="26"/>
  <c r="J20" i="26" s="1"/>
  <c r="E20" i="26"/>
  <c r="I20" i="26" s="1"/>
  <c r="L19" i="26"/>
  <c r="K19" i="26"/>
  <c r="J19" i="26"/>
  <c r="I19" i="26"/>
  <c r="H19" i="26"/>
  <c r="G19" i="26"/>
  <c r="F19" i="26"/>
  <c r="E19" i="26"/>
  <c r="H18" i="26"/>
  <c r="L18" i="26" s="1"/>
  <c r="F18" i="26"/>
  <c r="J18" i="26" s="1"/>
  <c r="E18" i="26"/>
  <c r="K18" i="26"/>
  <c r="L17" i="26"/>
  <c r="K17" i="26"/>
  <c r="J17" i="26"/>
  <c r="I17" i="26"/>
  <c r="H17" i="26"/>
  <c r="G17" i="26"/>
  <c r="F17" i="26"/>
  <c r="E17" i="26"/>
  <c r="L16" i="26"/>
  <c r="K16" i="26"/>
  <c r="J16" i="26"/>
  <c r="I16" i="26"/>
  <c r="H16" i="26"/>
  <c r="G16" i="26"/>
  <c r="F16" i="26"/>
  <c r="E16" i="26"/>
  <c r="J15" i="26"/>
  <c r="H15" i="26"/>
  <c r="L15" i="26" s="1"/>
  <c r="G15" i="26"/>
  <c r="K15" i="26" s="1"/>
  <c r="E15" i="26"/>
  <c r="I15" i="26" s="1"/>
  <c r="L14" i="26"/>
  <c r="K14" i="26"/>
  <c r="J14" i="26"/>
  <c r="I14" i="26"/>
  <c r="H14" i="26"/>
  <c r="G14" i="26"/>
  <c r="F14" i="26"/>
  <c r="E14" i="26"/>
  <c r="L13" i="26"/>
  <c r="K13" i="26"/>
  <c r="J13" i="26"/>
  <c r="I13" i="26"/>
  <c r="L12" i="26"/>
  <c r="K12" i="26"/>
  <c r="J12" i="26"/>
  <c r="I12" i="26"/>
  <c r="H12" i="26"/>
  <c r="G12" i="26"/>
  <c r="E12" i="26"/>
  <c r="L11" i="26"/>
  <c r="K11" i="26"/>
  <c r="J11" i="26"/>
  <c r="I11" i="26"/>
  <c r="H11" i="26"/>
  <c r="G11" i="26"/>
  <c r="F11" i="26"/>
  <c r="E11" i="26"/>
  <c r="J10" i="26"/>
  <c r="H10" i="26"/>
  <c r="L10" i="26" s="1"/>
  <c r="G10" i="26"/>
  <c r="K10" i="26" s="1"/>
  <c r="E10" i="26"/>
  <c r="I10" i="26" s="1"/>
  <c r="L9" i="26"/>
  <c r="H9" i="26"/>
  <c r="G9" i="26"/>
  <c r="K9" i="26" s="1"/>
  <c r="F9" i="26"/>
  <c r="J9" i="26" s="1"/>
  <c r="E9" i="26"/>
  <c r="C9" i="26"/>
  <c r="I9" i="26" s="1"/>
  <c r="I8" i="26"/>
  <c r="H8" i="26"/>
  <c r="L8" i="26" s="1"/>
  <c r="K8" i="26"/>
  <c r="F8" i="26"/>
  <c r="H7" i="26"/>
  <c r="L7" i="26" s="1"/>
  <c r="G7" i="26"/>
  <c r="K7" i="26" s="1"/>
  <c r="F7" i="26"/>
  <c r="J7" i="26" s="1"/>
  <c r="E7" i="26"/>
  <c r="I7" i="26" s="1"/>
  <c r="H6" i="26"/>
  <c r="G6" i="26"/>
  <c r="E6" i="26"/>
  <c r="C6" i="26"/>
  <c r="J6" i="26" s="1"/>
  <c r="H5" i="26"/>
  <c r="G5" i="26"/>
  <c r="F5" i="26"/>
  <c r="E5" i="26"/>
  <c r="C5" i="26"/>
  <c r="H4" i="26"/>
  <c r="L4" i="26" s="1"/>
  <c r="G4" i="26"/>
  <c r="K4" i="26" s="1"/>
  <c r="F4" i="26"/>
  <c r="J4" i="26" s="1"/>
  <c r="E4" i="26"/>
  <c r="I4" i="26" s="1"/>
  <c r="C18" i="25"/>
  <c r="C20" i="25"/>
  <c r="C7" i="25"/>
  <c r="L42" i="25"/>
  <c r="K42" i="25"/>
  <c r="J42" i="25"/>
  <c r="I42" i="25"/>
  <c r="G42" i="25"/>
  <c r="F42" i="25"/>
  <c r="E42" i="25"/>
  <c r="C8" i="25"/>
  <c r="C26" i="25"/>
  <c r="C6" i="25"/>
  <c r="C4" i="25"/>
  <c r="C5" i="25"/>
  <c r="L48" i="25"/>
  <c r="K48" i="25"/>
  <c r="J48" i="25"/>
  <c r="I48" i="25"/>
  <c r="L47" i="25"/>
  <c r="K47" i="25"/>
  <c r="J47" i="25"/>
  <c r="I47" i="25"/>
  <c r="L46" i="25"/>
  <c r="K46" i="25"/>
  <c r="J46" i="25"/>
  <c r="A53" i="25" s="1"/>
  <c r="I46" i="25"/>
  <c r="L41" i="25"/>
  <c r="K41" i="25"/>
  <c r="J41" i="25"/>
  <c r="I41" i="25"/>
  <c r="G41" i="25"/>
  <c r="F41" i="25"/>
  <c r="E41" i="25"/>
  <c r="L40" i="25"/>
  <c r="K40" i="25"/>
  <c r="J40" i="25"/>
  <c r="I40" i="25"/>
  <c r="G40" i="25"/>
  <c r="F40" i="25"/>
  <c r="E40" i="25"/>
  <c r="L39" i="25"/>
  <c r="K39" i="25"/>
  <c r="J39" i="25"/>
  <c r="I39" i="25"/>
  <c r="G39" i="25"/>
  <c r="F39" i="25"/>
  <c r="E39" i="25"/>
  <c r="L38" i="25"/>
  <c r="K38" i="25"/>
  <c r="J38" i="25"/>
  <c r="I38" i="25"/>
  <c r="G38" i="25"/>
  <c r="F38" i="25"/>
  <c r="E38" i="25"/>
  <c r="L37" i="25"/>
  <c r="K37" i="25"/>
  <c r="J37" i="25"/>
  <c r="I37" i="25"/>
  <c r="G37" i="25"/>
  <c r="F37" i="25"/>
  <c r="E37" i="25"/>
  <c r="L36" i="25"/>
  <c r="K36" i="25"/>
  <c r="J36" i="25"/>
  <c r="I36" i="25"/>
  <c r="L35" i="25"/>
  <c r="K35" i="25"/>
  <c r="J35" i="25"/>
  <c r="I35" i="25"/>
  <c r="H35" i="25"/>
  <c r="G35" i="25"/>
  <c r="F35" i="25"/>
  <c r="E35" i="25"/>
  <c r="L34" i="25"/>
  <c r="K34" i="25"/>
  <c r="J34" i="25"/>
  <c r="I34" i="25"/>
  <c r="H34" i="25"/>
  <c r="G34" i="25"/>
  <c r="F34" i="25"/>
  <c r="E34" i="25"/>
  <c r="L33" i="25"/>
  <c r="K33" i="25"/>
  <c r="J33" i="25"/>
  <c r="I33" i="25"/>
  <c r="H33" i="25"/>
  <c r="G33" i="25"/>
  <c r="F33" i="25"/>
  <c r="E33" i="25"/>
  <c r="L32" i="25"/>
  <c r="K32" i="25"/>
  <c r="J32" i="25"/>
  <c r="I32" i="25"/>
  <c r="H32" i="25"/>
  <c r="G32" i="25"/>
  <c r="F32" i="25"/>
  <c r="E32" i="25"/>
  <c r="L31" i="25"/>
  <c r="K31" i="25"/>
  <c r="J31" i="25"/>
  <c r="I31" i="25"/>
  <c r="H31" i="25"/>
  <c r="G31" i="25"/>
  <c r="F31" i="25"/>
  <c r="E31" i="25"/>
  <c r="L30" i="25"/>
  <c r="K30" i="25"/>
  <c r="J30" i="25"/>
  <c r="I30" i="25"/>
  <c r="H30" i="25"/>
  <c r="G30" i="25"/>
  <c r="F30" i="25"/>
  <c r="E30" i="25"/>
  <c r="L29" i="25"/>
  <c r="K29" i="25"/>
  <c r="J29" i="25"/>
  <c r="I29" i="25"/>
  <c r="H29" i="25"/>
  <c r="H28" i="25"/>
  <c r="L28" i="25" s="1"/>
  <c r="G28" i="25"/>
  <c r="K28" i="25" s="1"/>
  <c r="F28" i="25"/>
  <c r="J28" i="25" s="1"/>
  <c r="E28" i="25"/>
  <c r="I28" i="25" s="1"/>
  <c r="L27" i="25"/>
  <c r="K27" i="25"/>
  <c r="J27" i="25"/>
  <c r="I27" i="25"/>
  <c r="H27" i="25"/>
  <c r="H26" i="25"/>
  <c r="G26" i="25"/>
  <c r="F26" i="25"/>
  <c r="E26" i="25"/>
  <c r="I26" i="25" s="1"/>
  <c r="L25" i="25"/>
  <c r="K25" i="25"/>
  <c r="J25" i="25"/>
  <c r="I25" i="25"/>
  <c r="H25" i="25"/>
  <c r="G25" i="25"/>
  <c r="E25" i="25"/>
  <c r="C25" i="25"/>
  <c r="L24" i="25"/>
  <c r="K24" i="25"/>
  <c r="J24" i="25"/>
  <c r="I24" i="25"/>
  <c r="H24" i="25"/>
  <c r="G24" i="25"/>
  <c r="F24" i="25"/>
  <c r="E24" i="25"/>
  <c r="L23" i="25"/>
  <c r="K23" i="25"/>
  <c r="J23" i="25"/>
  <c r="I23" i="25"/>
  <c r="H23" i="25"/>
  <c r="G23" i="25"/>
  <c r="F23" i="25"/>
  <c r="E23" i="25"/>
  <c r="L22" i="25"/>
  <c r="K22" i="25"/>
  <c r="J22" i="25"/>
  <c r="I22" i="25"/>
  <c r="H22" i="25"/>
  <c r="G22" i="25"/>
  <c r="F22" i="25"/>
  <c r="E22" i="25"/>
  <c r="C22" i="25"/>
  <c r="L21" i="25"/>
  <c r="K21" i="25"/>
  <c r="J21" i="25"/>
  <c r="I21" i="25"/>
  <c r="H21" i="25"/>
  <c r="G21" i="25"/>
  <c r="F21" i="25"/>
  <c r="E21" i="25"/>
  <c r="H20" i="25"/>
  <c r="L20" i="25" s="1"/>
  <c r="G20" i="25"/>
  <c r="F20" i="25"/>
  <c r="E20" i="25"/>
  <c r="L19" i="25"/>
  <c r="K19" i="25"/>
  <c r="J19" i="25"/>
  <c r="I19" i="25"/>
  <c r="H19" i="25"/>
  <c r="G19" i="25"/>
  <c r="F19" i="25"/>
  <c r="E19" i="25"/>
  <c r="H18" i="25"/>
  <c r="F18" i="25"/>
  <c r="E18" i="25"/>
  <c r="L17" i="25"/>
  <c r="K17" i="25"/>
  <c r="J17" i="25"/>
  <c r="I17" i="25"/>
  <c r="H17" i="25"/>
  <c r="G17" i="25"/>
  <c r="F17" i="25"/>
  <c r="E17" i="25"/>
  <c r="L16" i="25"/>
  <c r="K16" i="25"/>
  <c r="J16" i="25"/>
  <c r="I16" i="25"/>
  <c r="H16" i="25"/>
  <c r="G16" i="25"/>
  <c r="F16" i="25"/>
  <c r="E16" i="25"/>
  <c r="J15" i="25"/>
  <c r="H15" i="25"/>
  <c r="L15" i="25" s="1"/>
  <c r="G15" i="25"/>
  <c r="K15" i="25" s="1"/>
  <c r="E15" i="25"/>
  <c r="I15" i="25" s="1"/>
  <c r="L14" i="25"/>
  <c r="K14" i="25"/>
  <c r="J14" i="25"/>
  <c r="I14" i="25"/>
  <c r="H14" i="25"/>
  <c r="G14" i="25"/>
  <c r="F14" i="25"/>
  <c r="E14" i="25"/>
  <c r="L13" i="25"/>
  <c r="K13" i="25"/>
  <c r="J13" i="25"/>
  <c r="I13" i="25"/>
  <c r="L12" i="25"/>
  <c r="K12" i="25"/>
  <c r="J12" i="25"/>
  <c r="H12" i="25"/>
  <c r="G12" i="25"/>
  <c r="E12" i="25"/>
  <c r="I12" i="25" s="1"/>
  <c r="L11" i="25"/>
  <c r="K11" i="25"/>
  <c r="J11" i="25"/>
  <c r="I11" i="25"/>
  <c r="H11" i="25"/>
  <c r="G11" i="25"/>
  <c r="F11" i="25"/>
  <c r="E11" i="25"/>
  <c r="L10" i="25"/>
  <c r="K10" i="25"/>
  <c r="J10" i="25"/>
  <c r="I10" i="25"/>
  <c r="H10" i="25"/>
  <c r="G10" i="25"/>
  <c r="E10" i="25"/>
  <c r="H9" i="25"/>
  <c r="G9" i="25"/>
  <c r="F9" i="25"/>
  <c r="E9" i="25"/>
  <c r="C9" i="25"/>
  <c r="H8" i="25"/>
  <c r="G8" i="25"/>
  <c r="F8" i="25"/>
  <c r="E8" i="25"/>
  <c r="H7" i="25"/>
  <c r="G7" i="25"/>
  <c r="F7" i="25"/>
  <c r="E7" i="25"/>
  <c r="I7" i="25" s="1"/>
  <c r="H6" i="25"/>
  <c r="G6" i="25"/>
  <c r="K6" i="25" s="1"/>
  <c r="E6" i="25"/>
  <c r="H5" i="25"/>
  <c r="G5" i="25"/>
  <c r="F5" i="25"/>
  <c r="J5" i="25" s="1"/>
  <c r="E5" i="25"/>
  <c r="I5" i="25" s="1"/>
  <c r="H4" i="25"/>
  <c r="L4" i="25" s="1"/>
  <c r="G4" i="25"/>
  <c r="F4" i="25"/>
  <c r="E4" i="25"/>
  <c r="N42" i="37" l="1"/>
  <c r="N38" i="37"/>
  <c r="N44" i="37"/>
  <c r="M44" i="37"/>
  <c r="M42" i="37"/>
  <c r="M38" i="37"/>
  <c r="N42" i="36"/>
  <c r="N38" i="36"/>
  <c r="N44" i="36"/>
  <c r="L44" i="37"/>
  <c r="L38" i="37"/>
  <c r="O40" i="37"/>
  <c r="L42" i="37"/>
  <c r="J8" i="25"/>
  <c r="M38" i="36"/>
  <c r="M44" i="36"/>
  <c r="M42" i="36"/>
  <c r="O40" i="36"/>
  <c r="K5" i="26"/>
  <c r="L6" i="26"/>
  <c r="I6" i="25"/>
  <c r="I44" i="27"/>
  <c r="I45" i="27" s="1"/>
  <c r="L26" i="25"/>
  <c r="L5" i="25"/>
  <c r="K9" i="25"/>
  <c r="K6" i="26"/>
  <c r="L46" i="27"/>
  <c r="J44" i="27"/>
  <c r="J45" i="27" s="1"/>
  <c r="I9" i="25"/>
  <c r="K44" i="27"/>
  <c r="K45" i="27" s="1"/>
  <c r="K5" i="25"/>
  <c r="L9" i="25"/>
  <c r="J18" i="25"/>
  <c r="I6" i="26"/>
  <c r="L5" i="26"/>
  <c r="J9" i="25"/>
  <c r="I5" i="26"/>
  <c r="A53" i="26"/>
  <c r="I4" i="25"/>
  <c r="J5" i="26"/>
  <c r="L46" i="26"/>
  <c r="K44" i="26"/>
  <c r="K45" i="26" s="1"/>
  <c r="J8" i="26"/>
  <c r="I18" i="26"/>
  <c r="L18" i="25"/>
  <c r="J20" i="25"/>
  <c r="K20" i="25"/>
  <c r="I20" i="25"/>
  <c r="K7" i="25"/>
  <c r="K8" i="25"/>
  <c r="L8" i="25"/>
  <c r="I8" i="25"/>
  <c r="I18" i="25"/>
  <c r="L7" i="25"/>
  <c r="J4" i="25"/>
  <c r="K4" i="25"/>
  <c r="L6" i="25"/>
  <c r="J26" i="25"/>
  <c r="J7" i="25"/>
  <c r="K18" i="25"/>
  <c r="K26" i="25"/>
  <c r="J6" i="25"/>
  <c r="A52" i="25"/>
  <c r="C18" i="24"/>
  <c r="C7" i="24"/>
  <c r="C4" i="24"/>
  <c r="C26" i="24"/>
  <c r="C5" i="24"/>
  <c r="I44" i="26" l="1"/>
  <c r="I45" i="26" s="1"/>
  <c r="J44" i="26"/>
  <c r="J45" i="26" s="1"/>
  <c r="I43" i="25"/>
  <c r="I44" i="25" s="1"/>
  <c r="J43" i="25"/>
  <c r="J44" i="25" s="1"/>
  <c r="K43" i="25"/>
  <c r="K44" i="25" s="1"/>
  <c r="L45" i="25"/>
  <c r="L47" i="24"/>
  <c r="K47" i="24"/>
  <c r="J47" i="24"/>
  <c r="I47" i="24"/>
  <c r="L46" i="24"/>
  <c r="K46" i="24"/>
  <c r="J46" i="24"/>
  <c r="I46" i="24"/>
  <c r="L45" i="24"/>
  <c r="K45" i="24"/>
  <c r="J45" i="24"/>
  <c r="A52" i="24" s="1"/>
  <c r="I45" i="24"/>
  <c r="L41" i="24"/>
  <c r="K41" i="24"/>
  <c r="J41" i="24"/>
  <c r="I41" i="24"/>
  <c r="G41" i="24"/>
  <c r="F41" i="24"/>
  <c r="E41" i="24"/>
  <c r="L40" i="24"/>
  <c r="K40" i="24"/>
  <c r="J40" i="24"/>
  <c r="I40" i="24"/>
  <c r="G40" i="24"/>
  <c r="F40" i="24"/>
  <c r="E40" i="24"/>
  <c r="L39" i="24"/>
  <c r="K39" i="24"/>
  <c r="J39" i="24"/>
  <c r="I39" i="24"/>
  <c r="G39" i="24"/>
  <c r="F39" i="24"/>
  <c r="E39" i="24"/>
  <c r="L38" i="24"/>
  <c r="K38" i="24"/>
  <c r="J38" i="24"/>
  <c r="I38" i="24"/>
  <c r="G38" i="24"/>
  <c r="F38" i="24"/>
  <c r="E38" i="24"/>
  <c r="L37" i="24"/>
  <c r="K37" i="24"/>
  <c r="J37" i="24"/>
  <c r="I37" i="24"/>
  <c r="G37" i="24"/>
  <c r="F37" i="24"/>
  <c r="E37" i="24"/>
  <c r="L36" i="24"/>
  <c r="K36" i="24"/>
  <c r="J36" i="24"/>
  <c r="I36" i="24"/>
  <c r="L35" i="24"/>
  <c r="K35" i="24"/>
  <c r="J35" i="24"/>
  <c r="I35" i="24"/>
  <c r="H35" i="24"/>
  <c r="G35" i="24"/>
  <c r="F35" i="24"/>
  <c r="E35" i="24"/>
  <c r="L34" i="24"/>
  <c r="K34" i="24"/>
  <c r="J34" i="24"/>
  <c r="I34" i="24"/>
  <c r="H34" i="24"/>
  <c r="G34" i="24"/>
  <c r="F34" i="24"/>
  <c r="E34" i="24"/>
  <c r="L33" i="24"/>
  <c r="K33" i="24"/>
  <c r="J33" i="24"/>
  <c r="I33" i="24"/>
  <c r="H33" i="24"/>
  <c r="G33" i="24"/>
  <c r="F33" i="24"/>
  <c r="E33" i="24"/>
  <c r="L32" i="24"/>
  <c r="K32" i="24"/>
  <c r="J32" i="24"/>
  <c r="I32" i="24"/>
  <c r="H32" i="24"/>
  <c r="G32" i="24"/>
  <c r="F32" i="24"/>
  <c r="E32" i="24"/>
  <c r="L31" i="24"/>
  <c r="K31" i="24"/>
  <c r="J31" i="24"/>
  <c r="I31" i="24"/>
  <c r="H31" i="24"/>
  <c r="G31" i="24"/>
  <c r="F31" i="24"/>
  <c r="E31" i="24"/>
  <c r="L30" i="24"/>
  <c r="K30" i="24"/>
  <c r="J30" i="24"/>
  <c r="I30" i="24"/>
  <c r="H30" i="24"/>
  <c r="G30" i="24"/>
  <c r="F30" i="24"/>
  <c r="E30" i="24"/>
  <c r="L29" i="24"/>
  <c r="K29" i="24"/>
  <c r="J29" i="24"/>
  <c r="I29" i="24"/>
  <c r="H29" i="24"/>
  <c r="L28" i="24"/>
  <c r="K28" i="24"/>
  <c r="J28" i="24"/>
  <c r="I28" i="24"/>
  <c r="H28" i="24"/>
  <c r="G28" i="24"/>
  <c r="F28" i="24"/>
  <c r="E28" i="24"/>
  <c r="L27" i="24"/>
  <c r="K27" i="24"/>
  <c r="J27" i="24"/>
  <c r="I27" i="24"/>
  <c r="H27" i="24"/>
  <c r="H26" i="24"/>
  <c r="L26" i="24" s="1"/>
  <c r="G26" i="24"/>
  <c r="K26" i="24" s="1"/>
  <c r="F26" i="24"/>
  <c r="J26" i="24" s="1"/>
  <c r="E26" i="24"/>
  <c r="I26" i="24" s="1"/>
  <c r="I25" i="24"/>
  <c r="H25" i="24"/>
  <c r="L25" i="24" s="1"/>
  <c r="G25" i="24"/>
  <c r="E25" i="24"/>
  <c r="C25" i="24"/>
  <c r="K25" i="24" s="1"/>
  <c r="L24" i="24"/>
  <c r="K24" i="24"/>
  <c r="J24" i="24"/>
  <c r="I24" i="24"/>
  <c r="H24" i="24"/>
  <c r="G24" i="24"/>
  <c r="F24" i="24"/>
  <c r="E24" i="24"/>
  <c r="L23" i="24"/>
  <c r="K23" i="24"/>
  <c r="J23" i="24"/>
  <c r="I23" i="24"/>
  <c r="H23" i="24"/>
  <c r="G23" i="24"/>
  <c r="F23" i="24"/>
  <c r="E23" i="24"/>
  <c r="L22" i="24"/>
  <c r="K22" i="24"/>
  <c r="J22" i="24"/>
  <c r="I22" i="24"/>
  <c r="H22" i="24"/>
  <c r="G22" i="24"/>
  <c r="F22" i="24"/>
  <c r="E22" i="24"/>
  <c r="C22" i="24"/>
  <c r="L21" i="24"/>
  <c r="K21" i="24"/>
  <c r="J21" i="24"/>
  <c r="I21" i="24"/>
  <c r="H21" i="24"/>
  <c r="G21" i="24"/>
  <c r="F21" i="24"/>
  <c r="E21" i="24"/>
  <c r="H20" i="24"/>
  <c r="L20" i="24" s="1"/>
  <c r="G20" i="24"/>
  <c r="K20" i="24" s="1"/>
  <c r="F20" i="24"/>
  <c r="J20" i="24" s="1"/>
  <c r="E20" i="24"/>
  <c r="I20" i="24" s="1"/>
  <c r="L19" i="24"/>
  <c r="K19" i="24"/>
  <c r="J19" i="24"/>
  <c r="I19" i="24"/>
  <c r="H19" i="24"/>
  <c r="G19" i="24"/>
  <c r="F19" i="24"/>
  <c r="E19" i="24"/>
  <c r="K18" i="24"/>
  <c r="H18" i="24"/>
  <c r="L18" i="24" s="1"/>
  <c r="F18" i="24"/>
  <c r="J18" i="24" s="1"/>
  <c r="E18" i="24"/>
  <c r="I18" i="24" s="1"/>
  <c r="L17" i="24"/>
  <c r="K17" i="24"/>
  <c r="J17" i="24"/>
  <c r="I17" i="24"/>
  <c r="H17" i="24"/>
  <c r="G17" i="24"/>
  <c r="F17" i="24"/>
  <c r="E17" i="24"/>
  <c r="L16" i="24"/>
  <c r="K16" i="24"/>
  <c r="J16" i="24"/>
  <c r="I16" i="24"/>
  <c r="H16" i="24"/>
  <c r="G16" i="24"/>
  <c r="F16" i="24"/>
  <c r="E16" i="24"/>
  <c r="J15" i="24"/>
  <c r="H15" i="24"/>
  <c r="L15" i="24" s="1"/>
  <c r="G15" i="24"/>
  <c r="K15" i="24" s="1"/>
  <c r="E15" i="24"/>
  <c r="I15" i="24" s="1"/>
  <c r="L14" i="24"/>
  <c r="K14" i="24"/>
  <c r="J14" i="24"/>
  <c r="I14" i="24"/>
  <c r="H14" i="24"/>
  <c r="G14" i="24"/>
  <c r="F14" i="24"/>
  <c r="E14" i="24"/>
  <c r="L13" i="24"/>
  <c r="K13" i="24"/>
  <c r="J13" i="24"/>
  <c r="I13" i="24"/>
  <c r="J12" i="24"/>
  <c r="H12" i="24"/>
  <c r="L12" i="24" s="1"/>
  <c r="G12" i="24"/>
  <c r="K12" i="24" s="1"/>
  <c r="E12" i="24"/>
  <c r="I12" i="24" s="1"/>
  <c r="L11" i="24"/>
  <c r="K11" i="24"/>
  <c r="J11" i="24"/>
  <c r="I11" i="24"/>
  <c r="H11" i="24"/>
  <c r="G11" i="24"/>
  <c r="F11" i="24"/>
  <c r="E11" i="24"/>
  <c r="K10" i="24"/>
  <c r="J10" i="24"/>
  <c r="I10" i="24"/>
  <c r="H10" i="24"/>
  <c r="L10" i="24" s="1"/>
  <c r="G10" i="24"/>
  <c r="E10" i="24"/>
  <c r="L9" i="24"/>
  <c r="K9" i="24"/>
  <c r="J9" i="24"/>
  <c r="I9" i="24"/>
  <c r="H9" i="24"/>
  <c r="G9" i="24"/>
  <c r="F9" i="24"/>
  <c r="E9" i="24"/>
  <c r="C9" i="24"/>
  <c r="K8" i="24"/>
  <c r="I8" i="24"/>
  <c r="H8" i="24"/>
  <c r="L8" i="24" s="1"/>
  <c r="G8" i="24"/>
  <c r="F8" i="24"/>
  <c r="J8" i="24" s="1"/>
  <c r="E8" i="24"/>
  <c r="C8" i="24"/>
  <c r="H7" i="24"/>
  <c r="L7" i="24" s="1"/>
  <c r="G7" i="24"/>
  <c r="K7" i="24" s="1"/>
  <c r="F7" i="24"/>
  <c r="J7" i="24" s="1"/>
  <c r="E7" i="24"/>
  <c r="I7" i="24" s="1"/>
  <c r="H6" i="24"/>
  <c r="G6" i="24"/>
  <c r="E6" i="24"/>
  <c r="C6" i="24"/>
  <c r="H5" i="24"/>
  <c r="L5" i="24" s="1"/>
  <c r="G5" i="24"/>
  <c r="K5" i="24" s="1"/>
  <c r="F5" i="24"/>
  <c r="J5" i="24" s="1"/>
  <c r="E5" i="24"/>
  <c r="I5" i="24" s="1"/>
  <c r="H4" i="24"/>
  <c r="L4" i="24" s="1"/>
  <c r="G4" i="24"/>
  <c r="K4" i="24" s="1"/>
  <c r="F4" i="24"/>
  <c r="J4" i="24" s="1"/>
  <c r="E4" i="24"/>
  <c r="I4" i="24" s="1"/>
  <c r="C25" i="23"/>
  <c r="J25" i="23" s="1"/>
  <c r="C6" i="23"/>
  <c r="C5" i="23"/>
  <c r="C8" i="23"/>
  <c r="L41" i="23"/>
  <c r="K41" i="23"/>
  <c r="J41" i="23"/>
  <c r="I41" i="23"/>
  <c r="E41" i="23"/>
  <c r="G41" i="23"/>
  <c r="F41" i="23"/>
  <c r="C7" i="23"/>
  <c r="C4" i="23"/>
  <c r="L47" i="23"/>
  <c r="K47" i="23"/>
  <c r="J47" i="23"/>
  <c r="I47" i="23"/>
  <c r="L46" i="23"/>
  <c r="K46" i="23"/>
  <c r="J46" i="23"/>
  <c r="I46" i="23"/>
  <c r="L45" i="23"/>
  <c r="K45" i="23"/>
  <c r="J45" i="23"/>
  <c r="A52" i="23" s="1"/>
  <c r="I45" i="23"/>
  <c r="L40" i="23"/>
  <c r="K40" i="23"/>
  <c r="J40" i="23"/>
  <c r="I40" i="23"/>
  <c r="G40" i="23"/>
  <c r="F40" i="23"/>
  <c r="E40" i="23"/>
  <c r="L39" i="23"/>
  <c r="K39" i="23"/>
  <c r="I39" i="23"/>
  <c r="G39" i="23"/>
  <c r="F39" i="23"/>
  <c r="J39" i="23" s="1"/>
  <c r="E39" i="23"/>
  <c r="L38" i="23"/>
  <c r="K38" i="23"/>
  <c r="J38" i="23"/>
  <c r="I38" i="23"/>
  <c r="G38" i="23"/>
  <c r="F38" i="23"/>
  <c r="E38" i="23"/>
  <c r="L37" i="23"/>
  <c r="K37" i="23"/>
  <c r="J37" i="23"/>
  <c r="I37" i="23"/>
  <c r="G37" i="23"/>
  <c r="F37" i="23"/>
  <c r="E37" i="23"/>
  <c r="L36" i="23"/>
  <c r="K36" i="23"/>
  <c r="J36" i="23"/>
  <c r="I36" i="23"/>
  <c r="L35" i="23"/>
  <c r="K35" i="23"/>
  <c r="J35" i="23"/>
  <c r="I35" i="23"/>
  <c r="H35" i="23"/>
  <c r="G35" i="23"/>
  <c r="F35" i="23"/>
  <c r="E35" i="23"/>
  <c r="L34" i="23"/>
  <c r="K34" i="23"/>
  <c r="J34" i="23"/>
  <c r="I34" i="23"/>
  <c r="H34" i="23"/>
  <c r="G34" i="23"/>
  <c r="F34" i="23"/>
  <c r="E34" i="23"/>
  <c r="L33" i="23"/>
  <c r="K33" i="23"/>
  <c r="J33" i="23"/>
  <c r="I33" i="23"/>
  <c r="H33" i="23"/>
  <c r="G33" i="23"/>
  <c r="F33" i="23"/>
  <c r="E33" i="23"/>
  <c r="L32" i="23"/>
  <c r="K32" i="23"/>
  <c r="J32" i="23"/>
  <c r="I32" i="23"/>
  <c r="H32" i="23"/>
  <c r="G32" i="23"/>
  <c r="F32" i="23"/>
  <c r="E32" i="23"/>
  <c r="L31" i="23"/>
  <c r="K31" i="23"/>
  <c r="J31" i="23"/>
  <c r="I31" i="23"/>
  <c r="H31" i="23"/>
  <c r="G31" i="23"/>
  <c r="F31" i="23"/>
  <c r="E31" i="23"/>
  <c r="L30" i="23"/>
  <c r="K30" i="23"/>
  <c r="J30" i="23"/>
  <c r="I30" i="23"/>
  <c r="H30" i="23"/>
  <c r="G30" i="23"/>
  <c r="F30" i="23"/>
  <c r="E30" i="23"/>
  <c r="L29" i="23"/>
  <c r="K29" i="23"/>
  <c r="J29" i="23"/>
  <c r="I29" i="23"/>
  <c r="H29" i="23"/>
  <c r="L28" i="23"/>
  <c r="K28" i="23"/>
  <c r="J28" i="23"/>
  <c r="I28" i="23"/>
  <c r="H28" i="23"/>
  <c r="G28" i="23"/>
  <c r="F28" i="23"/>
  <c r="E28" i="23"/>
  <c r="L27" i="23"/>
  <c r="K27" i="23"/>
  <c r="J27" i="23"/>
  <c r="I27" i="23"/>
  <c r="H27" i="23"/>
  <c r="L26" i="23"/>
  <c r="K26" i="23"/>
  <c r="J26" i="23"/>
  <c r="I26" i="23"/>
  <c r="H26" i="23"/>
  <c r="G26" i="23"/>
  <c r="F26" i="23"/>
  <c r="E26" i="23"/>
  <c r="H25" i="23"/>
  <c r="G25" i="23"/>
  <c r="E25" i="23"/>
  <c r="L24" i="23"/>
  <c r="K24" i="23"/>
  <c r="J24" i="23"/>
  <c r="I24" i="23"/>
  <c r="H24" i="23"/>
  <c r="G24" i="23"/>
  <c r="F24" i="23"/>
  <c r="E24" i="23"/>
  <c r="L23" i="23"/>
  <c r="K23" i="23"/>
  <c r="J23" i="23"/>
  <c r="I23" i="23"/>
  <c r="H23" i="23"/>
  <c r="G23" i="23"/>
  <c r="F23" i="23"/>
  <c r="E23" i="23"/>
  <c r="L22" i="23"/>
  <c r="K22" i="23"/>
  <c r="H22" i="23"/>
  <c r="G22" i="23"/>
  <c r="F22" i="23"/>
  <c r="J22" i="23" s="1"/>
  <c r="E22" i="23"/>
  <c r="I22" i="23" s="1"/>
  <c r="C22" i="23"/>
  <c r="L21" i="23"/>
  <c r="K21" i="23"/>
  <c r="J21" i="23"/>
  <c r="I21" i="23"/>
  <c r="H21" i="23"/>
  <c r="G21" i="23"/>
  <c r="F21" i="23"/>
  <c r="E21" i="23"/>
  <c r="H20" i="23"/>
  <c r="L20" i="23" s="1"/>
  <c r="G20" i="23"/>
  <c r="K20" i="23" s="1"/>
  <c r="F20" i="23"/>
  <c r="J20" i="23" s="1"/>
  <c r="E20" i="23"/>
  <c r="I20" i="23" s="1"/>
  <c r="L19" i="23"/>
  <c r="K19" i="23"/>
  <c r="J19" i="23"/>
  <c r="I19" i="23"/>
  <c r="H19" i="23"/>
  <c r="G19" i="23"/>
  <c r="F19" i="23"/>
  <c r="E19" i="23"/>
  <c r="I18" i="23"/>
  <c r="H18" i="23"/>
  <c r="L18" i="23" s="1"/>
  <c r="F18" i="23"/>
  <c r="J18" i="23" s="1"/>
  <c r="E18" i="23"/>
  <c r="C18" i="23"/>
  <c r="K18" i="23" s="1"/>
  <c r="L17" i="23"/>
  <c r="K17" i="23"/>
  <c r="J17" i="23"/>
  <c r="I17" i="23"/>
  <c r="H17" i="23"/>
  <c r="G17" i="23"/>
  <c r="F17" i="23"/>
  <c r="E17" i="23"/>
  <c r="L16" i="23"/>
  <c r="K16" i="23"/>
  <c r="J16" i="23"/>
  <c r="I16" i="23"/>
  <c r="H16" i="23"/>
  <c r="G16" i="23"/>
  <c r="F16" i="23"/>
  <c r="E16" i="23"/>
  <c r="I15" i="23"/>
  <c r="H15" i="23"/>
  <c r="L15" i="23" s="1"/>
  <c r="G15" i="23"/>
  <c r="E15" i="23"/>
  <c r="C15" i="23"/>
  <c r="J15" i="23" s="1"/>
  <c r="L14" i="23"/>
  <c r="K14" i="23"/>
  <c r="J14" i="23"/>
  <c r="I14" i="23"/>
  <c r="H14" i="23"/>
  <c r="G14" i="23"/>
  <c r="F14" i="23"/>
  <c r="E14" i="23"/>
  <c r="L13" i="23"/>
  <c r="K13" i="23"/>
  <c r="J13" i="23"/>
  <c r="I13" i="23"/>
  <c r="L12" i="23"/>
  <c r="K12" i="23"/>
  <c r="J12" i="23"/>
  <c r="I12" i="23"/>
  <c r="H12" i="23"/>
  <c r="G12" i="23"/>
  <c r="E12" i="23"/>
  <c r="L11" i="23"/>
  <c r="K11" i="23"/>
  <c r="J11" i="23"/>
  <c r="I11" i="23"/>
  <c r="H11" i="23"/>
  <c r="G11" i="23"/>
  <c r="F11" i="23"/>
  <c r="E11" i="23"/>
  <c r="J10" i="23"/>
  <c r="H10" i="23"/>
  <c r="L10" i="23" s="1"/>
  <c r="G10" i="23"/>
  <c r="K10" i="23" s="1"/>
  <c r="E10" i="23"/>
  <c r="I10" i="23" s="1"/>
  <c r="L9" i="23"/>
  <c r="K9" i="23"/>
  <c r="J9" i="23"/>
  <c r="I9" i="23"/>
  <c r="H9" i="23"/>
  <c r="G9" i="23"/>
  <c r="F9" i="23"/>
  <c r="E9" i="23"/>
  <c r="C9" i="23"/>
  <c r="H8" i="23"/>
  <c r="G8" i="23"/>
  <c r="F8" i="23"/>
  <c r="E8" i="23"/>
  <c r="H7" i="23"/>
  <c r="G7" i="23"/>
  <c r="F7" i="23"/>
  <c r="E7" i="23"/>
  <c r="H6" i="23"/>
  <c r="L6" i="23" s="1"/>
  <c r="G6" i="23"/>
  <c r="E6" i="23"/>
  <c r="I6" i="23" s="1"/>
  <c r="H5" i="23"/>
  <c r="G5" i="23"/>
  <c r="K5" i="23" s="1"/>
  <c r="F5" i="23"/>
  <c r="E5" i="23"/>
  <c r="H4" i="23"/>
  <c r="G4" i="23"/>
  <c r="K4" i="23" s="1"/>
  <c r="F4" i="23"/>
  <c r="E4" i="23"/>
  <c r="L8" i="23" l="1"/>
  <c r="L7" i="23"/>
  <c r="J5" i="23"/>
  <c r="L5" i="23"/>
  <c r="J8" i="23"/>
  <c r="I6" i="24"/>
  <c r="I42" i="24" s="1"/>
  <c r="I43" i="24" s="1"/>
  <c r="I4" i="23"/>
  <c r="I7" i="23"/>
  <c r="L6" i="24"/>
  <c r="L44" i="24" s="1"/>
  <c r="K7" i="23"/>
  <c r="K8" i="23"/>
  <c r="I8" i="23"/>
  <c r="J4" i="23"/>
  <c r="I25" i="23"/>
  <c r="K6" i="24"/>
  <c r="K42" i="24" s="1"/>
  <c r="K43" i="24" s="1"/>
  <c r="J7" i="23"/>
  <c r="J6" i="24"/>
  <c r="J25" i="24"/>
  <c r="A51" i="24"/>
  <c r="K25" i="23"/>
  <c r="L25" i="23"/>
  <c r="I5" i="23"/>
  <c r="L4" i="23"/>
  <c r="K15" i="23"/>
  <c r="J6" i="23"/>
  <c r="A51" i="23"/>
  <c r="K6" i="23"/>
  <c r="C15" i="22"/>
  <c r="C22" i="22"/>
  <c r="C18" i="22"/>
  <c r="C7" i="22"/>
  <c r="C4" i="22"/>
  <c r="C8" i="22"/>
  <c r="L11" i="22"/>
  <c r="K11" i="22"/>
  <c r="J11" i="22"/>
  <c r="I11" i="22"/>
  <c r="H11" i="22"/>
  <c r="G11" i="22"/>
  <c r="F11" i="22"/>
  <c r="E11" i="22"/>
  <c r="C6" i="22"/>
  <c r="J6" i="22" s="1"/>
  <c r="C5" i="22"/>
  <c r="L46" i="22"/>
  <c r="K46" i="22"/>
  <c r="J46" i="22"/>
  <c r="I46" i="22"/>
  <c r="L45" i="22"/>
  <c r="K45" i="22"/>
  <c r="J45" i="22"/>
  <c r="I45" i="22"/>
  <c r="L44" i="22"/>
  <c r="K44" i="22"/>
  <c r="J44" i="22"/>
  <c r="A51" i="22" s="1"/>
  <c r="I44" i="22"/>
  <c r="L40" i="22"/>
  <c r="K40" i="22"/>
  <c r="J40" i="22"/>
  <c r="I40" i="22"/>
  <c r="G40" i="22"/>
  <c r="F40" i="22"/>
  <c r="E40" i="22"/>
  <c r="L39" i="22"/>
  <c r="G39" i="22"/>
  <c r="K39" i="22" s="1"/>
  <c r="F39" i="22"/>
  <c r="J39" i="22" s="1"/>
  <c r="E39" i="22"/>
  <c r="I39" i="22" s="1"/>
  <c r="L38" i="22"/>
  <c r="K38" i="22"/>
  <c r="J38" i="22"/>
  <c r="I38" i="22"/>
  <c r="G38" i="22"/>
  <c r="F38" i="22"/>
  <c r="E38" i="22"/>
  <c r="L37" i="22"/>
  <c r="K37" i="22"/>
  <c r="J37" i="22"/>
  <c r="I37" i="22"/>
  <c r="G37" i="22"/>
  <c r="F37" i="22"/>
  <c r="E37" i="22"/>
  <c r="L36" i="22"/>
  <c r="K36" i="22"/>
  <c r="J36" i="22"/>
  <c r="I36" i="22"/>
  <c r="L35" i="22"/>
  <c r="K35" i="22"/>
  <c r="J35" i="22"/>
  <c r="I35" i="22"/>
  <c r="H35" i="22"/>
  <c r="G35" i="22"/>
  <c r="F35" i="22"/>
  <c r="E35" i="22"/>
  <c r="L34" i="22"/>
  <c r="K34" i="22"/>
  <c r="J34" i="22"/>
  <c r="I34" i="22"/>
  <c r="H34" i="22"/>
  <c r="G34" i="22"/>
  <c r="F34" i="22"/>
  <c r="E34" i="22"/>
  <c r="L33" i="22"/>
  <c r="K33" i="22"/>
  <c r="J33" i="22"/>
  <c r="I33" i="22"/>
  <c r="H33" i="22"/>
  <c r="G33" i="22"/>
  <c r="F33" i="22"/>
  <c r="E33" i="22"/>
  <c r="L32" i="22"/>
  <c r="K32" i="22"/>
  <c r="J32" i="22"/>
  <c r="I32" i="22"/>
  <c r="H32" i="22"/>
  <c r="G32" i="22"/>
  <c r="F32" i="22"/>
  <c r="E32" i="22"/>
  <c r="L31" i="22"/>
  <c r="K31" i="22"/>
  <c r="J31" i="22"/>
  <c r="I31" i="22"/>
  <c r="H31" i="22"/>
  <c r="G31" i="22"/>
  <c r="F31" i="22"/>
  <c r="E31" i="22"/>
  <c r="L30" i="22"/>
  <c r="K30" i="22"/>
  <c r="J30" i="22"/>
  <c r="I30" i="22"/>
  <c r="H30" i="22"/>
  <c r="G30" i="22"/>
  <c r="F30" i="22"/>
  <c r="E30" i="22"/>
  <c r="L29" i="22"/>
  <c r="K29" i="22"/>
  <c r="J29" i="22"/>
  <c r="I29" i="22"/>
  <c r="H29" i="22"/>
  <c r="L28" i="22"/>
  <c r="K28" i="22"/>
  <c r="J28" i="22"/>
  <c r="I28" i="22"/>
  <c r="H28" i="22"/>
  <c r="G28" i="22"/>
  <c r="F28" i="22"/>
  <c r="E28" i="22"/>
  <c r="L27" i="22"/>
  <c r="K27" i="22"/>
  <c r="J27" i="22"/>
  <c r="I27" i="22"/>
  <c r="H27" i="22"/>
  <c r="L26" i="22"/>
  <c r="K26" i="22"/>
  <c r="J26" i="22"/>
  <c r="I26" i="22"/>
  <c r="H26" i="22"/>
  <c r="G26" i="22"/>
  <c r="F26" i="22"/>
  <c r="E26" i="22"/>
  <c r="J25" i="22"/>
  <c r="I25" i="22"/>
  <c r="H25" i="22"/>
  <c r="L25" i="22" s="1"/>
  <c r="G25" i="22"/>
  <c r="K25" i="22" s="1"/>
  <c r="E25" i="22"/>
  <c r="C25" i="22"/>
  <c r="L24" i="22"/>
  <c r="K24" i="22"/>
  <c r="J24" i="22"/>
  <c r="I24" i="22"/>
  <c r="H24" i="22"/>
  <c r="G24" i="22"/>
  <c r="F24" i="22"/>
  <c r="E24" i="22"/>
  <c r="L23" i="22"/>
  <c r="K23" i="22"/>
  <c r="J23" i="22"/>
  <c r="I23" i="22"/>
  <c r="H23" i="22"/>
  <c r="G23" i="22"/>
  <c r="F23" i="22"/>
  <c r="E23" i="22"/>
  <c r="H22" i="22"/>
  <c r="G22" i="22"/>
  <c r="F22" i="22"/>
  <c r="J22" i="22" s="1"/>
  <c r="E22" i="22"/>
  <c r="I22" i="22" s="1"/>
  <c r="L21" i="22"/>
  <c r="K21" i="22"/>
  <c r="J21" i="22"/>
  <c r="I21" i="22"/>
  <c r="H21" i="22"/>
  <c r="G21" i="22"/>
  <c r="F21" i="22"/>
  <c r="E21" i="22"/>
  <c r="L20" i="22"/>
  <c r="I20" i="22"/>
  <c r="H20" i="22"/>
  <c r="G20" i="22"/>
  <c r="K20" i="22" s="1"/>
  <c r="F20" i="22"/>
  <c r="J20" i="22" s="1"/>
  <c r="E20" i="22"/>
  <c r="L19" i="22"/>
  <c r="K19" i="22"/>
  <c r="J19" i="22"/>
  <c r="I19" i="22"/>
  <c r="H19" i="22"/>
  <c r="G19" i="22"/>
  <c r="F19" i="22"/>
  <c r="E19" i="22"/>
  <c r="H18" i="22"/>
  <c r="F18" i="22"/>
  <c r="E18" i="22"/>
  <c r="L17" i="22"/>
  <c r="K17" i="22"/>
  <c r="J17" i="22"/>
  <c r="I17" i="22"/>
  <c r="H17" i="22"/>
  <c r="G17" i="22"/>
  <c r="F17" i="22"/>
  <c r="E17" i="22"/>
  <c r="L16" i="22"/>
  <c r="K16" i="22"/>
  <c r="J16" i="22"/>
  <c r="I16" i="22"/>
  <c r="H16" i="22"/>
  <c r="G16" i="22"/>
  <c r="F16" i="22"/>
  <c r="E16" i="22"/>
  <c r="H15" i="22"/>
  <c r="G15" i="22"/>
  <c r="E15" i="22"/>
  <c r="L14" i="22"/>
  <c r="K14" i="22"/>
  <c r="J14" i="22"/>
  <c r="I14" i="22"/>
  <c r="H14" i="22"/>
  <c r="G14" i="22"/>
  <c r="F14" i="22"/>
  <c r="E14" i="22"/>
  <c r="L13" i="22"/>
  <c r="K13" i="22"/>
  <c r="J13" i="22"/>
  <c r="I13" i="22"/>
  <c r="L12" i="22"/>
  <c r="K12" i="22"/>
  <c r="J12" i="22"/>
  <c r="I12" i="22"/>
  <c r="H12" i="22"/>
  <c r="G12" i="22"/>
  <c r="E12" i="22"/>
  <c r="J10" i="22"/>
  <c r="H10" i="22"/>
  <c r="L10" i="22" s="1"/>
  <c r="G10" i="22"/>
  <c r="K10" i="22" s="1"/>
  <c r="E10" i="22"/>
  <c r="I10" i="22" s="1"/>
  <c r="I9" i="22"/>
  <c r="H9" i="22"/>
  <c r="L9" i="22" s="1"/>
  <c r="G9" i="22"/>
  <c r="K9" i="22" s="1"/>
  <c r="F9" i="22"/>
  <c r="E9" i="22"/>
  <c r="C9" i="22"/>
  <c r="J9" i="22" s="1"/>
  <c r="H8" i="22"/>
  <c r="G8" i="22"/>
  <c r="F8" i="22"/>
  <c r="E8" i="22"/>
  <c r="H7" i="22"/>
  <c r="G7" i="22"/>
  <c r="F7" i="22"/>
  <c r="E7" i="22"/>
  <c r="H6" i="22"/>
  <c r="L6" i="22" s="1"/>
  <c r="G6" i="22"/>
  <c r="E6" i="22"/>
  <c r="H5" i="22"/>
  <c r="G5" i="22"/>
  <c r="F5" i="22"/>
  <c r="E5" i="22"/>
  <c r="H4" i="22"/>
  <c r="G4" i="22"/>
  <c r="F4" i="22"/>
  <c r="E4" i="22"/>
  <c r="K6" i="22" l="1"/>
  <c r="L18" i="22"/>
  <c r="I18" i="22"/>
  <c r="J18" i="22"/>
  <c r="K5" i="22"/>
  <c r="J42" i="24"/>
  <c r="J43" i="24" s="1"/>
  <c r="K4" i="22"/>
  <c r="I5" i="22"/>
  <c r="J42" i="23"/>
  <c r="J43" i="23" s="1"/>
  <c r="I7" i="22"/>
  <c r="I42" i="23"/>
  <c r="I43" i="23" s="1"/>
  <c r="K15" i="22"/>
  <c r="J7" i="22"/>
  <c r="I6" i="22"/>
  <c r="L8" i="22"/>
  <c r="L5" i="22"/>
  <c r="L44" i="23"/>
  <c r="K42" i="23"/>
  <c r="K43" i="23" s="1"/>
  <c r="J15" i="22"/>
  <c r="L15" i="22"/>
  <c r="I15" i="22"/>
  <c r="J4" i="22"/>
  <c r="I4" i="22"/>
  <c r="I8" i="22"/>
  <c r="K22" i="22"/>
  <c r="L22" i="22"/>
  <c r="K7" i="22"/>
  <c r="L7" i="22"/>
  <c r="J5" i="22"/>
  <c r="J8" i="22"/>
  <c r="K8" i="22"/>
  <c r="K18" i="22"/>
  <c r="L4" i="22"/>
  <c r="A50" i="22"/>
  <c r="E24" i="21"/>
  <c r="C21" i="21"/>
  <c r="C8" i="21"/>
  <c r="C17" i="21"/>
  <c r="L38" i="21"/>
  <c r="K38" i="21"/>
  <c r="J38" i="21"/>
  <c r="I38" i="21"/>
  <c r="G38" i="21"/>
  <c r="F38" i="21"/>
  <c r="E38" i="21"/>
  <c r="F39" i="21"/>
  <c r="E39" i="21"/>
  <c r="G39" i="21"/>
  <c r="I39" i="21"/>
  <c r="J39" i="21"/>
  <c r="K39" i="21"/>
  <c r="L39" i="21"/>
  <c r="I43" i="21"/>
  <c r="J43" i="21"/>
  <c r="K43" i="21"/>
  <c r="L43" i="21"/>
  <c r="I44" i="21"/>
  <c r="J44" i="21"/>
  <c r="K44" i="21"/>
  <c r="L44" i="21"/>
  <c r="I45" i="21"/>
  <c r="J45" i="21"/>
  <c r="K45" i="21"/>
  <c r="L45" i="21"/>
  <c r="C9" i="21"/>
  <c r="C7" i="21"/>
  <c r="C6" i="21"/>
  <c r="C5" i="21"/>
  <c r="I41" i="22" l="1"/>
  <c r="I42" i="22" s="1"/>
  <c r="L43" i="22"/>
  <c r="J41" i="22"/>
  <c r="J42" i="22" s="1"/>
  <c r="K41" i="22"/>
  <c r="K42" i="22" s="1"/>
  <c r="A50" i="21"/>
  <c r="L37" i="21"/>
  <c r="K37" i="21"/>
  <c r="J37" i="21"/>
  <c r="I37" i="21"/>
  <c r="G37" i="21"/>
  <c r="F37" i="21"/>
  <c r="E37" i="21"/>
  <c r="L36" i="21"/>
  <c r="K36" i="21"/>
  <c r="I36" i="21"/>
  <c r="G36" i="21"/>
  <c r="F36" i="21"/>
  <c r="J36" i="21" s="1"/>
  <c r="E36" i="21"/>
  <c r="L35" i="21"/>
  <c r="K35" i="21"/>
  <c r="J35" i="21"/>
  <c r="I35" i="21"/>
  <c r="L34" i="21"/>
  <c r="K34" i="21"/>
  <c r="J34" i="21"/>
  <c r="I34" i="21"/>
  <c r="H34" i="21"/>
  <c r="G34" i="21"/>
  <c r="F34" i="21"/>
  <c r="E34" i="21"/>
  <c r="L33" i="21"/>
  <c r="K33" i="21"/>
  <c r="J33" i="21"/>
  <c r="I33" i="21"/>
  <c r="H33" i="21"/>
  <c r="G33" i="21"/>
  <c r="F33" i="21"/>
  <c r="E33" i="21"/>
  <c r="L32" i="21"/>
  <c r="K32" i="21"/>
  <c r="J32" i="21"/>
  <c r="I32" i="21"/>
  <c r="H32" i="21"/>
  <c r="G32" i="21"/>
  <c r="F32" i="21"/>
  <c r="E32" i="21"/>
  <c r="K31" i="21"/>
  <c r="I31" i="21"/>
  <c r="H31" i="21"/>
  <c r="L31" i="21" s="1"/>
  <c r="G31" i="21"/>
  <c r="F31" i="21"/>
  <c r="J31" i="21" s="1"/>
  <c r="E31" i="21"/>
  <c r="L30" i="21"/>
  <c r="K30" i="21"/>
  <c r="J30" i="21"/>
  <c r="I30" i="21"/>
  <c r="H30" i="21"/>
  <c r="G30" i="21"/>
  <c r="F30" i="21"/>
  <c r="E30" i="21"/>
  <c r="L29" i="21"/>
  <c r="K29" i="21"/>
  <c r="J29" i="21"/>
  <c r="I29" i="21"/>
  <c r="H29" i="21"/>
  <c r="G29" i="21"/>
  <c r="F29" i="21"/>
  <c r="E29" i="21"/>
  <c r="L28" i="21"/>
  <c r="K28" i="21"/>
  <c r="J28" i="21"/>
  <c r="I28" i="21"/>
  <c r="H28" i="21"/>
  <c r="L27" i="21"/>
  <c r="K27" i="21"/>
  <c r="J27" i="21"/>
  <c r="I27" i="21"/>
  <c r="H27" i="21"/>
  <c r="G27" i="21"/>
  <c r="F27" i="21"/>
  <c r="E27" i="21"/>
  <c r="L26" i="21"/>
  <c r="K26" i="21"/>
  <c r="J26" i="21"/>
  <c r="I26" i="21"/>
  <c r="H26" i="21"/>
  <c r="L25" i="21"/>
  <c r="K25" i="21"/>
  <c r="J25" i="21"/>
  <c r="I25" i="21"/>
  <c r="H25" i="21"/>
  <c r="G25" i="21"/>
  <c r="F25" i="21"/>
  <c r="E25" i="21"/>
  <c r="H24" i="21"/>
  <c r="G24" i="21"/>
  <c r="C24" i="21"/>
  <c r="J24" i="21" s="1"/>
  <c r="L23" i="21"/>
  <c r="K23" i="21"/>
  <c r="J23" i="21"/>
  <c r="I23" i="21"/>
  <c r="H23" i="21"/>
  <c r="G23" i="21"/>
  <c r="F23" i="21"/>
  <c r="E23" i="21"/>
  <c r="L22" i="21"/>
  <c r="K22" i="21"/>
  <c r="J22" i="21"/>
  <c r="I22" i="21"/>
  <c r="H22" i="21"/>
  <c r="G22" i="21"/>
  <c r="F22" i="21"/>
  <c r="E22" i="21"/>
  <c r="H21" i="21"/>
  <c r="L21" i="21" s="1"/>
  <c r="G21" i="21"/>
  <c r="K21" i="21" s="1"/>
  <c r="F21" i="21"/>
  <c r="J21" i="21" s="1"/>
  <c r="E21" i="21"/>
  <c r="I21" i="21" s="1"/>
  <c r="L20" i="21"/>
  <c r="K20" i="21"/>
  <c r="J20" i="21"/>
  <c r="I20" i="21"/>
  <c r="H20" i="21"/>
  <c r="G20" i="21"/>
  <c r="F20" i="21"/>
  <c r="E20" i="21"/>
  <c r="H19" i="21"/>
  <c r="L19" i="21" s="1"/>
  <c r="G19" i="21"/>
  <c r="K19" i="21" s="1"/>
  <c r="F19" i="21"/>
  <c r="J19" i="21" s="1"/>
  <c r="E19" i="21"/>
  <c r="I19" i="21" s="1"/>
  <c r="L18" i="21"/>
  <c r="K18" i="21"/>
  <c r="J18" i="21"/>
  <c r="I18" i="21"/>
  <c r="H18" i="21"/>
  <c r="G18" i="21"/>
  <c r="F18" i="21"/>
  <c r="E18" i="21"/>
  <c r="H17" i="21"/>
  <c r="L17" i="21" s="1"/>
  <c r="F17" i="21"/>
  <c r="J17" i="21" s="1"/>
  <c r="E17" i="21"/>
  <c r="I17" i="21" s="1"/>
  <c r="L16" i="21"/>
  <c r="K16" i="21"/>
  <c r="J16" i="21"/>
  <c r="I16" i="21"/>
  <c r="H16" i="21"/>
  <c r="G16" i="21"/>
  <c r="F16" i="21"/>
  <c r="E16" i="21"/>
  <c r="L15" i="21"/>
  <c r="K15" i="21"/>
  <c r="J15" i="21"/>
  <c r="I15" i="21"/>
  <c r="H15" i="21"/>
  <c r="G15" i="21"/>
  <c r="F15" i="21"/>
  <c r="E15" i="21"/>
  <c r="J14" i="21"/>
  <c r="H14" i="21"/>
  <c r="L14" i="21" s="1"/>
  <c r="G14" i="21"/>
  <c r="K14" i="21" s="1"/>
  <c r="E14" i="21"/>
  <c r="I14" i="21" s="1"/>
  <c r="L13" i="21"/>
  <c r="K13" i="21"/>
  <c r="J13" i="21"/>
  <c r="I13" i="21"/>
  <c r="H13" i="21"/>
  <c r="G13" i="21"/>
  <c r="F13" i="21"/>
  <c r="E13" i="21"/>
  <c r="L12" i="21"/>
  <c r="K12" i="21"/>
  <c r="J12" i="21"/>
  <c r="I12" i="21"/>
  <c r="K11" i="21"/>
  <c r="J11" i="21"/>
  <c r="H11" i="21"/>
  <c r="L11" i="21" s="1"/>
  <c r="G11" i="21"/>
  <c r="E11" i="21"/>
  <c r="I11" i="21" s="1"/>
  <c r="L10" i="21"/>
  <c r="K10" i="21"/>
  <c r="J10" i="21"/>
  <c r="I10" i="21"/>
  <c r="H10" i="21"/>
  <c r="G10" i="21"/>
  <c r="E10" i="21"/>
  <c r="H9" i="21"/>
  <c r="L9" i="21" s="1"/>
  <c r="G9" i="21"/>
  <c r="K9" i="21" s="1"/>
  <c r="F9" i="21"/>
  <c r="J9" i="21" s="1"/>
  <c r="E9" i="21"/>
  <c r="I9" i="21" s="1"/>
  <c r="H8" i="21"/>
  <c r="L8" i="21" s="1"/>
  <c r="G8" i="21"/>
  <c r="K8" i="21" s="1"/>
  <c r="F8" i="21"/>
  <c r="J8" i="21" s="1"/>
  <c r="E8" i="21"/>
  <c r="I8" i="21" s="1"/>
  <c r="H7" i="21"/>
  <c r="L7" i="21" s="1"/>
  <c r="G7" i="21"/>
  <c r="K7" i="21" s="1"/>
  <c r="F7" i="21"/>
  <c r="E7" i="21"/>
  <c r="I7" i="21" s="1"/>
  <c r="H6" i="21"/>
  <c r="L6" i="21" s="1"/>
  <c r="G6" i="21"/>
  <c r="K6" i="21" s="1"/>
  <c r="E6" i="21"/>
  <c r="J6" i="21"/>
  <c r="H5" i="21"/>
  <c r="G5" i="21"/>
  <c r="K5" i="21" s="1"/>
  <c r="F5" i="21"/>
  <c r="E5" i="21"/>
  <c r="I5" i="21" s="1"/>
  <c r="L5" i="21"/>
  <c r="H4" i="21"/>
  <c r="G4" i="21"/>
  <c r="F4" i="21"/>
  <c r="E4" i="21"/>
  <c r="C4" i="21"/>
  <c r="L4" i="21" s="1"/>
  <c r="C8" i="20"/>
  <c r="C19" i="20"/>
  <c r="C6" i="20"/>
  <c r="C5" i="20"/>
  <c r="J4" i="21" l="1"/>
  <c r="K24" i="21"/>
  <c r="K4" i="21"/>
  <c r="L24" i="21"/>
  <c r="L42" i="21" s="1"/>
  <c r="I4" i="21"/>
  <c r="I24" i="21"/>
  <c r="K17" i="21"/>
  <c r="J5" i="21"/>
  <c r="J7" i="21"/>
  <c r="I6" i="21"/>
  <c r="I40" i="21" s="1"/>
  <c r="I41" i="21" s="1"/>
  <c r="A49" i="21"/>
  <c r="C7" i="20"/>
  <c r="C4" i="20"/>
  <c r="L45" i="20"/>
  <c r="K45" i="20"/>
  <c r="J45" i="20"/>
  <c r="I45" i="20"/>
  <c r="L44" i="20"/>
  <c r="K44" i="20"/>
  <c r="J44" i="20"/>
  <c r="I44" i="20"/>
  <c r="L43" i="20"/>
  <c r="K43" i="20"/>
  <c r="J43" i="20"/>
  <c r="A50" i="20" s="1"/>
  <c r="I43" i="20"/>
  <c r="F38" i="20"/>
  <c r="E38" i="20"/>
  <c r="L37" i="20"/>
  <c r="K37" i="20"/>
  <c r="J37" i="20"/>
  <c r="I37" i="20"/>
  <c r="G37" i="20"/>
  <c r="F37" i="20"/>
  <c r="E37" i="20"/>
  <c r="L36" i="20"/>
  <c r="G36" i="20"/>
  <c r="K36" i="20" s="1"/>
  <c r="F36" i="20"/>
  <c r="J36" i="20" s="1"/>
  <c r="E36" i="20"/>
  <c r="I36" i="20" s="1"/>
  <c r="L35" i="20"/>
  <c r="K35" i="20"/>
  <c r="J35" i="20"/>
  <c r="I35" i="20"/>
  <c r="L34" i="20"/>
  <c r="K34" i="20"/>
  <c r="J34" i="20"/>
  <c r="I34" i="20"/>
  <c r="H34" i="20"/>
  <c r="G34" i="20"/>
  <c r="F34" i="20"/>
  <c r="E34" i="20"/>
  <c r="L33" i="20"/>
  <c r="K33" i="20"/>
  <c r="J33" i="20"/>
  <c r="I33" i="20"/>
  <c r="H33" i="20"/>
  <c r="G33" i="20"/>
  <c r="F33" i="20"/>
  <c r="E33" i="20"/>
  <c r="L32" i="20"/>
  <c r="K32" i="20"/>
  <c r="J32" i="20"/>
  <c r="I32" i="20"/>
  <c r="H32" i="20"/>
  <c r="G32" i="20"/>
  <c r="F32" i="20"/>
  <c r="E32" i="20"/>
  <c r="H31" i="20"/>
  <c r="L31" i="20" s="1"/>
  <c r="G31" i="20"/>
  <c r="K31" i="20" s="1"/>
  <c r="F31" i="20"/>
  <c r="J31" i="20" s="1"/>
  <c r="E31" i="20"/>
  <c r="I31" i="20" s="1"/>
  <c r="L30" i="20"/>
  <c r="K30" i="20"/>
  <c r="J30" i="20"/>
  <c r="I30" i="20"/>
  <c r="H30" i="20"/>
  <c r="G30" i="20"/>
  <c r="F30" i="20"/>
  <c r="E30" i="20"/>
  <c r="L29" i="20"/>
  <c r="K29" i="20"/>
  <c r="J29" i="20"/>
  <c r="I29" i="20"/>
  <c r="H29" i="20"/>
  <c r="G29" i="20"/>
  <c r="F29" i="20"/>
  <c r="E29" i="20"/>
  <c r="L28" i="20"/>
  <c r="K28" i="20"/>
  <c r="J28" i="20"/>
  <c r="I28" i="20"/>
  <c r="H28" i="20"/>
  <c r="L27" i="20"/>
  <c r="K27" i="20"/>
  <c r="J27" i="20"/>
  <c r="I27" i="20"/>
  <c r="H27" i="20"/>
  <c r="G27" i="20"/>
  <c r="F27" i="20"/>
  <c r="E27" i="20"/>
  <c r="L26" i="20"/>
  <c r="K26" i="20"/>
  <c r="J26" i="20"/>
  <c r="I26" i="20"/>
  <c r="H26" i="20"/>
  <c r="L25" i="20"/>
  <c r="K25" i="20"/>
  <c r="J25" i="20"/>
  <c r="I25" i="20"/>
  <c r="H25" i="20"/>
  <c r="G25" i="20"/>
  <c r="F25" i="20"/>
  <c r="E25" i="20"/>
  <c r="L24" i="20"/>
  <c r="K24" i="20"/>
  <c r="J24" i="20"/>
  <c r="I24" i="20"/>
  <c r="H24" i="20"/>
  <c r="G24" i="20"/>
  <c r="E24" i="20"/>
  <c r="C24" i="20"/>
  <c r="L23" i="20"/>
  <c r="K23" i="20"/>
  <c r="J23" i="20"/>
  <c r="I23" i="20"/>
  <c r="H23" i="20"/>
  <c r="G23" i="20"/>
  <c r="F23" i="20"/>
  <c r="E23" i="20"/>
  <c r="L22" i="20"/>
  <c r="K22" i="20"/>
  <c r="J22" i="20"/>
  <c r="I22" i="20"/>
  <c r="H22" i="20"/>
  <c r="G22" i="20"/>
  <c r="F22" i="20"/>
  <c r="E22" i="20"/>
  <c r="L21" i="20"/>
  <c r="K21" i="20"/>
  <c r="J21" i="20"/>
  <c r="I21" i="20"/>
  <c r="H21" i="20"/>
  <c r="G21" i="20"/>
  <c r="F21" i="20"/>
  <c r="E21" i="20"/>
  <c r="L20" i="20"/>
  <c r="K20" i="20"/>
  <c r="J20" i="20"/>
  <c r="I20" i="20"/>
  <c r="H20" i="20"/>
  <c r="G20" i="20"/>
  <c r="F20" i="20"/>
  <c r="E20" i="20"/>
  <c r="H19" i="20"/>
  <c r="G19" i="20"/>
  <c r="F19" i="20"/>
  <c r="E19" i="20"/>
  <c r="I19" i="20" s="1"/>
  <c r="L18" i="20"/>
  <c r="K18" i="20"/>
  <c r="J18" i="20"/>
  <c r="I18" i="20"/>
  <c r="H18" i="20"/>
  <c r="G18" i="20"/>
  <c r="F18" i="20"/>
  <c r="E18" i="20"/>
  <c r="H17" i="20"/>
  <c r="F17" i="20"/>
  <c r="E17" i="20"/>
  <c r="C17" i="20"/>
  <c r="K17" i="20" s="1"/>
  <c r="L16" i="20"/>
  <c r="K16" i="20"/>
  <c r="J16" i="20"/>
  <c r="I16" i="20"/>
  <c r="H16" i="20"/>
  <c r="G16" i="20"/>
  <c r="F16" i="20"/>
  <c r="E16" i="20"/>
  <c r="L15" i="20"/>
  <c r="K15" i="20"/>
  <c r="J15" i="20"/>
  <c r="I15" i="20"/>
  <c r="H15" i="20"/>
  <c r="G15" i="20"/>
  <c r="F15" i="20"/>
  <c r="E15" i="20"/>
  <c r="J14" i="20"/>
  <c r="H14" i="20"/>
  <c r="L14" i="20" s="1"/>
  <c r="G14" i="20"/>
  <c r="K14" i="20" s="1"/>
  <c r="E14" i="20"/>
  <c r="I14" i="20" s="1"/>
  <c r="L13" i="20"/>
  <c r="K13" i="20"/>
  <c r="J13" i="20"/>
  <c r="I13" i="20"/>
  <c r="H13" i="20"/>
  <c r="G13" i="20"/>
  <c r="F13" i="20"/>
  <c r="E13" i="20"/>
  <c r="L12" i="20"/>
  <c r="K12" i="20"/>
  <c r="J12" i="20"/>
  <c r="I12" i="20"/>
  <c r="J11" i="20"/>
  <c r="H11" i="20"/>
  <c r="L11" i="20" s="1"/>
  <c r="G11" i="20"/>
  <c r="K11" i="20" s="1"/>
  <c r="E11" i="20"/>
  <c r="I11" i="20" s="1"/>
  <c r="L10" i="20"/>
  <c r="K10" i="20"/>
  <c r="J10" i="20"/>
  <c r="H10" i="20"/>
  <c r="G10" i="20"/>
  <c r="E10" i="20"/>
  <c r="I10" i="20" s="1"/>
  <c r="L9" i="20"/>
  <c r="K9" i="20"/>
  <c r="J9" i="20"/>
  <c r="I9" i="20"/>
  <c r="H9" i="20"/>
  <c r="G9" i="20"/>
  <c r="F9" i="20"/>
  <c r="E9" i="20"/>
  <c r="C9" i="20"/>
  <c r="H8" i="20"/>
  <c r="L8" i="20" s="1"/>
  <c r="G8" i="20"/>
  <c r="K8" i="20" s="1"/>
  <c r="F8" i="20"/>
  <c r="J8" i="20" s="1"/>
  <c r="E8" i="20"/>
  <c r="I8" i="20" s="1"/>
  <c r="H7" i="20"/>
  <c r="G7" i="20"/>
  <c r="F7" i="20"/>
  <c r="J7" i="20" s="1"/>
  <c r="E7" i="20"/>
  <c r="J6" i="20"/>
  <c r="H6" i="20"/>
  <c r="L6" i="20" s="1"/>
  <c r="G6" i="20"/>
  <c r="K6" i="20" s="1"/>
  <c r="E6" i="20"/>
  <c r="I6" i="20" s="1"/>
  <c r="H5" i="20"/>
  <c r="G5" i="20"/>
  <c r="K5" i="20" s="1"/>
  <c r="F5" i="20"/>
  <c r="J5" i="20" s="1"/>
  <c r="E5" i="20"/>
  <c r="I5" i="20" s="1"/>
  <c r="H4" i="20"/>
  <c r="L4" i="20" s="1"/>
  <c r="G4" i="20"/>
  <c r="F4" i="20"/>
  <c r="E4" i="20"/>
  <c r="I4" i="20" s="1"/>
  <c r="C4" i="19"/>
  <c r="C19" i="19"/>
  <c r="C7" i="19"/>
  <c r="C5" i="19"/>
  <c r="C17" i="19"/>
  <c r="F38" i="19"/>
  <c r="E38" i="19"/>
  <c r="L37" i="19"/>
  <c r="G37" i="19"/>
  <c r="K37" i="19" s="1"/>
  <c r="F37" i="19"/>
  <c r="J37" i="19" s="1"/>
  <c r="E37" i="19"/>
  <c r="I37" i="19" s="1"/>
  <c r="H14" i="19"/>
  <c r="L14" i="19" s="1"/>
  <c r="G14" i="19"/>
  <c r="E14" i="19"/>
  <c r="I14" i="19" s="1"/>
  <c r="L7" i="20" l="1"/>
  <c r="J17" i="20"/>
  <c r="L17" i="20"/>
  <c r="K4" i="20"/>
  <c r="I17" i="20"/>
  <c r="J4" i="20"/>
  <c r="J40" i="21"/>
  <c r="J41" i="21" s="1"/>
  <c r="K7" i="20"/>
  <c r="K40" i="21"/>
  <c r="K41" i="21" s="1"/>
  <c r="I7" i="20"/>
  <c r="A49" i="20"/>
  <c r="L5" i="20"/>
  <c r="K19" i="20"/>
  <c r="L19" i="20"/>
  <c r="J19" i="20"/>
  <c r="K14" i="19"/>
  <c r="J14" i="19"/>
  <c r="L45" i="19"/>
  <c r="K45" i="19"/>
  <c r="J45" i="19"/>
  <c r="I45" i="19"/>
  <c r="L44" i="19"/>
  <c r="K44" i="19"/>
  <c r="J44" i="19"/>
  <c r="I44" i="19"/>
  <c r="L43" i="19"/>
  <c r="K43" i="19"/>
  <c r="J43" i="19"/>
  <c r="A50" i="19" s="1"/>
  <c r="I43" i="19"/>
  <c r="L36" i="19"/>
  <c r="G36" i="19"/>
  <c r="K36" i="19" s="1"/>
  <c r="F36" i="19"/>
  <c r="J36" i="19" s="1"/>
  <c r="E36" i="19"/>
  <c r="I36" i="19" s="1"/>
  <c r="L35" i="19"/>
  <c r="K35" i="19"/>
  <c r="J35" i="19"/>
  <c r="I35" i="19"/>
  <c r="L34" i="19"/>
  <c r="K34" i="19"/>
  <c r="J34" i="19"/>
  <c r="I34" i="19"/>
  <c r="H34" i="19"/>
  <c r="G34" i="19"/>
  <c r="F34" i="19"/>
  <c r="E34" i="19"/>
  <c r="L33" i="19"/>
  <c r="K33" i="19"/>
  <c r="J33" i="19"/>
  <c r="I33" i="19"/>
  <c r="H33" i="19"/>
  <c r="G33" i="19"/>
  <c r="F33" i="19"/>
  <c r="E33" i="19"/>
  <c r="L32" i="19"/>
  <c r="K32" i="19"/>
  <c r="J32" i="19"/>
  <c r="I32" i="19"/>
  <c r="H32" i="19"/>
  <c r="G32" i="19"/>
  <c r="F32" i="19"/>
  <c r="E32" i="19"/>
  <c r="L31" i="19"/>
  <c r="K31" i="19"/>
  <c r="J31" i="19"/>
  <c r="I31" i="19"/>
  <c r="H31" i="19"/>
  <c r="G31" i="19"/>
  <c r="F31" i="19"/>
  <c r="E31" i="19"/>
  <c r="L30" i="19"/>
  <c r="K30" i="19"/>
  <c r="J30" i="19"/>
  <c r="I30" i="19"/>
  <c r="H30" i="19"/>
  <c r="G30" i="19"/>
  <c r="F30" i="19"/>
  <c r="E30" i="19"/>
  <c r="L29" i="19"/>
  <c r="K29" i="19"/>
  <c r="J29" i="19"/>
  <c r="I29" i="19"/>
  <c r="H29" i="19"/>
  <c r="G29" i="19"/>
  <c r="F29" i="19"/>
  <c r="E29" i="19"/>
  <c r="L28" i="19"/>
  <c r="K28" i="19"/>
  <c r="J28" i="19"/>
  <c r="I28" i="19"/>
  <c r="H28" i="19"/>
  <c r="L27" i="19"/>
  <c r="K27" i="19"/>
  <c r="J27" i="19"/>
  <c r="I27" i="19"/>
  <c r="H27" i="19"/>
  <c r="G27" i="19"/>
  <c r="F27" i="19"/>
  <c r="E27" i="19"/>
  <c r="L26" i="19"/>
  <c r="K26" i="19"/>
  <c r="J26" i="19"/>
  <c r="I26" i="19"/>
  <c r="H26" i="19"/>
  <c r="L25" i="19"/>
  <c r="K25" i="19"/>
  <c r="J25" i="19"/>
  <c r="I25" i="19"/>
  <c r="H25" i="19"/>
  <c r="G25" i="19"/>
  <c r="F25" i="19"/>
  <c r="E25" i="19"/>
  <c r="L24" i="19"/>
  <c r="K24" i="19"/>
  <c r="J24" i="19"/>
  <c r="I24" i="19"/>
  <c r="H24" i="19"/>
  <c r="G24" i="19"/>
  <c r="E24" i="19"/>
  <c r="C24" i="19"/>
  <c r="L23" i="19"/>
  <c r="K23" i="19"/>
  <c r="J23" i="19"/>
  <c r="I23" i="19"/>
  <c r="H23" i="19"/>
  <c r="G23" i="19"/>
  <c r="F23" i="19"/>
  <c r="E23" i="19"/>
  <c r="L22" i="19"/>
  <c r="K22" i="19"/>
  <c r="J22" i="19"/>
  <c r="I22" i="19"/>
  <c r="H22" i="19"/>
  <c r="G22" i="19"/>
  <c r="F22" i="19"/>
  <c r="E22" i="19"/>
  <c r="L21" i="19"/>
  <c r="K21" i="19"/>
  <c r="J21" i="19"/>
  <c r="I21" i="19"/>
  <c r="H21" i="19"/>
  <c r="G21" i="19"/>
  <c r="F21" i="19"/>
  <c r="E21" i="19"/>
  <c r="L20" i="19"/>
  <c r="K20" i="19"/>
  <c r="J20" i="19"/>
  <c r="I20" i="19"/>
  <c r="H20" i="19"/>
  <c r="G20" i="19"/>
  <c r="F20" i="19"/>
  <c r="E20" i="19"/>
  <c r="H19" i="19"/>
  <c r="L19" i="19" s="1"/>
  <c r="G19" i="19"/>
  <c r="K19" i="19" s="1"/>
  <c r="F19" i="19"/>
  <c r="J19" i="19" s="1"/>
  <c r="E19" i="19"/>
  <c r="I19" i="19" s="1"/>
  <c r="L18" i="19"/>
  <c r="K18" i="19"/>
  <c r="J18" i="19"/>
  <c r="I18" i="19"/>
  <c r="H18" i="19"/>
  <c r="G18" i="19"/>
  <c r="F18" i="19"/>
  <c r="E18" i="19"/>
  <c r="H17" i="19"/>
  <c r="L17" i="19" s="1"/>
  <c r="F17" i="19"/>
  <c r="J17" i="19" s="1"/>
  <c r="E17" i="19"/>
  <c r="K17" i="19"/>
  <c r="L16" i="19"/>
  <c r="K16" i="19"/>
  <c r="J16" i="19"/>
  <c r="I16" i="19"/>
  <c r="H16" i="19"/>
  <c r="G16" i="19"/>
  <c r="F16" i="19"/>
  <c r="E16" i="19"/>
  <c r="L15" i="19"/>
  <c r="K15" i="19"/>
  <c r="J15" i="19"/>
  <c r="I15" i="19"/>
  <c r="H15" i="19"/>
  <c r="G15" i="19"/>
  <c r="F15" i="19"/>
  <c r="E15" i="19"/>
  <c r="L13" i="19"/>
  <c r="K13" i="19"/>
  <c r="J13" i="19"/>
  <c r="I13" i="19"/>
  <c r="H13" i="19"/>
  <c r="G13" i="19"/>
  <c r="F13" i="19"/>
  <c r="E13" i="19"/>
  <c r="L12" i="19"/>
  <c r="K12" i="19"/>
  <c r="J12" i="19"/>
  <c r="I12" i="19"/>
  <c r="L11" i="19"/>
  <c r="K11" i="19"/>
  <c r="J11" i="19"/>
  <c r="I11" i="19"/>
  <c r="H11" i="19"/>
  <c r="G11" i="19"/>
  <c r="E11" i="19"/>
  <c r="J10" i="19"/>
  <c r="H10" i="19"/>
  <c r="L10" i="19" s="1"/>
  <c r="G10" i="19"/>
  <c r="K10" i="19" s="1"/>
  <c r="E10" i="19"/>
  <c r="I10" i="19" s="1"/>
  <c r="L9" i="19"/>
  <c r="K9" i="19"/>
  <c r="J9" i="19"/>
  <c r="I9" i="19"/>
  <c r="H9" i="19"/>
  <c r="G9" i="19"/>
  <c r="F9" i="19"/>
  <c r="E9" i="19"/>
  <c r="C9" i="19"/>
  <c r="I8" i="19"/>
  <c r="H8" i="19"/>
  <c r="L8" i="19" s="1"/>
  <c r="G8" i="19"/>
  <c r="K8" i="19" s="1"/>
  <c r="F8" i="19"/>
  <c r="E8" i="19"/>
  <c r="C8" i="19"/>
  <c r="J8" i="19" s="1"/>
  <c r="H7" i="19"/>
  <c r="L7" i="19" s="1"/>
  <c r="G7" i="19"/>
  <c r="K7" i="19" s="1"/>
  <c r="F7" i="19"/>
  <c r="E7" i="19"/>
  <c r="I7" i="19" s="1"/>
  <c r="H6" i="19"/>
  <c r="G6" i="19"/>
  <c r="E6" i="19"/>
  <c r="C6" i="19"/>
  <c r="J6" i="19" s="1"/>
  <c r="H5" i="19"/>
  <c r="L5" i="19" s="1"/>
  <c r="G5" i="19"/>
  <c r="K5" i="19" s="1"/>
  <c r="F5" i="19"/>
  <c r="J5" i="19" s="1"/>
  <c r="E5" i="19"/>
  <c r="I5" i="19" s="1"/>
  <c r="H4" i="19"/>
  <c r="L4" i="19" s="1"/>
  <c r="G4" i="19"/>
  <c r="F4" i="19"/>
  <c r="E4" i="19"/>
  <c r="I4" i="19" s="1"/>
  <c r="C5" i="18"/>
  <c r="C8" i="18"/>
  <c r="C18" i="18"/>
  <c r="C7" i="18"/>
  <c r="C4" i="18"/>
  <c r="C16" i="18"/>
  <c r="E35" i="18"/>
  <c r="I35" i="18" s="1"/>
  <c r="F35" i="18"/>
  <c r="J35" i="18" s="1"/>
  <c r="G35" i="18"/>
  <c r="K35" i="18" s="1"/>
  <c r="L35" i="18"/>
  <c r="L34" i="18"/>
  <c r="K34" i="18"/>
  <c r="J34" i="18"/>
  <c r="I34" i="18"/>
  <c r="C6" i="18"/>
  <c r="K40" i="20" l="1"/>
  <c r="K41" i="20" s="1"/>
  <c r="I40" i="20"/>
  <c r="I41" i="20" s="1"/>
  <c r="K6" i="19"/>
  <c r="J40" i="20"/>
  <c r="J41" i="20" s="1"/>
  <c r="I6" i="19"/>
  <c r="L6" i="19"/>
  <c r="L42" i="20"/>
  <c r="J4" i="19"/>
  <c r="K4" i="19"/>
  <c r="K40" i="19" s="1"/>
  <c r="K41" i="19" s="1"/>
  <c r="L42" i="19"/>
  <c r="J7" i="19"/>
  <c r="I17" i="19"/>
  <c r="A49" i="19"/>
  <c r="L42" i="18"/>
  <c r="K42" i="18"/>
  <c r="J42" i="18"/>
  <c r="I42" i="18"/>
  <c r="L41" i="18"/>
  <c r="K41" i="18"/>
  <c r="J41" i="18"/>
  <c r="I41" i="18"/>
  <c r="L40" i="18"/>
  <c r="K40" i="18"/>
  <c r="J40" i="18"/>
  <c r="A47" i="18" s="1"/>
  <c r="I40" i="18"/>
  <c r="L33" i="18"/>
  <c r="J33" i="18"/>
  <c r="I33" i="18"/>
  <c r="H33" i="18"/>
  <c r="G33" i="18"/>
  <c r="K33" i="18" s="1"/>
  <c r="F33" i="18"/>
  <c r="E33" i="18"/>
  <c r="L32" i="18"/>
  <c r="K32" i="18"/>
  <c r="J32" i="18"/>
  <c r="I32" i="18"/>
  <c r="H32" i="18"/>
  <c r="G32" i="18"/>
  <c r="F32" i="18"/>
  <c r="E32" i="18"/>
  <c r="L31" i="18"/>
  <c r="K31" i="18"/>
  <c r="J31" i="18"/>
  <c r="I31" i="18"/>
  <c r="H31" i="18"/>
  <c r="G31" i="18"/>
  <c r="F31" i="18"/>
  <c r="E31" i="18"/>
  <c r="L30" i="18"/>
  <c r="K30" i="18"/>
  <c r="J30" i="18"/>
  <c r="I30" i="18"/>
  <c r="H30" i="18"/>
  <c r="G30" i="18"/>
  <c r="F30" i="18"/>
  <c r="E30" i="18"/>
  <c r="L29" i="18"/>
  <c r="K29" i="18"/>
  <c r="J29" i="18"/>
  <c r="I29" i="18"/>
  <c r="H29" i="18"/>
  <c r="G29" i="18"/>
  <c r="F29" i="18"/>
  <c r="E29" i="18"/>
  <c r="L28" i="18"/>
  <c r="K28" i="18"/>
  <c r="J28" i="18"/>
  <c r="I28" i="18"/>
  <c r="H28" i="18"/>
  <c r="G28" i="18"/>
  <c r="F28" i="18"/>
  <c r="E28" i="18"/>
  <c r="L27" i="18"/>
  <c r="K27" i="18"/>
  <c r="J27" i="18"/>
  <c r="I27" i="18"/>
  <c r="H27" i="18"/>
  <c r="L26" i="18"/>
  <c r="H26" i="18"/>
  <c r="G26" i="18"/>
  <c r="K26" i="18" s="1"/>
  <c r="F26" i="18"/>
  <c r="J26" i="18" s="1"/>
  <c r="E26" i="18"/>
  <c r="I26" i="18" s="1"/>
  <c r="L25" i="18"/>
  <c r="K25" i="18"/>
  <c r="J25" i="18"/>
  <c r="I25" i="18"/>
  <c r="H25" i="18"/>
  <c r="L24" i="18"/>
  <c r="K24" i="18"/>
  <c r="J24" i="18"/>
  <c r="I24" i="18"/>
  <c r="H24" i="18"/>
  <c r="G24" i="18"/>
  <c r="F24" i="18"/>
  <c r="E24" i="18"/>
  <c r="L23" i="18"/>
  <c r="K23" i="18"/>
  <c r="J23" i="18"/>
  <c r="I23" i="18"/>
  <c r="H23" i="18"/>
  <c r="G23" i="18"/>
  <c r="E23" i="18"/>
  <c r="C23" i="18"/>
  <c r="L22" i="18"/>
  <c r="K22" i="18"/>
  <c r="J22" i="18"/>
  <c r="I22" i="18"/>
  <c r="H22" i="18"/>
  <c r="G22" i="18"/>
  <c r="F22" i="18"/>
  <c r="E22" i="18"/>
  <c r="L21" i="18"/>
  <c r="K21" i="18"/>
  <c r="J21" i="18"/>
  <c r="I21" i="18"/>
  <c r="H21" i="18"/>
  <c r="G21" i="18"/>
  <c r="F21" i="18"/>
  <c r="E21" i="18"/>
  <c r="L20" i="18"/>
  <c r="K20" i="18"/>
  <c r="J20" i="18"/>
  <c r="I20" i="18"/>
  <c r="H20" i="18"/>
  <c r="G20" i="18"/>
  <c r="F20" i="18"/>
  <c r="E20" i="18"/>
  <c r="L19" i="18"/>
  <c r="K19" i="18"/>
  <c r="J19" i="18"/>
  <c r="I19" i="18"/>
  <c r="H19" i="18"/>
  <c r="G19" i="18"/>
  <c r="F19" i="18"/>
  <c r="E19" i="18"/>
  <c r="H18" i="18"/>
  <c r="L18" i="18" s="1"/>
  <c r="G18" i="18"/>
  <c r="K18" i="18" s="1"/>
  <c r="F18" i="18"/>
  <c r="J18" i="18" s="1"/>
  <c r="E18" i="18"/>
  <c r="I18" i="18" s="1"/>
  <c r="L17" i="18"/>
  <c r="K17" i="18"/>
  <c r="J17" i="18"/>
  <c r="I17" i="18"/>
  <c r="H17" i="18"/>
  <c r="G17" i="18"/>
  <c r="F17" i="18"/>
  <c r="E17" i="18"/>
  <c r="H16" i="18"/>
  <c r="L16" i="18" s="1"/>
  <c r="F16" i="18"/>
  <c r="J16" i="18" s="1"/>
  <c r="E16" i="18"/>
  <c r="I16" i="18" s="1"/>
  <c r="K16" i="18"/>
  <c r="L15" i="18"/>
  <c r="K15" i="18"/>
  <c r="J15" i="18"/>
  <c r="I15" i="18"/>
  <c r="H15" i="18"/>
  <c r="G15" i="18"/>
  <c r="F15" i="18"/>
  <c r="E15" i="18"/>
  <c r="L14" i="18"/>
  <c r="K14" i="18"/>
  <c r="J14" i="18"/>
  <c r="I14" i="18"/>
  <c r="H14" i="18"/>
  <c r="G14" i="18"/>
  <c r="F14" i="18"/>
  <c r="E14" i="18"/>
  <c r="L13" i="18"/>
  <c r="H13" i="18"/>
  <c r="G13" i="18"/>
  <c r="K13" i="18" s="1"/>
  <c r="F13" i="18"/>
  <c r="J13" i="18" s="1"/>
  <c r="E13" i="18"/>
  <c r="I13" i="18" s="1"/>
  <c r="L12" i="18"/>
  <c r="K12" i="18"/>
  <c r="J12" i="18"/>
  <c r="I12" i="18"/>
  <c r="L11" i="18"/>
  <c r="K11" i="18"/>
  <c r="J11" i="18"/>
  <c r="I11" i="18"/>
  <c r="H11" i="18"/>
  <c r="G11" i="18"/>
  <c r="E11" i="18"/>
  <c r="J10" i="18"/>
  <c r="H10" i="18"/>
  <c r="L10" i="18" s="1"/>
  <c r="G10" i="18"/>
  <c r="K10" i="18" s="1"/>
  <c r="E10" i="18"/>
  <c r="I10" i="18" s="1"/>
  <c r="L9" i="18"/>
  <c r="K9" i="18"/>
  <c r="J9" i="18"/>
  <c r="I9" i="18"/>
  <c r="H9" i="18"/>
  <c r="G9" i="18"/>
  <c r="F9" i="18"/>
  <c r="E9" i="18"/>
  <c r="C9" i="18"/>
  <c r="H8" i="18"/>
  <c r="G8" i="18"/>
  <c r="K8" i="18" s="1"/>
  <c r="F8" i="18"/>
  <c r="J8" i="18" s="1"/>
  <c r="E8" i="18"/>
  <c r="I8" i="18" s="1"/>
  <c r="H7" i="18"/>
  <c r="L7" i="18" s="1"/>
  <c r="G7" i="18"/>
  <c r="K7" i="18" s="1"/>
  <c r="F7" i="18"/>
  <c r="J7" i="18" s="1"/>
  <c r="E7" i="18"/>
  <c r="I7" i="18" s="1"/>
  <c r="H6" i="18"/>
  <c r="G6" i="18"/>
  <c r="K6" i="18" s="1"/>
  <c r="E6" i="18"/>
  <c r="I6" i="18" s="1"/>
  <c r="J6" i="18"/>
  <c r="H5" i="18"/>
  <c r="L5" i="18" s="1"/>
  <c r="G5" i="18"/>
  <c r="K5" i="18" s="1"/>
  <c r="F5" i="18"/>
  <c r="J5" i="18" s="1"/>
  <c r="E5" i="18"/>
  <c r="I5" i="18" s="1"/>
  <c r="H4" i="18"/>
  <c r="G4" i="18"/>
  <c r="K4" i="18" s="1"/>
  <c r="F4" i="18"/>
  <c r="J4" i="18" s="1"/>
  <c r="E4" i="18"/>
  <c r="H13" i="17"/>
  <c r="L13" i="17" s="1"/>
  <c r="G13" i="17"/>
  <c r="K13" i="17" s="1"/>
  <c r="F13" i="17"/>
  <c r="J13" i="17" s="1"/>
  <c r="E13" i="17"/>
  <c r="I13" i="17" s="1"/>
  <c r="C23" i="17"/>
  <c r="C8" i="17"/>
  <c r="C9" i="17"/>
  <c r="C4" i="17"/>
  <c r="C7" i="17"/>
  <c r="C16" i="17"/>
  <c r="L40" i="17"/>
  <c r="L39" i="17"/>
  <c r="E8" i="17"/>
  <c r="F8" i="17"/>
  <c r="J8" i="17" s="1"/>
  <c r="G8" i="17"/>
  <c r="H8" i="17"/>
  <c r="L41" i="17"/>
  <c r="K40" i="17"/>
  <c r="K41" i="17"/>
  <c r="J41" i="17"/>
  <c r="I41" i="17"/>
  <c r="I40" i="17"/>
  <c r="J40" i="17"/>
  <c r="K39" i="17"/>
  <c r="J39" i="17"/>
  <c r="A39" i="17" s="1"/>
  <c r="I39" i="17"/>
  <c r="C18" i="17"/>
  <c r="C6" i="17"/>
  <c r="C5" i="17"/>
  <c r="I40" i="19" l="1"/>
  <c r="I41" i="19" s="1"/>
  <c r="A46" i="18"/>
  <c r="J40" i="19"/>
  <c r="J41" i="19" s="1"/>
  <c r="K37" i="18"/>
  <c r="K38" i="18" s="1"/>
  <c r="J37" i="18"/>
  <c r="J38" i="18" s="1"/>
  <c r="L4" i="18"/>
  <c r="L6" i="18"/>
  <c r="L8" i="18"/>
  <c r="I4" i="18"/>
  <c r="I37" i="18" s="1"/>
  <c r="I38" i="18" s="1"/>
  <c r="A38" i="17"/>
  <c r="I8" i="17"/>
  <c r="K8" i="17"/>
  <c r="L8" i="17"/>
  <c r="H6" i="17"/>
  <c r="L6" i="17" s="1"/>
  <c r="G6" i="17"/>
  <c r="K6" i="17" s="1"/>
  <c r="E6" i="17"/>
  <c r="I6" i="17" s="1"/>
  <c r="J6" i="17"/>
  <c r="L33" i="17"/>
  <c r="K33" i="17"/>
  <c r="J33" i="17"/>
  <c r="H33" i="17"/>
  <c r="G33" i="17"/>
  <c r="F33" i="17"/>
  <c r="E33" i="17"/>
  <c r="I33" i="17" s="1"/>
  <c r="L32" i="17"/>
  <c r="K32" i="17"/>
  <c r="J32" i="17"/>
  <c r="I32" i="17"/>
  <c r="H32" i="17"/>
  <c r="G32" i="17"/>
  <c r="F32" i="17"/>
  <c r="E32" i="17"/>
  <c r="L31" i="17"/>
  <c r="K31" i="17"/>
  <c r="J31" i="17"/>
  <c r="I31" i="17"/>
  <c r="H31" i="17"/>
  <c r="G31" i="17"/>
  <c r="F31" i="17"/>
  <c r="E31" i="17"/>
  <c r="L30" i="17"/>
  <c r="K30" i="17"/>
  <c r="J30" i="17"/>
  <c r="I30" i="17"/>
  <c r="H30" i="17"/>
  <c r="G30" i="17"/>
  <c r="F30" i="17"/>
  <c r="E30" i="17"/>
  <c r="L11" i="17"/>
  <c r="K11" i="17"/>
  <c r="J11" i="17"/>
  <c r="H11" i="17"/>
  <c r="G11" i="17"/>
  <c r="E11" i="17"/>
  <c r="I11" i="17" s="1"/>
  <c r="L19" i="17"/>
  <c r="K19" i="17"/>
  <c r="H19" i="17"/>
  <c r="G19" i="17"/>
  <c r="F19" i="17"/>
  <c r="J19" i="17" s="1"/>
  <c r="E19" i="17"/>
  <c r="I19" i="17" s="1"/>
  <c r="L10" i="17"/>
  <c r="K10" i="17"/>
  <c r="J10" i="17"/>
  <c r="I10" i="17"/>
  <c r="H10" i="17"/>
  <c r="G10" i="17"/>
  <c r="E10" i="17"/>
  <c r="L29" i="17"/>
  <c r="K29" i="17"/>
  <c r="J29" i="17"/>
  <c r="I29" i="17"/>
  <c r="H29" i="17"/>
  <c r="G29" i="17"/>
  <c r="F29" i="17"/>
  <c r="E29" i="17"/>
  <c r="H5" i="17"/>
  <c r="G5" i="17"/>
  <c r="K5" i="17" s="1"/>
  <c r="F5" i="17"/>
  <c r="J5" i="17" s="1"/>
  <c r="E5" i="17"/>
  <c r="I5" i="17" s="1"/>
  <c r="L28" i="17"/>
  <c r="K28" i="17"/>
  <c r="J28" i="17"/>
  <c r="I28" i="17"/>
  <c r="H28" i="17"/>
  <c r="G28" i="17"/>
  <c r="F28" i="17"/>
  <c r="E28" i="17"/>
  <c r="L27" i="17"/>
  <c r="K27" i="17"/>
  <c r="J27" i="17"/>
  <c r="I27" i="17"/>
  <c r="H27" i="17"/>
  <c r="H26" i="17"/>
  <c r="L26" i="17" s="1"/>
  <c r="G26" i="17"/>
  <c r="K26" i="17" s="1"/>
  <c r="F26" i="17"/>
  <c r="J26" i="17" s="1"/>
  <c r="E26" i="17"/>
  <c r="I26" i="17" s="1"/>
  <c r="L25" i="17"/>
  <c r="K25" i="17"/>
  <c r="J25" i="17"/>
  <c r="I25" i="17"/>
  <c r="H25" i="17"/>
  <c r="L24" i="17"/>
  <c r="K24" i="17"/>
  <c r="J24" i="17"/>
  <c r="I24" i="17"/>
  <c r="H24" i="17"/>
  <c r="G24" i="17"/>
  <c r="F24" i="17"/>
  <c r="E24" i="17"/>
  <c r="L23" i="17"/>
  <c r="K23" i="17"/>
  <c r="J23" i="17"/>
  <c r="I23" i="17"/>
  <c r="H23" i="17"/>
  <c r="G23" i="17"/>
  <c r="E23" i="17"/>
  <c r="L22" i="17"/>
  <c r="K22" i="17"/>
  <c r="J22" i="17"/>
  <c r="I22" i="17"/>
  <c r="H22" i="17"/>
  <c r="G22" i="17"/>
  <c r="F22" i="17"/>
  <c r="E22" i="17"/>
  <c r="H7" i="17"/>
  <c r="L7" i="17" s="1"/>
  <c r="G7" i="17"/>
  <c r="K7" i="17" s="1"/>
  <c r="F7" i="17"/>
  <c r="J7" i="17" s="1"/>
  <c r="E7" i="17"/>
  <c r="I7" i="17" s="1"/>
  <c r="L21" i="17"/>
  <c r="K21" i="17"/>
  <c r="J21" i="17"/>
  <c r="I21" i="17"/>
  <c r="H21" i="17"/>
  <c r="G21" i="17"/>
  <c r="F21" i="17"/>
  <c r="E21" i="17"/>
  <c r="L12" i="17"/>
  <c r="K12" i="17"/>
  <c r="J12" i="17"/>
  <c r="I12" i="17"/>
  <c r="L20" i="17"/>
  <c r="K20" i="17"/>
  <c r="J20" i="17"/>
  <c r="I20" i="17"/>
  <c r="H20" i="17"/>
  <c r="G20" i="17"/>
  <c r="F20" i="17"/>
  <c r="E20" i="17"/>
  <c r="H18" i="17"/>
  <c r="L18" i="17" s="1"/>
  <c r="G18" i="17"/>
  <c r="K18" i="17" s="1"/>
  <c r="F18" i="17"/>
  <c r="J18" i="17" s="1"/>
  <c r="E18" i="17"/>
  <c r="I18" i="17" s="1"/>
  <c r="L17" i="17"/>
  <c r="K17" i="17"/>
  <c r="J17" i="17"/>
  <c r="I17" i="17"/>
  <c r="H17" i="17"/>
  <c r="G17" i="17"/>
  <c r="F17" i="17"/>
  <c r="E17" i="17"/>
  <c r="H16" i="17"/>
  <c r="L16" i="17" s="1"/>
  <c r="F16" i="17"/>
  <c r="J16" i="17" s="1"/>
  <c r="E16" i="17"/>
  <c r="I16" i="17" s="1"/>
  <c r="K16" i="17"/>
  <c r="L15" i="17"/>
  <c r="K15" i="17"/>
  <c r="J15" i="17"/>
  <c r="I15" i="17"/>
  <c r="H15" i="17"/>
  <c r="G15" i="17"/>
  <c r="F15" i="17"/>
  <c r="E15" i="17"/>
  <c r="L14" i="17"/>
  <c r="K14" i="17"/>
  <c r="J14" i="17"/>
  <c r="I14" i="17"/>
  <c r="H14" i="17"/>
  <c r="G14" i="17"/>
  <c r="F14" i="17"/>
  <c r="E14" i="17"/>
  <c r="L9" i="17"/>
  <c r="K9" i="17"/>
  <c r="J9" i="17"/>
  <c r="I9" i="17"/>
  <c r="H9" i="17"/>
  <c r="G9" i="17"/>
  <c r="F9" i="17"/>
  <c r="E9" i="17"/>
  <c r="H4" i="17"/>
  <c r="L4" i="17" s="1"/>
  <c r="G4" i="17"/>
  <c r="K4" i="17" s="1"/>
  <c r="F4" i="17"/>
  <c r="J4" i="17" s="1"/>
  <c r="E4" i="17"/>
  <c r="I4" i="17" s="1"/>
  <c r="C13" i="16"/>
  <c r="C17" i="16"/>
  <c r="C34" i="16"/>
  <c r="J34" i="16" s="1"/>
  <c r="C25" i="16"/>
  <c r="L40" i="16"/>
  <c r="K40" i="16"/>
  <c r="J40" i="16"/>
  <c r="I40" i="16"/>
  <c r="H34" i="16"/>
  <c r="G34" i="16"/>
  <c r="E34" i="16"/>
  <c r="L33" i="16"/>
  <c r="K33" i="16"/>
  <c r="J33" i="16"/>
  <c r="I33" i="16"/>
  <c r="H33" i="16"/>
  <c r="G33" i="16"/>
  <c r="F33" i="16"/>
  <c r="E33" i="16"/>
  <c r="L32" i="16"/>
  <c r="K32" i="16"/>
  <c r="J32" i="16"/>
  <c r="I32" i="16"/>
  <c r="H32" i="16"/>
  <c r="G32" i="16"/>
  <c r="F32" i="16"/>
  <c r="E32" i="16"/>
  <c r="L31" i="16"/>
  <c r="K31" i="16"/>
  <c r="J31" i="16"/>
  <c r="I31" i="16"/>
  <c r="H31" i="16"/>
  <c r="G31" i="16"/>
  <c r="F31" i="16"/>
  <c r="E31" i="16"/>
  <c r="L30" i="16"/>
  <c r="K30" i="16"/>
  <c r="J30" i="16"/>
  <c r="I30" i="16"/>
  <c r="H30" i="16"/>
  <c r="G30" i="16"/>
  <c r="F30" i="16"/>
  <c r="E30" i="16"/>
  <c r="J29" i="16"/>
  <c r="H29" i="16"/>
  <c r="L29" i="16" s="1"/>
  <c r="G29" i="16"/>
  <c r="K29" i="16" s="1"/>
  <c r="E29" i="16"/>
  <c r="I29" i="16" s="1"/>
  <c r="H28" i="16"/>
  <c r="L28" i="16" s="1"/>
  <c r="G28" i="16"/>
  <c r="K28" i="16" s="1"/>
  <c r="F28" i="16"/>
  <c r="J28" i="16" s="1"/>
  <c r="E28" i="16"/>
  <c r="I28" i="16" s="1"/>
  <c r="L27" i="16"/>
  <c r="K27" i="16"/>
  <c r="J27" i="16"/>
  <c r="I27" i="16"/>
  <c r="H27" i="16"/>
  <c r="G27" i="16"/>
  <c r="E27" i="16"/>
  <c r="L26" i="16"/>
  <c r="K26" i="16"/>
  <c r="J26" i="16"/>
  <c r="I26" i="16"/>
  <c r="H26" i="16"/>
  <c r="G26" i="16"/>
  <c r="F26" i="16"/>
  <c r="E26" i="16"/>
  <c r="H25" i="16"/>
  <c r="G25" i="16"/>
  <c r="F25" i="16"/>
  <c r="E25" i="16"/>
  <c r="L24" i="16"/>
  <c r="K24" i="16"/>
  <c r="J24" i="16"/>
  <c r="I24" i="16"/>
  <c r="H24" i="16"/>
  <c r="G24" i="16"/>
  <c r="F24" i="16"/>
  <c r="E24" i="16"/>
  <c r="L23" i="16"/>
  <c r="K23" i="16"/>
  <c r="J23" i="16"/>
  <c r="I23" i="16"/>
  <c r="H23" i="16"/>
  <c r="L22" i="16"/>
  <c r="K22" i="16"/>
  <c r="J22" i="16"/>
  <c r="I22" i="16"/>
  <c r="H22" i="16"/>
  <c r="G22" i="16"/>
  <c r="F22" i="16"/>
  <c r="E22" i="16"/>
  <c r="L21" i="16"/>
  <c r="K21" i="16"/>
  <c r="J21" i="16"/>
  <c r="I21" i="16"/>
  <c r="H21" i="16"/>
  <c r="L20" i="16"/>
  <c r="K20" i="16"/>
  <c r="J20" i="16"/>
  <c r="I20" i="16"/>
  <c r="H20" i="16"/>
  <c r="G20" i="16"/>
  <c r="F20" i="16"/>
  <c r="E20" i="16"/>
  <c r="L19" i="16"/>
  <c r="K19" i="16"/>
  <c r="J19" i="16"/>
  <c r="I19" i="16"/>
  <c r="H19" i="16"/>
  <c r="G19" i="16"/>
  <c r="E19" i="16"/>
  <c r="C19" i="16"/>
  <c r="L18" i="16"/>
  <c r="K18" i="16"/>
  <c r="J18" i="16"/>
  <c r="I18" i="16"/>
  <c r="H18" i="16"/>
  <c r="G18" i="16"/>
  <c r="F18" i="16"/>
  <c r="E18" i="16"/>
  <c r="H17" i="16"/>
  <c r="G17" i="16"/>
  <c r="K17" i="16" s="1"/>
  <c r="F17" i="16"/>
  <c r="J17" i="16" s="1"/>
  <c r="E17" i="16"/>
  <c r="L16" i="16"/>
  <c r="K16" i="16"/>
  <c r="J16" i="16"/>
  <c r="I16" i="16"/>
  <c r="H16" i="16"/>
  <c r="G16" i="16"/>
  <c r="F16" i="16"/>
  <c r="E16" i="16"/>
  <c r="L15" i="16"/>
  <c r="K15" i="16"/>
  <c r="J15" i="16"/>
  <c r="I15" i="16"/>
  <c r="L14" i="16"/>
  <c r="K14" i="16"/>
  <c r="J14" i="16"/>
  <c r="I14" i="16"/>
  <c r="H14" i="16"/>
  <c r="G14" i="16"/>
  <c r="F14" i="16"/>
  <c r="E14" i="16"/>
  <c r="H13" i="16"/>
  <c r="L13" i="16" s="1"/>
  <c r="G13" i="16"/>
  <c r="K13" i="16" s="1"/>
  <c r="F13" i="16"/>
  <c r="J13" i="16" s="1"/>
  <c r="E13" i="16"/>
  <c r="I13" i="16" s="1"/>
  <c r="L12" i="16"/>
  <c r="K12" i="16"/>
  <c r="J12" i="16"/>
  <c r="I12" i="16"/>
  <c r="H12" i="16"/>
  <c r="G12" i="16"/>
  <c r="F12" i="16"/>
  <c r="E12" i="16"/>
  <c r="H11" i="16"/>
  <c r="F11" i="16"/>
  <c r="E11" i="16"/>
  <c r="C11" i="16"/>
  <c r="K11" i="16" s="1"/>
  <c r="L10" i="16"/>
  <c r="K10" i="16"/>
  <c r="J10" i="16"/>
  <c r="I10" i="16"/>
  <c r="H10" i="16"/>
  <c r="G10" i="16"/>
  <c r="F10" i="16"/>
  <c r="E10" i="16"/>
  <c r="L9" i="16"/>
  <c r="K9" i="16"/>
  <c r="J9" i="16"/>
  <c r="I9" i="16"/>
  <c r="H9" i="16"/>
  <c r="G9" i="16"/>
  <c r="F9" i="16"/>
  <c r="E9" i="16"/>
  <c r="L8" i="16"/>
  <c r="K8" i="16"/>
  <c r="J8" i="16"/>
  <c r="I8" i="16"/>
  <c r="H8" i="16"/>
  <c r="G8" i="16"/>
  <c r="F8" i="16"/>
  <c r="E8" i="16"/>
  <c r="H7" i="16"/>
  <c r="G7" i="16"/>
  <c r="F7" i="16"/>
  <c r="E7" i="16"/>
  <c r="C7" i="16"/>
  <c r="L6" i="16"/>
  <c r="K6" i="16"/>
  <c r="J6" i="16"/>
  <c r="I6" i="16"/>
  <c r="H5" i="16"/>
  <c r="L5" i="16" s="1"/>
  <c r="G5" i="16"/>
  <c r="K5" i="16" s="1"/>
  <c r="F5" i="16"/>
  <c r="J5" i="16" s="1"/>
  <c r="E5" i="16"/>
  <c r="I5" i="16" s="1"/>
  <c r="L4" i="16"/>
  <c r="K4" i="16"/>
  <c r="J4" i="16"/>
  <c r="I4" i="16"/>
  <c r="H4" i="16"/>
  <c r="G4" i="16"/>
  <c r="F4" i="16"/>
  <c r="E4" i="16"/>
  <c r="K7" i="16" l="1"/>
  <c r="I34" i="16"/>
  <c r="I11" i="16"/>
  <c r="J11" i="16"/>
  <c r="I25" i="16"/>
  <c r="L11" i="16"/>
  <c r="J25" i="16"/>
  <c r="K34" i="16"/>
  <c r="L34" i="16"/>
  <c r="I7" i="16"/>
  <c r="J7" i="16"/>
  <c r="J39" i="16" s="1"/>
  <c r="L7" i="16"/>
  <c r="L17" i="16"/>
  <c r="L25" i="16"/>
  <c r="L39" i="18"/>
  <c r="J36" i="17"/>
  <c r="I36" i="17"/>
  <c r="I37" i="17" s="1"/>
  <c r="K36" i="17"/>
  <c r="K37" i="17" s="1"/>
  <c r="L5" i="17"/>
  <c r="L38" i="17" s="1"/>
  <c r="I17" i="16"/>
  <c r="K25" i="16"/>
  <c r="K39" i="16" s="1"/>
  <c r="C13" i="15"/>
  <c r="C17" i="15"/>
  <c r="C25" i="15"/>
  <c r="C34" i="15"/>
  <c r="L39" i="16" l="1"/>
  <c r="I39" i="16"/>
  <c r="C7" i="15"/>
  <c r="L40" i="15"/>
  <c r="K40" i="15"/>
  <c r="J40" i="15"/>
  <c r="I40" i="15"/>
  <c r="J34" i="15"/>
  <c r="H34" i="15"/>
  <c r="L34" i="15" s="1"/>
  <c r="G34" i="15"/>
  <c r="K34" i="15" s="1"/>
  <c r="E34" i="15"/>
  <c r="I34" i="15" s="1"/>
  <c r="L33" i="15"/>
  <c r="K33" i="15"/>
  <c r="J33" i="15"/>
  <c r="I33" i="15"/>
  <c r="H33" i="15"/>
  <c r="G33" i="15"/>
  <c r="F33" i="15"/>
  <c r="E33" i="15"/>
  <c r="L32" i="15"/>
  <c r="K32" i="15"/>
  <c r="J32" i="15"/>
  <c r="I32" i="15"/>
  <c r="H32" i="15"/>
  <c r="G32" i="15"/>
  <c r="F32" i="15"/>
  <c r="E32" i="15"/>
  <c r="H31" i="15"/>
  <c r="L31" i="15" s="1"/>
  <c r="G31" i="15"/>
  <c r="K31" i="15" s="1"/>
  <c r="F31" i="15"/>
  <c r="J31" i="15" s="1"/>
  <c r="E31" i="15"/>
  <c r="I31" i="15" s="1"/>
  <c r="L30" i="15"/>
  <c r="K30" i="15"/>
  <c r="J30" i="15"/>
  <c r="I30" i="15"/>
  <c r="H30" i="15"/>
  <c r="G30" i="15"/>
  <c r="F30" i="15"/>
  <c r="E30" i="15"/>
  <c r="L29" i="15"/>
  <c r="K29" i="15"/>
  <c r="J29" i="15"/>
  <c r="I29" i="15"/>
  <c r="H29" i="15"/>
  <c r="G29" i="15"/>
  <c r="E29" i="15"/>
  <c r="L28" i="15"/>
  <c r="K28" i="15"/>
  <c r="J28" i="15"/>
  <c r="I28" i="15"/>
  <c r="H28" i="15"/>
  <c r="G28" i="15"/>
  <c r="F28" i="15"/>
  <c r="E28" i="15"/>
  <c r="L27" i="15"/>
  <c r="K27" i="15"/>
  <c r="J27" i="15"/>
  <c r="I27" i="15"/>
  <c r="H27" i="15"/>
  <c r="G27" i="15"/>
  <c r="E27" i="15"/>
  <c r="L26" i="15"/>
  <c r="K26" i="15"/>
  <c r="J26" i="15"/>
  <c r="I26" i="15"/>
  <c r="H26" i="15"/>
  <c r="G26" i="15"/>
  <c r="F26" i="15"/>
  <c r="E26" i="15"/>
  <c r="H25" i="15"/>
  <c r="L25" i="15" s="1"/>
  <c r="G25" i="15"/>
  <c r="K25" i="15" s="1"/>
  <c r="F25" i="15"/>
  <c r="J25" i="15" s="1"/>
  <c r="E25" i="15"/>
  <c r="L24" i="15"/>
  <c r="K24" i="15"/>
  <c r="J24" i="15"/>
  <c r="I24" i="15"/>
  <c r="H24" i="15"/>
  <c r="G24" i="15"/>
  <c r="F24" i="15"/>
  <c r="E24" i="15"/>
  <c r="L23" i="15"/>
  <c r="K23" i="15"/>
  <c r="J23" i="15"/>
  <c r="I23" i="15"/>
  <c r="H23" i="15"/>
  <c r="L22" i="15"/>
  <c r="K22" i="15"/>
  <c r="J22" i="15"/>
  <c r="I22" i="15"/>
  <c r="H22" i="15"/>
  <c r="G22" i="15"/>
  <c r="F22" i="15"/>
  <c r="E22" i="15"/>
  <c r="L21" i="15"/>
  <c r="K21" i="15"/>
  <c r="J21" i="15"/>
  <c r="I21" i="15"/>
  <c r="H21" i="15"/>
  <c r="L20" i="15"/>
  <c r="K20" i="15"/>
  <c r="J20" i="15"/>
  <c r="I20" i="15"/>
  <c r="H20" i="15"/>
  <c r="G20" i="15"/>
  <c r="F20" i="15"/>
  <c r="E20" i="15"/>
  <c r="L19" i="15"/>
  <c r="K19" i="15"/>
  <c r="J19" i="15"/>
  <c r="I19" i="15"/>
  <c r="H19" i="15"/>
  <c r="G19" i="15"/>
  <c r="E19" i="15"/>
  <c r="C19" i="15"/>
  <c r="L18" i="15"/>
  <c r="K18" i="15"/>
  <c r="J18" i="15"/>
  <c r="I18" i="15"/>
  <c r="H18" i="15"/>
  <c r="G18" i="15"/>
  <c r="F18" i="15"/>
  <c r="E18" i="15"/>
  <c r="H17" i="15"/>
  <c r="L17" i="15" s="1"/>
  <c r="G17" i="15"/>
  <c r="K17" i="15" s="1"/>
  <c r="F17" i="15"/>
  <c r="J17" i="15" s="1"/>
  <c r="E17" i="15"/>
  <c r="I17" i="15" s="1"/>
  <c r="L16" i="15"/>
  <c r="K16" i="15"/>
  <c r="J16" i="15"/>
  <c r="I16" i="15"/>
  <c r="H16" i="15"/>
  <c r="G16" i="15"/>
  <c r="F16" i="15"/>
  <c r="E16" i="15"/>
  <c r="L15" i="15"/>
  <c r="K15" i="15"/>
  <c r="J15" i="15"/>
  <c r="I15" i="15"/>
  <c r="L14" i="15"/>
  <c r="K14" i="15"/>
  <c r="J14" i="15"/>
  <c r="I14" i="15"/>
  <c r="H14" i="15"/>
  <c r="G14" i="15"/>
  <c r="F14" i="15"/>
  <c r="E14" i="15"/>
  <c r="H13" i="15"/>
  <c r="L13" i="15" s="1"/>
  <c r="G13" i="15"/>
  <c r="K13" i="15" s="1"/>
  <c r="F13" i="15"/>
  <c r="J13" i="15" s="1"/>
  <c r="E13" i="15"/>
  <c r="I13" i="15" s="1"/>
  <c r="L12" i="15"/>
  <c r="K12" i="15"/>
  <c r="J12" i="15"/>
  <c r="I12" i="15"/>
  <c r="H12" i="15"/>
  <c r="G12" i="15"/>
  <c r="F12" i="15"/>
  <c r="E12" i="15"/>
  <c r="H11" i="15"/>
  <c r="F11" i="15"/>
  <c r="E11" i="15"/>
  <c r="C11" i="15"/>
  <c r="K11" i="15" s="1"/>
  <c r="L10" i="15"/>
  <c r="K10" i="15"/>
  <c r="J10" i="15"/>
  <c r="I10" i="15"/>
  <c r="H10" i="15"/>
  <c r="G10" i="15"/>
  <c r="F10" i="15"/>
  <c r="E10" i="15"/>
  <c r="L9" i="15"/>
  <c r="K9" i="15"/>
  <c r="J9" i="15"/>
  <c r="I9" i="15"/>
  <c r="H9" i="15"/>
  <c r="G9" i="15"/>
  <c r="F9" i="15"/>
  <c r="E9" i="15"/>
  <c r="H8" i="15"/>
  <c r="L8" i="15" s="1"/>
  <c r="G8" i="15"/>
  <c r="K8" i="15" s="1"/>
  <c r="F8" i="15"/>
  <c r="J8" i="15" s="1"/>
  <c r="E8" i="15"/>
  <c r="I8" i="15" s="1"/>
  <c r="H7" i="15"/>
  <c r="G7" i="15"/>
  <c r="F7" i="15"/>
  <c r="E7" i="15"/>
  <c r="L6" i="15"/>
  <c r="K6" i="15"/>
  <c r="J6" i="15"/>
  <c r="I6" i="15"/>
  <c r="H5" i="15"/>
  <c r="L5" i="15" s="1"/>
  <c r="G5" i="15"/>
  <c r="K5" i="15" s="1"/>
  <c r="F5" i="15"/>
  <c r="J5" i="15" s="1"/>
  <c r="E5" i="15"/>
  <c r="I5" i="15" s="1"/>
  <c r="L4" i="15"/>
  <c r="K4" i="15"/>
  <c r="J4" i="15"/>
  <c r="I4" i="15"/>
  <c r="H4" i="15"/>
  <c r="G4" i="15"/>
  <c r="F4" i="15"/>
  <c r="E4" i="15"/>
  <c r="C11" i="14"/>
  <c r="C25" i="14"/>
  <c r="C7" i="14"/>
  <c r="I7" i="15" l="1"/>
  <c r="J7" i="15"/>
  <c r="L7" i="15"/>
  <c r="L39" i="15" s="1"/>
  <c r="I11" i="15"/>
  <c r="J11" i="15"/>
  <c r="J39" i="15" s="1"/>
  <c r="L11" i="15"/>
  <c r="K7" i="15"/>
  <c r="K39" i="15" s="1"/>
  <c r="I25" i="15"/>
  <c r="L40" i="14"/>
  <c r="K40" i="14"/>
  <c r="J40" i="14"/>
  <c r="I40" i="14"/>
  <c r="J34" i="14"/>
  <c r="H34" i="14"/>
  <c r="L34" i="14" s="1"/>
  <c r="G34" i="14"/>
  <c r="K34" i="14" s="1"/>
  <c r="E34" i="14"/>
  <c r="I34" i="14" s="1"/>
  <c r="L33" i="14"/>
  <c r="K33" i="14"/>
  <c r="J33" i="14"/>
  <c r="I33" i="14"/>
  <c r="H33" i="14"/>
  <c r="G33" i="14"/>
  <c r="F33" i="14"/>
  <c r="E33" i="14"/>
  <c r="L32" i="14"/>
  <c r="K32" i="14"/>
  <c r="J32" i="14"/>
  <c r="I32" i="14"/>
  <c r="H32" i="14"/>
  <c r="G32" i="14"/>
  <c r="F32" i="14"/>
  <c r="E32" i="14"/>
  <c r="L31" i="14"/>
  <c r="K31" i="14"/>
  <c r="J31" i="14"/>
  <c r="I31" i="14"/>
  <c r="H31" i="14"/>
  <c r="G31" i="14"/>
  <c r="F31" i="14"/>
  <c r="E31" i="14"/>
  <c r="L30" i="14"/>
  <c r="K30" i="14"/>
  <c r="J30" i="14"/>
  <c r="I30" i="14"/>
  <c r="H30" i="14"/>
  <c r="G30" i="14"/>
  <c r="F30" i="14"/>
  <c r="E30" i="14"/>
  <c r="K29" i="14"/>
  <c r="J29" i="14"/>
  <c r="I29" i="14"/>
  <c r="H29" i="14"/>
  <c r="L29" i="14" s="1"/>
  <c r="G29" i="14"/>
  <c r="E29" i="14"/>
  <c r="L28" i="14"/>
  <c r="K28" i="14"/>
  <c r="J28" i="14"/>
  <c r="I28" i="14"/>
  <c r="H28" i="14"/>
  <c r="G28" i="14"/>
  <c r="F28" i="14"/>
  <c r="E28" i="14"/>
  <c r="J27" i="14"/>
  <c r="H27" i="14"/>
  <c r="L27" i="14" s="1"/>
  <c r="G27" i="14"/>
  <c r="K27" i="14" s="1"/>
  <c r="E27" i="14"/>
  <c r="I27" i="14" s="1"/>
  <c r="L26" i="14"/>
  <c r="K26" i="14"/>
  <c r="J26" i="14"/>
  <c r="I26" i="14"/>
  <c r="H26" i="14"/>
  <c r="G26" i="14"/>
  <c r="F26" i="14"/>
  <c r="E26" i="14"/>
  <c r="H25" i="14"/>
  <c r="L25" i="14" s="1"/>
  <c r="G25" i="14"/>
  <c r="F25" i="14"/>
  <c r="J25" i="14" s="1"/>
  <c r="E25" i="14"/>
  <c r="I25" i="14" s="1"/>
  <c r="L24" i="14"/>
  <c r="K24" i="14"/>
  <c r="J24" i="14"/>
  <c r="I24" i="14"/>
  <c r="H24" i="14"/>
  <c r="G24" i="14"/>
  <c r="F24" i="14"/>
  <c r="E24" i="14"/>
  <c r="L23" i="14"/>
  <c r="K23" i="14"/>
  <c r="J23" i="14"/>
  <c r="I23" i="14"/>
  <c r="H23" i="14"/>
  <c r="L22" i="14"/>
  <c r="I22" i="14"/>
  <c r="H22" i="14"/>
  <c r="G22" i="14"/>
  <c r="K22" i="14" s="1"/>
  <c r="F22" i="14"/>
  <c r="J22" i="14" s="1"/>
  <c r="E22" i="14"/>
  <c r="L21" i="14"/>
  <c r="K21" i="14"/>
  <c r="J21" i="14"/>
  <c r="I21" i="14"/>
  <c r="H21" i="14"/>
  <c r="H20" i="14"/>
  <c r="L20" i="14" s="1"/>
  <c r="G20" i="14"/>
  <c r="K20" i="14" s="1"/>
  <c r="F20" i="14"/>
  <c r="J20" i="14" s="1"/>
  <c r="E20" i="14"/>
  <c r="I20" i="14" s="1"/>
  <c r="L19" i="14"/>
  <c r="K19" i="14"/>
  <c r="J19" i="14"/>
  <c r="I19" i="14"/>
  <c r="H19" i="14"/>
  <c r="G19" i="14"/>
  <c r="E19" i="14"/>
  <c r="C19" i="14"/>
  <c r="L18" i="14"/>
  <c r="K18" i="14"/>
  <c r="J18" i="14"/>
  <c r="I18" i="14"/>
  <c r="H18" i="14"/>
  <c r="G18" i="14"/>
  <c r="F18" i="14"/>
  <c r="E18" i="14"/>
  <c r="H17" i="14"/>
  <c r="G17" i="14"/>
  <c r="F17" i="14"/>
  <c r="E17" i="14"/>
  <c r="C17" i="14"/>
  <c r="L16" i="14"/>
  <c r="K16" i="14"/>
  <c r="J16" i="14"/>
  <c r="I16" i="14"/>
  <c r="H16" i="14"/>
  <c r="G16" i="14"/>
  <c r="F16" i="14"/>
  <c r="E16" i="14"/>
  <c r="L15" i="14"/>
  <c r="K15" i="14"/>
  <c r="J15" i="14"/>
  <c r="I15" i="14"/>
  <c r="L14" i="14"/>
  <c r="K14" i="14"/>
  <c r="J14" i="14"/>
  <c r="I14" i="14"/>
  <c r="H14" i="14"/>
  <c r="G14" i="14"/>
  <c r="F14" i="14"/>
  <c r="E14" i="14"/>
  <c r="H13" i="14"/>
  <c r="L13" i="14" s="1"/>
  <c r="G13" i="14"/>
  <c r="K13" i="14" s="1"/>
  <c r="F13" i="14"/>
  <c r="J13" i="14" s="1"/>
  <c r="E13" i="14"/>
  <c r="I13" i="14" s="1"/>
  <c r="L12" i="14"/>
  <c r="K12" i="14"/>
  <c r="J12" i="14"/>
  <c r="I12" i="14"/>
  <c r="H12" i="14"/>
  <c r="G12" i="14"/>
  <c r="F12" i="14"/>
  <c r="E12" i="14"/>
  <c r="K11" i="14"/>
  <c r="H11" i="14"/>
  <c r="L11" i="14" s="1"/>
  <c r="F11" i="14"/>
  <c r="J11" i="14" s="1"/>
  <c r="E11" i="14"/>
  <c r="I11" i="14" s="1"/>
  <c r="L10" i="14"/>
  <c r="K10" i="14"/>
  <c r="J10" i="14"/>
  <c r="I10" i="14"/>
  <c r="H10" i="14"/>
  <c r="G10" i="14"/>
  <c r="F10" i="14"/>
  <c r="E10" i="14"/>
  <c r="L9" i="14"/>
  <c r="K9" i="14"/>
  <c r="J9" i="14"/>
  <c r="I9" i="14"/>
  <c r="H9" i="14"/>
  <c r="G9" i="14"/>
  <c r="F9" i="14"/>
  <c r="E9" i="14"/>
  <c r="L8" i="14"/>
  <c r="K8" i="14"/>
  <c r="J8" i="14"/>
  <c r="I8" i="14"/>
  <c r="H8" i="14"/>
  <c r="G8" i="14"/>
  <c r="F8" i="14"/>
  <c r="E8" i="14"/>
  <c r="L7" i="14"/>
  <c r="I7" i="14"/>
  <c r="H7" i="14"/>
  <c r="G7" i="14"/>
  <c r="K7" i="14" s="1"/>
  <c r="F7" i="14"/>
  <c r="J7" i="14" s="1"/>
  <c r="E7" i="14"/>
  <c r="L6" i="14"/>
  <c r="K6" i="14"/>
  <c r="J6" i="14"/>
  <c r="I6" i="14"/>
  <c r="H5" i="14"/>
  <c r="L5" i="14" s="1"/>
  <c r="G5" i="14"/>
  <c r="K5" i="14" s="1"/>
  <c r="F5" i="14"/>
  <c r="J5" i="14" s="1"/>
  <c r="E5" i="14"/>
  <c r="I5" i="14" s="1"/>
  <c r="L4" i="14"/>
  <c r="K4" i="14"/>
  <c r="J4" i="14"/>
  <c r="I4" i="14"/>
  <c r="H4" i="14"/>
  <c r="G4" i="14"/>
  <c r="F4" i="14"/>
  <c r="E4" i="14"/>
  <c r="C11" i="13"/>
  <c r="C7" i="13"/>
  <c r="C17" i="13"/>
  <c r="C25" i="13"/>
  <c r="I39" i="15" l="1"/>
  <c r="I17" i="14"/>
  <c r="I39" i="14" s="1"/>
  <c r="K17" i="14"/>
  <c r="J17" i="14"/>
  <c r="J39" i="14" s="1"/>
  <c r="L17" i="14"/>
  <c r="L39" i="14" s="1"/>
  <c r="K25" i="14"/>
  <c r="C25" i="12"/>
  <c r="L40" i="13"/>
  <c r="K40" i="13"/>
  <c r="J40" i="13"/>
  <c r="I40" i="13"/>
  <c r="J34" i="13"/>
  <c r="H34" i="13"/>
  <c r="L34" i="13" s="1"/>
  <c r="G34" i="13"/>
  <c r="K34" i="13" s="1"/>
  <c r="E34" i="13"/>
  <c r="I34" i="13" s="1"/>
  <c r="L33" i="13"/>
  <c r="K33" i="13"/>
  <c r="J33" i="13"/>
  <c r="I33" i="13"/>
  <c r="H33" i="13"/>
  <c r="G33" i="13"/>
  <c r="F33" i="13"/>
  <c r="E33" i="13"/>
  <c r="L32" i="13"/>
  <c r="K32" i="13"/>
  <c r="J32" i="13"/>
  <c r="I32" i="13"/>
  <c r="H32" i="13"/>
  <c r="G32" i="13"/>
  <c r="F32" i="13"/>
  <c r="E32" i="13"/>
  <c r="L31" i="13"/>
  <c r="K31" i="13"/>
  <c r="J31" i="13"/>
  <c r="I31" i="13"/>
  <c r="H31" i="13"/>
  <c r="G31" i="13"/>
  <c r="F31" i="13"/>
  <c r="E31" i="13"/>
  <c r="L30" i="13"/>
  <c r="K30" i="13"/>
  <c r="J30" i="13"/>
  <c r="I30" i="13"/>
  <c r="H30" i="13"/>
  <c r="G30" i="13"/>
  <c r="F30" i="13"/>
  <c r="E30" i="13"/>
  <c r="J29" i="13"/>
  <c r="H29" i="13"/>
  <c r="L29" i="13" s="1"/>
  <c r="G29" i="13"/>
  <c r="K29" i="13" s="1"/>
  <c r="E29" i="13"/>
  <c r="I29" i="13" s="1"/>
  <c r="L28" i="13"/>
  <c r="K28" i="13"/>
  <c r="J28" i="13"/>
  <c r="I28" i="13"/>
  <c r="H28" i="13"/>
  <c r="G28" i="13"/>
  <c r="F28" i="13"/>
  <c r="E28" i="13"/>
  <c r="L27" i="13"/>
  <c r="K27" i="13"/>
  <c r="J27" i="13"/>
  <c r="I27" i="13"/>
  <c r="H27" i="13"/>
  <c r="G27" i="13"/>
  <c r="E27" i="13"/>
  <c r="L26" i="13"/>
  <c r="K26" i="13"/>
  <c r="J26" i="13"/>
  <c r="I26" i="13"/>
  <c r="H26" i="13"/>
  <c r="G26" i="13"/>
  <c r="F26" i="13"/>
  <c r="E26" i="13"/>
  <c r="H25" i="13"/>
  <c r="L25" i="13" s="1"/>
  <c r="G25" i="13"/>
  <c r="K25" i="13" s="1"/>
  <c r="F25" i="13"/>
  <c r="J25" i="13" s="1"/>
  <c r="E25" i="13"/>
  <c r="I25" i="13" s="1"/>
  <c r="L24" i="13"/>
  <c r="K24" i="13"/>
  <c r="J24" i="13"/>
  <c r="I24" i="13"/>
  <c r="H24" i="13"/>
  <c r="G24" i="13"/>
  <c r="F24" i="13"/>
  <c r="E24" i="13"/>
  <c r="L23" i="13"/>
  <c r="K23" i="13"/>
  <c r="J23" i="13"/>
  <c r="I23" i="13"/>
  <c r="H23" i="13"/>
  <c r="H22" i="13"/>
  <c r="L22" i="13" s="1"/>
  <c r="G22" i="13"/>
  <c r="K22" i="13" s="1"/>
  <c r="F22" i="13"/>
  <c r="J22" i="13" s="1"/>
  <c r="E22" i="13"/>
  <c r="I22" i="13" s="1"/>
  <c r="L21" i="13"/>
  <c r="K21" i="13"/>
  <c r="J21" i="13"/>
  <c r="I21" i="13"/>
  <c r="H21" i="13"/>
  <c r="H20" i="13"/>
  <c r="L20" i="13" s="1"/>
  <c r="G20" i="13"/>
  <c r="K20" i="13" s="1"/>
  <c r="F20" i="13"/>
  <c r="J20" i="13" s="1"/>
  <c r="E20" i="13"/>
  <c r="I20" i="13" s="1"/>
  <c r="L19" i="13"/>
  <c r="K19" i="13"/>
  <c r="J19" i="13"/>
  <c r="I19" i="13"/>
  <c r="H19" i="13"/>
  <c r="G19" i="13"/>
  <c r="E19" i="13"/>
  <c r="C19" i="13"/>
  <c r="L18" i="13"/>
  <c r="K18" i="13"/>
  <c r="J18" i="13"/>
  <c r="I18" i="13"/>
  <c r="H18" i="13"/>
  <c r="G18" i="13"/>
  <c r="F18" i="13"/>
  <c r="E18" i="13"/>
  <c r="H17" i="13"/>
  <c r="L17" i="13" s="1"/>
  <c r="G17" i="13"/>
  <c r="K17" i="13" s="1"/>
  <c r="F17" i="13"/>
  <c r="J17" i="13" s="1"/>
  <c r="E17" i="13"/>
  <c r="I17" i="13" s="1"/>
  <c r="L16" i="13"/>
  <c r="K16" i="13"/>
  <c r="J16" i="13"/>
  <c r="I16" i="13"/>
  <c r="H16" i="13"/>
  <c r="G16" i="13"/>
  <c r="F16" i="13"/>
  <c r="E16" i="13"/>
  <c r="L15" i="13"/>
  <c r="K15" i="13"/>
  <c r="J15" i="13"/>
  <c r="I15" i="13"/>
  <c r="L14" i="13"/>
  <c r="K14" i="13"/>
  <c r="J14" i="13"/>
  <c r="I14" i="13"/>
  <c r="H14" i="13"/>
  <c r="G14" i="13"/>
  <c r="F14" i="13"/>
  <c r="E14" i="13"/>
  <c r="H13" i="13"/>
  <c r="L13" i="13" s="1"/>
  <c r="G13" i="13"/>
  <c r="K13" i="13" s="1"/>
  <c r="F13" i="13"/>
  <c r="J13" i="13" s="1"/>
  <c r="E13" i="13"/>
  <c r="I13" i="13" s="1"/>
  <c r="L12" i="13"/>
  <c r="K12" i="13"/>
  <c r="J12" i="13"/>
  <c r="I12" i="13"/>
  <c r="H12" i="13"/>
  <c r="G12" i="13"/>
  <c r="F12" i="13"/>
  <c r="E12" i="13"/>
  <c r="K11" i="13"/>
  <c r="H11" i="13"/>
  <c r="L11" i="13" s="1"/>
  <c r="F11" i="13"/>
  <c r="J11" i="13" s="1"/>
  <c r="E11" i="13"/>
  <c r="I11" i="13" s="1"/>
  <c r="L10" i="13"/>
  <c r="K10" i="13"/>
  <c r="J10" i="13"/>
  <c r="I10" i="13"/>
  <c r="H10" i="13"/>
  <c r="G10" i="13"/>
  <c r="F10" i="13"/>
  <c r="E10" i="13"/>
  <c r="L9" i="13"/>
  <c r="K9" i="13"/>
  <c r="J9" i="13"/>
  <c r="I9" i="13"/>
  <c r="H9" i="13"/>
  <c r="G9" i="13"/>
  <c r="F9" i="13"/>
  <c r="E9" i="13"/>
  <c r="L8" i="13"/>
  <c r="K8" i="13"/>
  <c r="J8" i="13"/>
  <c r="I8" i="13"/>
  <c r="H8" i="13"/>
  <c r="G8" i="13"/>
  <c r="F8" i="13"/>
  <c r="E8" i="13"/>
  <c r="H7" i="13"/>
  <c r="L7" i="13" s="1"/>
  <c r="G7" i="13"/>
  <c r="K7" i="13" s="1"/>
  <c r="F7" i="13"/>
  <c r="J7" i="13" s="1"/>
  <c r="E7" i="13"/>
  <c r="I7" i="13" s="1"/>
  <c r="L6" i="13"/>
  <c r="K6" i="13"/>
  <c r="J6" i="13"/>
  <c r="I6" i="13"/>
  <c r="H5" i="13"/>
  <c r="L5" i="13" s="1"/>
  <c r="G5" i="13"/>
  <c r="K5" i="13" s="1"/>
  <c r="F5" i="13"/>
  <c r="J5" i="13" s="1"/>
  <c r="E5" i="13"/>
  <c r="I5" i="13" s="1"/>
  <c r="L4" i="13"/>
  <c r="K4" i="13"/>
  <c r="J4" i="13"/>
  <c r="I4" i="13"/>
  <c r="H4" i="13"/>
  <c r="G4" i="13"/>
  <c r="F4" i="13"/>
  <c r="E4" i="13"/>
  <c r="C7" i="12"/>
  <c r="K40" i="12"/>
  <c r="J40" i="12"/>
  <c r="I40" i="12"/>
  <c r="L40" i="12"/>
  <c r="J34" i="12"/>
  <c r="H34" i="12"/>
  <c r="L34" i="12" s="1"/>
  <c r="G34" i="12"/>
  <c r="K34" i="12" s="1"/>
  <c r="E34" i="12"/>
  <c r="I34" i="12" s="1"/>
  <c r="L33" i="12"/>
  <c r="K33" i="12"/>
  <c r="J33" i="12"/>
  <c r="I33" i="12"/>
  <c r="H33" i="12"/>
  <c r="G33" i="12"/>
  <c r="F33" i="12"/>
  <c r="E33" i="12"/>
  <c r="L32" i="12"/>
  <c r="K32" i="12"/>
  <c r="J32" i="12"/>
  <c r="I32" i="12"/>
  <c r="H32" i="12"/>
  <c r="G32" i="12"/>
  <c r="F32" i="12"/>
  <c r="E32" i="12"/>
  <c r="H31" i="12"/>
  <c r="L31" i="12" s="1"/>
  <c r="G31" i="12"/>
  <c r="K31" i="12" s="1"/>
  <c r="F31" i="12"/>
  <c r="J31" i="12" s="1"/>
  <c r="E31" i="12"/>
  <c r="I31" i="12" s="1"/>
  <c r="H30" i="12"/>
  <c r="L30" i="12" s="1"/>
  <c r="G30" i="12"/>
  <c r="K30" i="12" s="1"/>
  <c r="F30" i="12"/>
  <c r="J30" i="12" s="1"/>
  <c r="E30" i="12"/>
  <c r="I30" i="12" s="1"/>
  <c r="L29" i="12"/>
  <c r="K29" i="12"/>
  <c r="J29" i="12"/>
  <c r="I29" i="12"/>
  <c r="H29" i="12"/>
  <c r="G29" i="12"/>
  <c r="E29" i="12"/>
  <c r="L28" i="12"/>
  <c r="K28" i="12"/>
  <c r="J28" i="12"/>
  <c r="I28" i="12"/>
  <c r="H28" i="12"/>
  <c r="G28" i="12"/>
  <c r="F28" i="12"/>
  <c r="E28" i="12"/>
  <c r="J27" i="12"/>
  <c r="H27" i="12"/>
  <c r="L27" i="12" s="1"/>
  <c r="G27" i="12"/>
  <c r="K27" i="12" s="1"/>
  <c r="E27" i="12"/>
  <c r="I27" i="12" s="1"/>
  <c r="L26" i="12"/>
  <c r="K26" i="12"/>
  <c r="J26" i="12"/>
  <c r="I26" i="12"/>
  <c r="H26" i="12"/>
  <c r="G26" i="12"/>
  <c r="F26" i="12"/>
  <c r="E26" i="12"/>
  <c r="H25" i="12"/>
  <c r="G25" i="12"/>
  <c r="F25" i="12"/>
  <c r="E25" i="12"/>
  <c r="L24" i="12"/>
  <c r="K24" i="12"/>
  <c r="J24" i="12"/>
  <c r="I24" i="12"/>
  <c r="H24" i="12"/>
  <c r="G24" i="12"/>
  <c r="F24" i="12"/>
  <c r="E24" i="12"/>
  <c r="L23" i="12"/>
  <c r="K23" i="12"/>
  <c r="J23" i="12"/>
  <c r="I23" i="12"/>
  <c r="H23" i="12"/>
  <c r="L22" i="12"/>
  <c r="K22" i="12"/>
  <c r="J22" i="12"/>
  <c r="I22" i="12"/>
  <c r="H22" i="12"/>
  <c r="G22" i="12"/>
  <c r="F22" i="12"/>
  <c r="E22" i="12"/>
  <c r="L21" i="12"/>
  <c r="K21" i="12"/>
  <c r="J21" i="12"/>
  <c r="I21" i="12"/>
  <c r="H21" i="12"/>
  <c r="H20" i="12"/>
  <c r="L20" i="12" s="1"/>
  <c r="G20" i="12"/>
  <c r="K20" i="12" s="1"/>
  <c r="F20" i="12"/>
  <c r="J20" i="12" s="1"/>
  <c r="E20" i="12"/>
  <c r="I20" i="12" s="1"/>
  <c r="L19" i="12"/>
  <c r="K19" i="12"/>
  <c r="J19" i="12"/>
  <c r="I19" i="12"/>
  <c r="H19" i="12"/>
  <c r="G19" i="12"/>
  <c r="E19" i="12"/>
  <c r="C19" i="12"/>
  <c r="L18" i="12"/>
  <c r="K18" i="12"/>
  <c r="J18" i="12"/>
  <c r="I18" i="12"/>
  <c r="H18" i="12"/>
  <c r="G18" i="12"/>
  <c r="F18" i="12"/>
  <c r="E18" i="12"/>
  <c r="H17" i="12"/>
  <c r="G17" i="12"/>
  <c r="F17" i="12"/>
  <c r="E17" i="12"/>
  <c r="C17" i="12"/>
  <c r="L16" i="12"/>
  <c r="K16" i="12"/>
  <c r="J16" i="12"/>
  <c r="I16" i="12"/>
  <c r="H16" i="12"/>
  <c r="G16" i="12"/>
  <c r="F16" i="12"/>
  <c r="E16" i="12"/>
  <c r="L15" i="12"/>
  <c r="K15" i="12"/>
  <c r="J15" i="12"/>
  <c r="I15" i="12"/>
  <c r="L14" i="12"/>
  <c r="K14" i="12"/>
  <c r="J14" i="12"/>
  <c r="I14" i="12"/>
  <c r="H14" i="12"/>
  <c r="G14" i="12"/>
  <c r="F14" i="12"/>
  <c r="E14" i="12"/>
  <c r="L13" i="12"/>
  <c r="K13" i="12"/>
  <c r="J13" i="12"/>
  <c r="I13" i="12"/>
  <c r="H13" i="12"/>
  <c r="G13" i="12"/>
  <c r="F13" i="12"/>
  <c r="E13" i="12"/>
  <c r="H12" i="12"/>
  <c r="L12" i="12" s="1"/>
  <c r="G12" i="12"/>
  <c r="K12" i="12" s="1"/>
  <c r="F12" i="12"/>
  <c r="J12" i="12" s="1"/>
  <c r="E12" i="12"/>
  <c r="I12" i="12" s="1"/>
  <c r="L11" i="12"/>
  <c r="K11" i="12"/>
  <c r="J11" i="12"/>
  <c r="I11" i="12"/>
  <c r="H11" i="12"/>
  <c r="F11" i="12"/>
  <c r="E11" i="12"/>
  <c r="L10" i="12"/>
  <c r="K10" i="12"/>
  <c r="J10" i="12"/>
  <c r="I10" i="12"/>
  <c r="H10" i="12"/>
  <c r="G10" i="12"/>
  <c r="F10" i="12"/>
  <c r="E10" i="12"/>
  <c r="L9" i="12"/>
  <c r="K9" i="12"/>
  <c r="J9" i="12"/>
  <c r="I9" i="12"/>
  <c r="H9" i="12"/>
  <c r="G9" i="12"/>
  <c r="F9" i="12"/>
  <c r="E9" i="12"/>
  <c r="H8" i="12"/>
  <c r="L8" i="12" s="1"/>
  <c r="G8" i="12"/>
  <c r="K8" i="12" s="1"/>
  <c r="F8" i="12"/>
  <c r="J8" i="12" s="1"/>
  <c r="E8" i="12"/>
  <c r="I8" i="12" s="1"/>
  <c r="H7" i="12"/>
  <c r="G7" i="12"/>
  <c r="F7" i="12"/>
  <c r="J7" i="12" s="1"/>
  <c r="E7" i="12"/>
  <c r="I7" i="12" s="1"/>
  <c r="L6" i="12"/>
  <c r="K6" i="12"/>
  <c r="J6" i="12"/>
  <c r="I6" i="12"/>
  <c r="H5" i="12"/>
  <c r="L5" i="12" s="1"/>
  <c r="G5" i="12"/>
  <c r="K5" i="12" s="1"/>
  <c r="F5" i="12"/>
  <c r="J5" i="12" s="1"/>
  <c r="E5" i="12"/>
  <c r="I5" i="12" s="1"/>
  <c r="L4" i="12"/>
  <c r="K4" i="12"/>
  <c r="J4" i="12"/>
  <c r="I4" i="12"/>
  <c r="H4" i="12"/>
  <c r="G4" i="12"/>
  <c r="F4" i="12"/>
  <c r="E4" i="12"/>
  <c r="K39" i="14" l="1"/>
  <c r="K7" i="12"/>
  <c r="L25" i="12"/>
  <c r="L7" i="12"/>
  <c r="I17" i="12"/>
  <c r="L17" i="12"/>
  <c r="K17" i="12"/>
  <c r="J17" i="12"/>
  <c r="I39" i="13"/>
  <c r="J39" i="13"/>
  <c r="L39" i="13"/>
  <c r="K39" i="13"/>
  <c r="I25" i="12"/>
  <c r="J25" i="12"/>
  <c r="J39" i="12" s="1"/>
  <c r="K25" i="12"/>
  <c r="C19" i="11"/>
  <c r="C7" i="11"/>
  <c r="C17" i="11"/>
  <c r="C25" i="11"/>
  <c r="I39" i="12" l="1"/>
  <c r="L39" i="12"/>
  <c r="K39" i="12"/>
  <c r="L40" i="11"/>
  <c r="K40" i="11"/>
  <c r="J40" i="11"/>
  <c r="I40" i="11"/>
  <c r="J34" i="11"/>
  <c r="H34" i="11"/>
  <c r="L34" i="11" s="1"/>
  <c r="G34" i="11"/>
  <c r="K34" i="11" s="1"/>
  <c r="E34" i="11"/>
  <c r="I34" i="11" s="1"/>
  <c r="L33" i="11"/>
  <c r="K33" i="11"/>
  <c r="J33" i="11"/>
  <c r="I33" i="11"/>
  <c r="H33" i="11"/>
  <c r="G33" i="11"/>
  <c r="F33" i="11"/>
  <c r="E33" i="11"/>
  <c r="L32" i="11"/>
  <c r="K32" i="11"/>
  <c r="J32" i="11"/>
  <c r="I32" i="11"/>
  <c r="H32" i="11"/>
  <c r="G32" i="11"/>
  <c r="F32" i="11"/>
  <c r="E32" i="11"/>
  <c r="H31" i="11"/>
  <c r="L31" i="11" s="1"/>
  <c r="G31" i="11"/>
  <c r="K31" i="11" s="1"/>
  <c r="F31" i="11"/>
  <c r="J31" i="11" s="1"/>
  <c r="E31" i="11"/>
  <c r="I31" i="11" s="1"/>
  <c r="L30" i="11"/>
  <c r="K30" i="11"/>
  <c r="J30" i="11"/>
  <c r="I30" i="11"/>
  <c r="H30" i="11"/>
  <c r="G30" i="11"/>
  <c r="F30" i="11"/>
  <c r="E30" i="11"/>
  <c r="J29" i="11"/>
  <c r="H29" i="11"/>
  <c r="L29" i="11" s="1"/>
  <c r="G29" i="11"/>
  <c r="K29" i="11" s="1"/>
  <c r="E29" i="11"/>
  <c r="I29" i="11" s="1"/>
  <c r="H28" i="11"/>
  <c r="L28" i="11" s="1"/>
  <c r="G28" i="11"/>
  <c r="K28" i="11" s="1"/>
  <c r="F28" i="11"/>
  <c r="J28" i="11" s="1"/>
  <c r="E28" i="11"/>
  <c r="I28" i="11" s="1"/>
  <c r="L27" i="11"/>
  <c r="K27" i="11"/>
  <c r="J27" i="11"/>
  <c r="I27" i="11"/>
  <c r="H27" i="11"/>
  <c r="G27" i="11"/>
  <c r="E27" i="11"/>
  <c r="L26" i="11"/>
  <c r="K26" i="11"/>
  <c r="J26" i="11"/>
  <c r="I26" i="11"/>
  <c r="H26" i="11"/>
  <c r="G26" i="11"/>
  <c r="F26" i="11"/>
  <c r="E26" i="11"/>
  <c r="H25" i="11"/>
  <c r="L25" i="11" s="1"/>
  <c r="G25" i="11"/>
  <c r="K25" i="11" s="1"/>
  <c r="F25" i="11"/>
  <c r="J25" i="11" s="1"/>
  <c r="E25" i="11"/>
  <c r="I25" i="11" s="1"/>
  <c r="L24" i="11"/>
  <c r="K24" i="11"/>
  <c r="J24" i="11"/>
  <c r="I24" i="11"/>
  <c r="H24" i="11"/>
  <c r="G24" i="11"/>
  <c r="F24" i="11"/>
  <c r="E24" i="11"/>
  <c r="L23" i="11"/>
  <c r="K23" i="11"/>
  <c r="J23" i="11"/>
  <c r="I23" i="11"/>
  <c r="H23" i="11"/>
  <c r="L22" i="11"/>
  <c r="K22" i="11"/>
  <c r="J22" i="11"/>
  <c r="I22" i="11"/>
  <c r="H22" i="11"/>
  <c r="G22" i="11"/>
  <c r="F22" i="11"/>
  <c r="E22" i="11"/>
  <c r="L21" i="11"/>
  <c r="K21" i="11"/>
  <c r="J21" i="11"/>
  <c r="I21" i="11"/>
  <c r="H21" i="11"/>
  <c r="L20" i="11"/>
  <c r="K20" i="11"/>
  <c r="J20" i="11"/>
  <c r="I20" i="11"/>
  <c r="H20" i="11"/>
  <c r="G20" i="11"/>
  <c r="F20" i="11"/>
  <c r="E20" i="11"/>
  <c r="J19" i="11"/>
  <c r="H19" i="11"/>
  <c r="L19" i="11" s="1"/>
  <c r="G19" i="11"/>
  <c r="K19" i="11" s="1"/>
  <c r="E19" i="11"/>
  <c r="I19" i="11" s="1"/>
  <c r="L18" i="11"/>
  <c r="K18" i="11"/>
  <c r="J18" i="11"/>
  <c r="I18" i="11"/>
  <c r="H18" i="11"/>
  <c r="G18" i="11"/>
  <c r="F18" i="11"/>
  <c r="E18" i="11"/>
  <c r="H17" i="11"/>
  <c r="L17" i="11" s="1"/>
  <c r="G17" i="11"/>
  <c r="K17" i="11" s="1"/>
  <c r="F17" i="11"/>
  <c r="J17" i="11" s="1"/>
  <c r="E17" i="11"/>
  <c r="I17" i="11" s="1"/>
  <c r="L16" i="11"/>
  <c r="K16" i="11"/>
  <c r="J16" i="11"/>
  <c r="I16" i="11"/>
  <c r="H16" i="11"/>
  <c r="G16" i="11"/>
  <c r="F16" i="11"/>
  <c r="E16" i="11"/>
  <c r="L15" i="11"/>
  <c r="K15" i="11"/>
  <c r="J15" i="11"/>
  <c r="I15" i="11"/>
  <c r="L14" i="11"/>
  <c r="K14" i="11"/>
  <c r="J14" i="11"/>
  <c r="I14" i="11"/>
  <c r="H14" i="11"/>
  <c r="G14" i="11"/>
  <c r="F14" i="11"/>
  <c r="E14" i="11"/>
  <c r="H13" i="11"/>
  <c r="L13" i="11" s="1"/>
  <c r="G13" i="11"/>
  <c r="K13" i="11" s="1"/>
  <c r="F13" i="11"/>
  <c r="J13" i="11" s="1"/>
  <c r="E13" i="11"/>
  <c r="I13" i="11" s="1"/>
  <c r="L12" i="11"/>
  <c r="K12" i="11"/>
  <c r="J12" i="11"/>
  <c r="I12" i="11"/>
  <c r="H12" i="11"/>
  <c r="G12" i="11"/>
  <c r="F12" i="11"/>
  <c r="E12" i="11"/>
  <c r="K11" i="11"/>
  <c r="H11" i="11"/>
  <c r="L11" i="11" s="1"/>
  <c r="F11" i="11"/>
  <c r="J11" i="11" s="1"/>
  <c r="E11" i="11"/>
  <c r="I11" i="11" s="1"/>
  <c r="L10" i="11"/>
  <c r="K10" i="11"/>
  <c r="J10" i="11"/>
  <c r="I10" i="11"/>
  <c r="H10" i="11"/>
  <c r="G10" i="11"/>
  <c r="F10" i="11"/>
  <c r="E10" i="11"/>
  <c r="L9" i="11"/>
  <c r="K9" i="11"/>
  <c r="J9" i="11"/>
  <c r="I9" i="11"/>
  <c r="H9" i="11"/>
  <c r="G9" i="11"/>
  <c r="F9" i="11"/>
  <c r="E9" i="11"/>
  <c r="L8" i="11"/>
  <c r="K8" i="11"/>
  <c r="J8" i="11"/>
  <c r="I8" i="11"/>
  <c r="H8" i="11"/>
  <c r="G8" i="11"/>
  <c r="F8" i="11"/>
  <c r="E8" i="11"/>
  <c r="H7" i="11"/>
  <c r="L7" i="11" s="1"/>
  <c r="G7" i="11"/>
  <c r="K7" i="11" s="1"/>
  <c r="F7" i="11"/>
  <c r="J7" i="11" s="1"/>
  <c r="E7" i="11"/>
  <c r="I7" i="11" s="1"/>
  <c r="L6" i="11"/>
  <c r="K6" i="11"/>
  <c r="J6" i="11"/>
  <c r="I6" i="11"/>
  <c r="H5" i="11"/>
  <c r="L5" i="11" s="1"/>
  <c r="G5" i="11"/>
  <c r="K5" i="11" s="1"/>
  <c r="F5" i="11"/>
  <c r="J5" i="11" s="1"/>
  <c r="E5" i="11"/>
  <c r="I5" i="11" s="1"/>
  <c r="L4" i="11"/>
  <c r="K4" i="11"/>
  <c r="J4" i="11"/>
  <c r="I4" i="11"/>
  <c r="H4" i="11"/>
  <c r="G4" i="11"/>
  <c r="F4" i="11"/>
  <c r="E4" i="11"/>
  <c r="C17" i="10"/>
  <c r="C25" i="10"/>
  <c r="C7" i="10"/>
  <c r="J34" i="10"/>
  <c r="H34" i="10"/>
  <c r="L34" i="10" s="1"/>
  <c r="G34" i="10"/>
  <c r="K34" i="10" s="1"/>
  <c r="E34" i="10"/>
  <c r="I34" i="10" s="1"/>
  <c r="J39" i="11" l="1"/>
  <c r="I39" i="11"/>
  <c r="K39" i="11"/>
  <c r="L39" i="11"/>
  <c r="L40" i="10"/>
  <c r="K40" i="10"/>
  <c r="J40" i="10"/>
  <c r="I40" i="10"/>
  <c r="L33" i="10"/>
  <c r="K33" i="10"/>
  <c r="H33" i="10"/>
  <c r="G33" i="10"/>
  <c r="F33" i="10"/>
  <c r="J33" i="10" s="1"/>
  <c r="E33" i="10"/>
  <c r="I33" i="10" s="1"/>
  <c r="J32" i="10"/>
  <c r="I32" i="10"/>
  <c r="H32" i="10"/>
  <c r="L32" i="10" s="1"/>
  <c r="G32" i="10"/>
  <c r="K32" i="10" s="1"/>
  <c r="F32" i="10"/>
  <c r="E32" i="10"/>
  <c r="H31" i="10"/>
  <c r="L31" i="10" s="1"/>
  <c r="G31" i="10"/>
  <c r="K31" i="10" s="1"/>
  <c r="F31" i="10"/>
  <c r="J31" i="10" s="1"/>
  <c r="E31" i="10"/>
  <c r="I31" i="10" s="1"/>
  <c r="H30" i="10"/>
  <c r="L30" i="10" s="1"/>
  <c r="G30" i="10"/>
  <c r="K30" i="10" s="1"/>
  <c r="F30" i="10"/>
  <c r="J30" i="10" s="1"/>
  <c r="E30" i="10"/>
  <c r="I30" i="10" s="1"/>
  <c r="J29" i="10"/>
  <c r="H29" i="10"/>
  <c r="L29" i="10" s="1"/>
  <c r="G29" i="10"/>
  <c r="K29" i="10" s="1"/>
  <c r="E29" i="10"/>
  <c r="I29" i="10" s="1"/>
  <c r="K28" i="10"/>
  <c r="J28" i="10"/>
  <c r="I28" i="10"/>
  <c r="H28" i="10"/>
  <c r="L28" i="10" s="1"/>
  <c r="G28" i="10"/>
  <c r="F28" i="10"/>
  <c r="E28" i="10"/>
  <c r="L27" i="10"/>
  <c r="K27" i="10"/>
  <c r="J27" i="10"/>
  <c r="I27" i="10"/>
  <c r="H27" i="10"/>
  <c r="G27" i="10"/>
  <c r="E27" i="10"/>
  <c r="L26" i="10"/>
  <c r="K26" i="10"/>
  <c r="J26" i="10"/>
  <c r="I26" i="10"/>
  <c r="H26" i="10"/>
  <c r="G26" i="10"/>
  <c r="F26" i="10"/>
  <c r="E26" i="10"/>
  <c r="H25" i="10"/>
  <c r="L25" i="10" s="1"/>
  <c r="G25" i="10"/>
  <c r="K25" i="10" s="1"/>
  <c r="F25" i="10"/>
  <c r="J25" i="10" s="1"/>
  <c r="E25" i="10"/>
  <c r="I25" i="10" s="1"/>
  <c r="L24" i="10"/>
  <c r="K24" i="10"/>
  <c r="J24" i="10"/>
  <c r="I24" i="10"/>
  <c r="H24" i="10"/>
  <c r="G24" i="10"/>
  <c r="F24" i="10"/>
  <c r="E24" i="10"/>
  <c r="L23" i="10"/>
  <c r="K23" i="10"/>
  <c r="J23" i="10"/>
  <c r="I23" i="10"/>
  <c r="H23" i="10"/>
  <c r="H22" i="10"/>
  <c r="L22" i="10" s="1"/>
  <c r="G22" i="10"/>
  <c r="K22" i="10" s="1"/>
  <c r="F22" i="10"/>
  <c r="J22" i="10" s="1"/>
  <c r="E22" i="10"/>
  <c r="I22" i="10" s="1"/>
  <c r="L21" i="10"/>
  <c r="K21" i="10"/>
  <c r="J21" i="10"/>
  <c r="I21" i="10"/>
  <c r="H21" i="10"/>
  <c r="L20" i="10"/>
  <c r="K20" i="10"/>
  <c r="J20" i="10"/>
  <c r="I20" i="10"/>
  <c r="H20" i="10"/>
  <c r="G20" i="10"/>
  <c r="F20" i="10"/>
  <c r="E20" i="10"/>
  <c r="L19" i="10"/>
  <c r="K19" i="10"/>
  <c r="J19" i="10"/>
  <c r="I19" i="10"/>
  <c r="H19" i="10"/>
  <c r="G19" i="10"/>
  <c r="E19" i="10"/>
  <c r="C19" i="10"/>
  <c r="L18" i="10"/>
  <c r="K18" i="10"/>
  <c r="J18" i="10"/>
  <c r="I18" i="10"/>
  <c r="H18" i="10"/>
  <c r="G18" i="10"/>
  <c r="F18" i="10"/>
  <c r="E18" i="10"/>
  <c r="H17" i="10"/>
  <c r="L17" i="10" s="1"/>
  <c r="G17" i="10"/>
  <c r="K17" i="10" s="1"/>
  <c r="F17" i="10"/>
  <c r="J17" i="10" s="1"/>
  <c r="E17" i="10"/>
  <c r="I17" i="10" s="1"/>
  <c r="L16" i="10"/>
  <c r="K16" i="10"/>
  <c r="J16" i="10"/>
  <c r="I16" i="10"/>
  <c r="H16" i="10"/>
  <c r="G16" i="10"/>
  <c r="F16" i="10"/>
  <c r="E16" i="10"/>
  <c r="L15" i="10"/>
  <c r="K15" i="10"/>
  <c r="J15" i="10"/>
  <c r="I15" i="10"/>
  <c r="L14" i="10"/>
  <c r="K14" i="10"/>
  <c r="J14" i="10"/>
  <c r="I14" i="10"/>
  <c r="H14" i="10"/>
  <c r="G14" i="10"/>
  <c r="F14" i="10"/>
  <c r="E14" i="10"/>
  <c r="H13" i="10"/>
  <c r="L13" i="10" s="1"/>
  <c r="G13" i="10"/>
  <c r="K13" i="10" s="1"/>
  <c r="F13" i="10"/>
  <c r="J13" i="10" s="1"/>
  <c r="E13" i="10"/>
  <c r="I13" i="10" s="1"/>
  <c r="L12" i="10"/>
  <c r="H12" i="10"/>
  <c r="G12" i="10"/>
  <c r="K12" i="10" s="1"/>
  <c r="F12" i="10"/>
  <c r="J12" i="10" s="1"/>
  <c r="E12" i="10"/>
  <c r="I12" i="10" s="1"/>
  <c r="K11" i="10"/>
  <c r="H11" i="10"/>
  <c r="L11" i="10" s="1"/>
  <c r="F11" i="10"/>
  <c r="J11" i="10" s="1"/>
  <c r="E11" i="10"/>
  <c r="I11" i="10" s="1"/>
  <c r="L10" i="10"/>
  <c r="K10" i="10"/>
  <c r="J10" i="10"/>
  <c r="I10" i="10"/>
  <c r="H10" i="10"/>
  <c r="G10" i="10"/>
  <c r="F10" i="10"/>
  <c r="E10" i="10"/>
  <c r="L9" i="10"/>
  <c r="K9" i="10"/>
  <c r="J9" i="10"/>
  <c r="I9" i="10"/>
  <c r="H9" i="10"/>
  <c r="G9" i="10"/>
  <c r="F9" i="10"/>
  <c r="E9" i="10"/>
  <c r="H8" i="10"/>
  <c r="L8" i="10" s="1"/>
  <c r="G8" i="10"/>
  <c r="K8" i="10" s="1"/>
  <c r="F8" i="10"/>
  <c r="J8" i="10" s="1"/>
  <c r="E8" i="10"/>
  <c r="I8" i="10" s="1"/>
  <c r="H7" i="10"/>
  <c r="L7" i="10" s="1"/>
  <c r="G7" i="10"/>
  <c r="K7" i="10" s="1"/>
  <c r="F7" i="10"/>
  <c r="J7" i="10" s="1"/>
  <c r="E7" i="10"/>
  <c r="I7" i="10" s="1"/>
  <c r="L6" i="10"/>
  <c r="K6" i="10"/>
  <c r="J6" i="10"/>
  <c r="I6" i="10"/>
  <c r="H5" i="10"/>
  <c r="L5" i="10" s="1"/>
  <c r="G5" i="10"/>
  <c r="K5" i="10" s="1"/>
  <c r="F5" i="10"/>
  <c r="J5" i="10" s="1"/>
  <c r="E5" i="10"/>
  <c r="I5" i="10" s="1"/>
  <c r="L4" i="10"/>
  <c r="I4" i="10"/>
  <c r="H4" i="10"/>
  <c r="G4" i="10"/>
  <c r="K4" i="10" s="1"/>
  <c r="F4" i="10"/>
  <c r="J4" i="10" s="1"/>
  <c r="E4" i="10"/>
  <c r="C7" i="9"/>
  <c r="H33" i="9"/>
  <c r="L33" i="9" s="1"/>
  <c r="G33" i="9"/>
  <c r="K33" i="9" s="1"/>
  <c r="F33" i="9"/>
  <c r="J33" i="9" s="1"/>
  <c r="E33" i="9"/>
  <c r="I33" i="9" s="1"/>
  <c r="H32" i="9"/>
  <c r="L32" i="9" s="1"/>
  <c r="G32" i="9"/>
  <c r="K32" i="9" s="1"/>
  <c r="F32" i="9"/>
  <c r="J32" i="9" s="1"/>
  <c r="E32" i="9"/>
  <c r="I32" i="9" s="1"/>
  <c r="H31" i="9"/>
  <c r="L31" i="9" s="1"/>
  <c r="G31" i="9"/>
  <c r="K31" i="9" s="1"/>
  <c r="F31" i="9"/>
  <c r="J31" i="9" s="1"/>
  <c r="E31" i="9"/>
  <c r="I31" i="9" s="1"/>
  <c r="I39" i="10" l="1"/>
  <c r="J39" i="10"/>
  <c r="K39" i="10"/>
  <c r="L39" i="10"/>
  <c r="C25" i="9"/>
  <c r="J26" i="9" l="1"/>
  <c r="L23" i="9" l="1"/>
  <c r="K23" i="9"/>
  <c r="J23" i="9"/>
  <c r="I23" i="9"/>
  <c r="L40" i="9"/>
  <c r="K40" i="9"/>
  <c r="J40" i="9"/>
  <c r="I40" i="9"/>
  <c r="K30" i="9"/>
  <c r="J30" i="9"/>
  <c r="I30" i="9"/>
  <c r="G30" i="9"/>
  <c r="F30" i="9"/>
  <c r="E30" i="9"/>
  <c r="H30" i="9"/>
  <c r="L30" i="9" s="1"/>
  <c r="J29" i="9"/>
  <c r="G29" i="9"/>
  <c r="K29" i="9" s="1"/>
  <c r="E29" i="9"/>
  <c r="I29" i="9" s="1"/>
  <c r="H29" i="9"/>
  <c r="L29" i="9" s="1"/>
  <c r="G28" i="9"/>
  <c r="K28" i="9" s="1"/>
  <c r="F28" i="9"/>
  <c r="J28" i="9" s="1"/>
  <c r="E28" i="9"/>
  <c r="I28" i="9" s="1"/>
  <c r="H28" i="9"/>
  <c r="L28" i="9" s="1"/>
  <c r="J27" i="9"/>
  <c r="G27" i="9"/>
  <c r="K27" i="9" s="1"/>
  <c r="E27" i="9"/>
  <c r="I27" i="9" s="1"/>
  <c r="H27" i="9"/>
  <c r="L27" i="9" s="1"/>
  <c r="L26" i="9"/>
  <c r="K26" i="9"/>
  <c r="I26" i="9"/>
  <c r="G26" i="9"/>
  <c r="F26" i="9"/>
  <c r="E26" i="9"/>
  <c r="H26" i="9"/>
  <c r="G25" i="9"/>
  <c r="K25" i="9" s="1"/>
  <c r="F25" i="9"/>
  <c r="J25" i="9" s="1"/>
  <c r="E25" i="9"/>
  <c r="I25" i="9" s="1"/>
  <c r="H25" i="9"/>
  <c r="L25" i="9" s="1"/>
  <c r="L24" i="9"/>
  <c r="K24" i="9"/>
  <c r="J24" i="9"/>
  <c r="I24" i="9"/>
  <c r="G24" i="9"/>
  <c r="F24" i="9"/>
  <c r="E24" i="9"/>
  <c r="H24" i="9"/>
  <c r="H23" i="9"/>
  <c r="L22" i="9"/>
  <c r="K22" i="9"/>
  <c r="J22" i="9"/>
  <c r="I22" i="9"/>
  <c r="G22" i="9"/>
  <c r="F22" i="9"/>
  <c r="E22" i="9"/>
  <c r="H22" i="9"/>
  <c r="L21" i="9"/>
  <c r="K21" i="9"/>
  <c r="J21" i="9"/>
  <c r="I21" i="9"/>
  <c r="H21" i="9"/>
  <c r="L20" i="9"/>
  <c r="K20" i="9"/>
  <c r="J20" i="9"/>
  <c r="I20" i="9"/>
  <c r="G20" i="9"/>
  <c r="F20" i="9"/>
  <c r="E20" i="9"/>
  <c r="H20" i="9"/>
  <c r="L19" i="9"/>
  <c r="K19" i="9"/>
  <c r="J19" i="9"/>
  <c r="I19" i="9"/>
  <c r="G19" i="9"/>
  <c r="E19" i="9"/>
  <c r="H19" i="9"/>
  <c r="C19" i="9"/>
  <c r="L18" i="9"/>
  <c r="K18" i="9"/>
  <c r="J18" i="9"/>
  <c r="I18" i="9"/>
  <c r="G18" i="9"/>
  <c r="F18" i="9"/>
  <c r="E18" i="9"/>
  <c r="H18" i="9"/>
  <c r="G17" i="9"/>
  <c r="K17" i="9" s="1"/>
  <c r="F17" i="9"/>
  <c r="J17" i="9" s="1"/>
  <c r="E17" i="9"/>
  <c r="I17" i="9" s="1"/>
  <c r="H17" i="9"/>
  <c r="L17" i="9" s="1"/>
  <c r="L16" i="9"/>
  <c r="K16" i="9"/>
  <c r="J16" i="9"/>
  <c r="I16" i="9"/>
  <c r="G16" i="9"/>
  <c r="F16" i="9"/>
  <c r="E16" i="9"/>
  <c r="H16" i="9"/>
  <c r="L15" i="9"/>
  <c r="K15" i="9"/>
  <c r="J15" i="9"/>
  <c r="I15" i="9"/>
  <c r="L14" i="9"/>
  <c r="K14" i="9"/>
  <c r="J14" i="9"/>
  <c r="I14" i="9"/>
  <c r="G14" i="9"/>
  <c r="F14" i="9"/>
  <c r="E14" i="9"/>
  <c r="H14" i="9"/>
  <c r="G13" i="9"/>
  <c r="K13" i="9" s="1"/>
  <c r="F13" i="9"/>
  <c r="J13" i="9" s="1"/>
  <c r="E13" i="9"/>
  <c r="I13" i="9" s="1"/>
  <c r="H13" i="9"/>
  <c r="L13" i="9" s="1"/>
  <c r="G12" i="9"/>
  <c r="K12" i="9" s="1"/>
  <c r="F12" i="9"/>
  <c r="J12" i="9" s="1"/>
  <c r="E12" i="9"/>
  <c r="I12" i="9" s="1"/>
  <c r="H12" i="9"/>
  <c r="L12" i="9" s="1"/>
  <c r="L11" i="9"/>
  <c r="K11" i="9"/>
  <c r="J11" i="9"/>
  <c r="I11" i="9"/>
  <c r="F11" i="9"/>
  <c r="E11" i="9"/>
  <c r="H11" i="9"/>
  <c r="L10" i="9"/>
  <c r="K10" i="9"/>
  <c r="J10" i="9"/>
  <c r="I10" i="9"/>
  <c r="G10" i="9"/>
  <c r="F10" i="9"/>
  <c r="E10" i="9"/>
  <c r="H10" i="9"/>
  <c r="L9" i="9"/>
  <c r="K9" i="9"/>
  <c r="J9" i="9"/>
  <c r="I9" i="9"/>
  <c r="G9" i="9"/>
  <c r="F9" i="9"/>
  <c r="E9" i="9"/>
  <c r="H9" i="9"/>
  <c r="L8" i="9"/>
  <c r="K8" i="9"/>
  <c r="J8" i="9"/>
  <c r="I8" i="9"/>
  <c r="G8" i="9"/>
  <c r="F8" i="9"/>
  <c r="E8" i="9"/>
  <c r="H8" i="9"/>
  <c r="G7" i="9"/>
  <c r="K7" i="9" s="1"/>
  <c r="F7" i="9"/>
  <c r="J7" i="9" s="1"/>
  <c r="E7" i="9"/>
  <c r="I7" i="9" s="1"/>
  <c r="H7" i="9"/>
  <c r="L7" i="9" s="1"/>
  <c r="L6" i="9"/>
  <c r="K6" i="9"/>
  <c r="J6" i="9"/>
  <c r="I6" i="9"/>
  <c r="G5" i="9"/>
  <c r="K5" i="9" s="1"/>
  <c r="F5" i="9"/>
  <c r="J5" i="9" s="1"/>
  <c r="E5" i="9"/>
  <c r="I5" i="9" s="1"/>
  <c r="H5" i="9"/>
  <c r="L5" i="9" s="1"/>
  <c r="G4" i="9"/>
  <c r="K4" i="9" s="1"/>
  <c r="F4" i="9"/>
  <c r="J4" i="9" s="1"/>
  <c r="E4" i="9"/>
  <c r="I4" i="9" s="1"/>
  <c r="H4" i="9"/>
  <c r="L4" i="9" s="1"/>
  <c r="K39" i="9" l="1"/>
  <c r="L39" i="9"/>
  <c r="I39" i="9"/>
  <c r="J39" i="9"/>
  <c r="C19" i="8"/>
  <c r="C7" i="8"/>
  <c r="C25" i="8"/>
  <c r="L29" i="8" l="1"/>
  <c r="K29" i="8"/>
  <c r="J29" i="8"/>
  <c r="I29" i="8"/>
  <c r="H30" i="8"/>
  <c r="K30" i="8" s="1"/>
  <c r="G30" i="8"/>
  <c r="J30" i="8" s="1"/>
  <c r="F30" i="8"/>
  <c r="I30" i="8" s="1"/>
  <c r="E30" i="8"/>
  <c r="L30" i="8" s="1"/>
  <c r="H29" i="8"/>
  <c r="F29" i="8"/>
  <c r="E29" i="8"/>
  <c r="H28" i="8"/>
  <c r="K28" i="8" s="1"/>
  <c r="G28" i="8"/>
  <c r="J28" i="8" s="1"/>
  <c r="F28" i="8"/>
  <c r="I28" i="8" s="1"/>
  <c r="E28" i="8"/>
  <c r="L28" i="8" s="1"/>
  <c r="H27" i="8"/>
  <c r="K27" i="8" s="1"/>
  <c r="E27" i="8"/>
  <c r="L27" i="8" s="1"/>
  <c r="J27" i="8"/>
  <c r="F27" i="8"/>
  <c r="I27" i="8" s="1"/>
  <c r="H26" i="8"/>
  <c r="G26" i="8"/>
  <c r="F26" i="8"/>
  <c r="E26" i="8"/>
  <c r="E9" i="8"/>
  <c r="H9" i="8"/>
  <c r="G9" i="8"/>
  <c r="F9" i="8"/>
  <c r="L35" i="8" l="1"/>
  <c r="K35" i="8"/>
  <c r="J35" i="8"/>
  <c r="I35" i="8"/>
  <c r="L26" i="8"/>
  <c r="K26" i="8"/>
  <c r="J26" i="8"/>
  <c r="I26" i="8"/>
  <c r="L25" i="8"/>
  <c r="K25" i="8"/>
  <c r="J25" i="8"/>
  <c r="I25" i="8"/>
  <c r="L24" i="8"/>
  <c r="K24" i="8"/>
  <c r="J24" i="8"/>
  <c r="I24" i="8"/>
  <c r="H24" i="8"/>
  <c r="G24" i="8"/>
  <c r="F24" i="8"/>
  <c r="E24" i="8"/>
  <c r="L23" i="8"/>
  <c r="K23" i="8"/>
  <c r="J23" i="8"/>
  <c r="I23" i="8"/>
  <c r="E23" i="8"/>
  <c r="H22" i="8"/>
  <c r="K22" i="8" s="1"/>
  <c r="G22" i="8"/>
  <c r="J22" i="8" s="1"/>
  <c r="F22" i="8"/>
  <c r="I22" i="8" s="1"/>
  <c r="E22" i="8"/>
  <c r="L22" i="8" s="1"/>
  <c r="L21" i="8"/>
  <c r="K21" i="8"/>
  <c r="J21" i="8"/>
  <c r="I21" i="8"/>
  <c r="E21" i="8"/>
  <c r="L20" i="8"/>
  <c r="K20" i="8"/>
  <c r="J20" i="8"/>
  <c r="I20" i="8"/>
  <c r="H20" i="8"/>
  <c r="G20" i="8"/>
  <c r="F20" i="8"/>
  <c r="E20" i="8"/>
  <c r="J19" i="8"/>
  <c r="H19" i="8"/>
  <c r="K19" i="8" s="1"/>
  <c r="F19" i="8"/>
  <c r="I19" i="8" s="1"/>
  <c r="E19" i="8"/>
  <c r="L19" i="8" s="1"/>
  <c r="L18" i="8"/>
  <c r="K18" i="8"/>
  <c r="J18" i="8"/>
  <c r="I18" i="8"/>
  <c r="H18" i="8"/>
  <c r="G18" i="8"/>
  <c r="F18" i="8"/>
  <c r="E18" i="8"/>
  <c r="H17" i="8"/>
  <c r="K17" i="8" s="1"/>
  <c r="G17" i="8"/>
  <c r="J17" i="8" s="1"/>
  <c r="F17" i="8"/>
  <c r="I17" i="8" s="1"/>
  <c r="E17" i="8"/>
  <c r="L17" i="8" s="1"/>
  <c r="L16" i="8"/>
  <c r="K16" i="8"/>
  <c r="J16" i="8"/>
  <c r="I16" i="8"/>
  <c r="H16" i="8"/>
  <c r="G16" i="8"/>
  <c r="F16" i="8"/>
  <c r="E16" i="8"/>
  <c r="L15" i="8"/>
  <c r="K15" i="8"/>
  <c r="J15" i="8"/>
  <c r="I15" i="8"/>
  <c r="L14" i="8"/>
  <c r="K14" i="8"/>
  <c r="J14" i="8"/>
  <c r="I14" i="8"/>
  <c r="H14" i="8"/>
  <c r="G14" i="8"/>
  <c r="F14" i="8"/>
  <c r="E14" i="8"/>
  <c r="I13" i="8"/>
  <c r="H13" i="8"/>
  <c r="K13" i="8" s="1"/>
  <c r="G13" i="8"/>
  <c r="J13" i="8" s="1"/>
  <c r="F13" i="8"/>
  <c r="E13" i="8"/>
  <c r="L13" i="8" s="1"/>
  <c r="H12" i="8"/>
  <c r="K12" i="8" s="1"/>
  <c r="G12" i="8"/>
  <c r="J12" i="8" s="1"/>
  <c r="F12" i="8"/>
  <c r="I12" i="8" s="1"/>
  <c r="E12" i="8"/>
  <c r="L12" i="8" s="1"/>
  <c r="K11" i="8"/>
  <c r="G11" i="8"/>
  <c r="J11" i="8" s="1"/>
  <c r="F11" i="8"/>
  <c r="I11" i="8" s="1"/>
  <c r="E11" i="8"/>
  <c r="L11" i="8" s="1"/>
  <c r="L10" i="8"/>
  <c r="K10" i="8"/>
  <c r="J10" i="8"/>
  <c r="I10" i="8"/>
  <c r="H10" i="8"/>
  <c r="G10" i="8"/>
  <c r="F10" i="8"/>
  <c r="E10" i="8"/>
  <c r="L9" i="8"/>
  <c r="K9" i="8"/>
  <c r="J9" i="8"/>
  <c r="I9" i="8"/>
  <c r="L8" i="8"/>
  <c r="K8" i="8"/>
  <c r="J8" i="8"/>
  <c r="I8" i="8"/>
  <c r="H8" i="8"/>
  <c r="G8" i="8"/>
  <c r="F8" i="8"/>
  <c r="E8" i="8"/>
  <c r="H7" i="8"/>
  <c r="K7" i="8" s="1"/>
  <c r="G7" i="8"/>
  <c r="J7" i="8" s="1"/>
  <c r="F7" i="8"/>
  <c r="I7" i="8" s="1"/>
  <c r="E7" i="8"/>
  <c r="L7" i="8" s="1"/>
  <c r="L6" i="8"/>
  <c r="K6" i="8"/>
  <c r="J6" i="8"/>
  <c r="I6" i="8"/>
  <c r="H5" i="8"/>
  <c r="K5" i="8" s="1"/>
  <c r="G5" i="8"/>
  <c r="J5" i="8" s="1"/>
  <c r="F5" i="8"/>
  <c r="I5" i="8" s="1"/>
  <c r="E5" i="8"/>
  <c r="L5" i="8" s="1"/>
  <c r="H4" i="8"/>
  <c r="K4" i="8" s="1"/>
  <c r="G4" i="8"/>
  <c r="J4" i="8" s="1"/>
  <c r="F4" i="8"/>
  <c r="I4" i="8" s="1"/>
  <c r="E4" i="8"/>
  <c r="L4" i="8" s="1"/>
  <c r="C19" i="7"/>
  <c r="J19" i="7" s="1"/>
  <c r="C7" i="7"/>
  <c r="L32" i="7"/>
  <c r="K32" i="7"/>
  <c r="J32" i="7"/>
  <c r="I32" i="7"/>
  <c r="H25" i="7"/>
  <c r="K25" i="7" s="1"/>
  <c r="G25" i="7"/>
  <c r="J25" i="7" s="1"/>
  <c r="F25" i="7"/>
  <c r="I25" i="7" s="1"/>
  <c r="E25" i="7"/>
  <c r="L25" i="7" s="1"/>
  <c r="L27" i="7"/>
  <c r="K27" i="7"/>
  <c r="J27" i="7"/>
  <c r="I27" i="7"/>
  <c r="H4" i="7"/>
  <c r="K4" i="7" s="1"/>
  <c r="G4" i="7"/>
  <c r="J4" i="7" s="1"/>
  <c r="F4" i="7"/>
  <c r="I4" i="7" s="1"/>
  <c r="E4" i="7"/>
  <c r="L4" i="7" s="1"/>
  <c r="L26" i="7"/>
  <c r="K26" i="7"/>
  <c r="J26" i="7"/>
  <c r="I26" i="7"/>
  <c r="L24" i="7"/>
  <c r="J24" i="7"/>
  <c r="H24" i="7"/>
  <c r="K24" i="7" s="1"/>
  <c r="G24" i="7"/>
  <c r="F24" i="7"/>
  <c r="I24" i="7" s="1"/>
  <c r="E24" i="7"/>
  <c r="L23" i="7"/>
  <c r="K23" i="7"/>
  <c r="J23" i="7"/>
  <c r="I23" i="7"/>
  <c r="E23" i="7"/>
  <c r="H22" i="7"/>
  <c r="K22" i="7" s="1"/>
  <c r="G22" i="7"/>
  <c r="J22" i="7" s="1"/>
  <c r="F22" i="7"/>
  <c r="I22" i="7" s="1"/>
  <c r="E22" i="7"/>
  <c r="L22" i="7" s="1"/>
  <c r="L21" i="7"/>
  <c r="K21" i="7"/>
  <c r="J21" i="7"/>
  <c r="I21" i="7"/>
  <c r="E21" i="7"/>
  <c r="L20" i="7"/>
  <c r="K20" i="7"/>
  <c r="J20" i="7"/>
  <c r="I20" i="7"/>
  <c r="H20" i="7"/>
  <c r="G20" i="7"/>
  <c r="F20" i="7"/>
  <c r="E20" i="7"/>
  <c r="H19" i="7"/>
  <c r="F19" i="7"/>
  <c r="E19" i="7"/>
  <c r="H18" i="7"/>
  <c r="K18" i="7" s="1"/>
  <c r="G18" i="7"/>
  <c r="J18" i="7" s="1"/>
  <c r="F18" i="7"/>
  <c r="I18" i="7" s="1"/>
  <c r="E18" i="7"/>
  <c r="L18" i="7" s="1"/>
  <c r="H17" i="7"/>
  <c r="K17" i="7" s="1"/>
  <c r="G17" i="7"/>
  <c r="J17" i="7" s="1"/>
  <c r="F17" i="7"/>
  <c r="I17" i="7" s="1"/>
  <c r="E17" i="7"/>
  <c r="L17" i="7" s="1"/>
  <c r="H16" i="7"/>
  <c r="K16" i="7" s="1"/>
  <c r="G16" i="7"/>
  <c r="J16" i="7" s="1"/>
  <c r="F16" i="7"/>
  <c r="I16" i="7" s="1"/>
  <c r="E16" i="7"/>
  <c r="L16" i="7" s="1"/>
  <c r="L15" i="7"/>
  <c r="K15" i="7"/>
  <c r="J15" i="7"/>
  <c r="I15" i="7"/>
  <c r="L14" i="7"/>
  <c r="K14" i="7"/>
  <c r="J14" i="7"/>
  <c r="I14" i="7"/>
  <c r="H14" i="7"/>
  <c r="G14" i="7"/>
  <c r="F14" i="7"/>
  <c r="E14" i="7"/>
  <c r="H13" i="7"/>
  <c r="K13" i="7" s="1"/>
  <c r="G13" i="7"/>
  <c r="J13" i="7" s="1"/>
  <c r="F13" i="7"/>
  <c r="I13" i="7" s="1"/>
  <c r="E13" i="7"/>
  <c r="L13" i="7" s="1"/>
  <c r="L12" i="7"/>
  <c r="K12" i="7"/>
  <c r="J12" i="7"/>
  <c r="I12" i="7"/>
  <c r="H12" i="7"/>
  <c r="G12" i="7"/>
  <c r="F12" i="7"/>
  <c r="E12" i="7"/>
  <c r="K11" i="7"/>
  <c r="G11" i="7"/>
  <c r="J11" i="7" s="1"/>
  <c r="F11" i="7"/>
  <c r="I11" i="7" s="1"/>
  <c r="E11" i="7"/>
  <c r="L11" i="7" s="1"/>
  <c r="H10" i="7"/>
  <c r="K10" i="7" s="1"/>
  <c r="G10" i="7"/>
  <c r="J10" i="7" s="1"/>
  <c r="F10" i="7"/>
  <c r="I10" i="7" s="1"/>
  <c r="E10" i="7"/>
  <c r="L10" i="7" s="1"/>
  <c r="L9" i="7"/>
  <c r="K9" i="7"/>
  <c r="J9" i="7"/>
  <c r="I9" i="7"/>
  <c r="E9" i="7"/>
  <c r="H8" i="7"/>
  <c r="K8" i="7" s="1"/>
  <c r="G8" i="7"/>
  <c r="J8" i="7" s="1"/>
  <c r="F8" i="7"/>
  <c r="I8" i="7" s="1"/>
  <c r="E8" i="7"/>
  <c r="L8" i="7" s="1"/>
  <c r="H7" i="7"/>
  <c r="G7" i="7"/>
  <c r="F7" i="7"/>
  <c r="E7" i="7"/>
  <c r="L6" i="7"/>
  <c r="K6" i="7"/>
  <c r="J6" i="7"/>
  <c r="I6" i="7"/>
  <c r="H5" i="7"/>
  <c r="K5" i="7" s="1"/>
  <c r="G5" i="7"/>
  <c r="J5" i="7" s="1"/>
  <c r="F5" i="7"/>
  <c r="I5" i="7" s="1"/>
  <c r="E5" i="7"/>
  <c r="L5" i="7" s="1"/>
  <c r="K19" i="7" l="1"/>
  <c r="L19" i="7"/>
  <c r="I19" i="7"/>
  <c r="K7" i="7"/>
  <c r="J34" i="8"/>
  <c r="K34" i="8"/>
  <c r="L34" i="8"/>
  <c r="I34" i="8"/>
  <c r="L7" i="7"/>
  <c r="I7" i="7"/>
  <c r="J7" i="7"/>
  <c r="J28" i="7" s="1"/>
  <c r="K28" i="7"/>
  <c r="L28" i="7" l="1"/>
  <c r="I28" i="7"/>
  <c r="H22" i="3"/>
  <c r="G22" i="3"/>
  <c r="F22" i="3"/>
  <c r="E22" i="3"/>
  <c r="E27" i="3"/>
  <c r="H27" i="3"/>
  <c r="G27" i="3"/>
  <c r="F27" i="3"/>
  <c r="C7" i="3"/>
  <c r="I24" i="3" l="1"/>
  <c r="J24" i="3"/>
  <c r="H24" i="3"/>
  <c r="K24" i="3" s="1"/>
  <c r="G24" i="3"/>
  <c r="F24" i="3"/>
  <c r="E24" i="3"/>
  <c r="L24" i="3" s="1"/>
  <c r="L32" i="3" l="1"/>
  <c r="K32" i="3"/>
  <c r="J32" i="3"/>
  <c r="I32" i="3"/>
  <c r="L27" i="3"/>
  <c r="K27" i="3"/>
  <c r="J27" i="3"/>
  <c r="I27" i="3"/>
  <c r="L26" i="3"/>
  <c r="K26" i="3"/>
  <c r="J26" i="3"/>
  <c r="I26" i="3"/>
  <c r="L25" i="3"/>
  <c r="K25" i="3"/>
  <c r="J25" i="3"/>
  <c r="I25" i="3"/>
  <c r="K23" i="3"/>
  <c r="J23" i="3"/>
  <c r="I23" i="3"/>
  <c r="E23" i="3"/>
  <c r="L23" i="3" s="1"/>
  <c r="L22" i="3"/>
  <c r="K22" i="3"/>
  <c r="J22" i="3"/>
  <c r="I22" i="3"/>
  <c r="L21" i="3"/>
  <c r="K21" i="3"/>
  <c r="J21" i="3"/>
  <c r="I21" i="3"/>
  <c r="E21" i="3"/>
  <c r="L20" i="3"/>
  <c r="K20" i="3"/>
  <c r="J20" i="3"/>
  <c r="I20" i="3"/>
  <c r="H20" i="3"/>
  <c r="G20" i="3"/>
  <c r="F20" i="3"/>
  <c r="E20" i="3"/>
  <c r="J19" i="3"/>
  <c r="H19" i="3"/>
  <c r="K19" i="3" s="1"/>
  <c r="F19" i="3"/>
  <c r="I19" i="3" s="1"/>
  <c r="E19" i="3"/>
  <c r="L19" i="3" s="1"/>
  <c r="L18" i="3"/>
  <c r="K18" i="3"/>
  <c r="J18" i="3"/>
  <c r="I18" i="3"/>
  <c r="H18" i="3"/>
  <c r="G18" i="3"/>
  <c r="F18" i="3"/>
  <c r="E18" i="3"/>
  <c r="H17" i="3"/>
  <c r="K17" i="3" s="1"/>
  <c r="G17" i="3"/>
  <c r="J17" i="3" s="1"/>
  <c r="F17" i="3"/>
  <c r="I17" i="3" s="1"/>
  <c r="E17" i="3"/>
  <c r="L17" i="3" s="1"/>
  <c r="H16" i="3"/>
  <c r="K16" i="3" s="1"/>
  <c r="G16" i="3"/>
  <c r="J16" i="3" s="1"/>
  <c r="F16" i="3"/>
  <c r="I16" i="3" s="1"/>
  <c r="E16" i="3"/>
  <c r="L16" i="3" s="1"/>
  <c r="L15" i="3"/>
  <c r="K15" i="3"/>
  <c r="J15" i="3"/>
  <c r="I15" i="3"/>
  <c r="L14" i="3"/>
  <c r="K14" i="3"/>
  <c r="J14" i="3"/>
  <c r="I14" i="3"/>
  <c r="H14" i="3"/>
  <c r="G14" i="3"/>
  <c r="F14" i="3"/>
  <c r="E14" i="3"/>
  <c r="H13" i="3"/>
  <c r="K13" i="3" s="1"/>
  <c r="G13" i="3"/>
  <c r="J13" i="3" s="1"/>
  <c r="F13" i="3"/>
  <c r="I13" i="3" s="1"/>
  <c r="E13" i="3"/>
  <c r="L13" i="3" s="1"/>
  <c r="L12" i="3"/>
  <c r="K12" i="3"/>
  <c r="J12" i="3"/>
  <c r="I12" i="3"/>
  <c r="H12" i="3"/>
  <c r="G12" i="3"/>
  <c r="F12" i="3"/>
  <c r="E12" i="3"/>
  <c r="K11" i="3"/>
  <c r="G11" i="3"/>
  <c r="J11" i="3" s="1"/>
  <c r="F11" i="3"/>
  <c r="I11" i="3" s="1"/>
  <c r="E11" i="3"/>
  <c r="L11" i="3" s="1"/>
  <c r="H10" i="3"/>
  <c r="K10" i="3" s="1"/>
  <c r="G10" i="3"/>
  <c r="J10" i="3" s="1"/>
  <c r="F10" i="3"/>
  <c r="I10" i="3" s="1"/>
  <c r="E10" i="3"/>
  <c r="L10" i="3" s="1"/>
  <c r="L9" i="3"/>
  <c r="K9" i="3"/>
  <c r="J9" i="3"/>
  <c r="I9" i="3"/>
  <c r="E9" i="3"/>
  <c r="L8" i="3"/>
  <c r="K8" i="3"/>
  <c r="J8" i="3"/>
  <c r="I8" i="3"/>
  <c r="H8" i="3"/>
  <c r="G8" i="3"/>
  <c r="F8" i="3"/>
  <c r="E8" i="3"/>
  <c r="H7" i="3"/>
  <c r="K7" i="3" s="1"/>
  <c r="G7" i="3"/>
  <c r="J7" i="3" s="1"/>
  <c r="F7" i="3"/>
  <c r="I7" i="3" s="1"/>
  <c r="E7" i="3"/>
  <c r="L7" i="3" s="1"/>
  <c r="L6" i="3"/>
  <c r="K6" i="3"/>
  <c r="J6" i="3"/>
  <c r="I6" i="3"/>
  <c r="H5" i="3"/>
  <c r="K5" i="3" s="1"/>
  <c r="G5" i="3"/>
  <c r="J5" i="3" s="1"/>
  <c r="F5" i="3"/>
  <c r="I5" i="3" s="1"/>
  <c r="E5" i="3"/>
  <c r="L5" i="3" s="1"/>
  <c r="L4" i="3"/>
  <c r="K4" i="3"/>
  <c r="J4" i="3"/>
  <c r="I4" i="3"/>
  <c r="I28" i="3" l="1"/>
  <c r="K28" i="3"/>
  <c r="J28" i="3"/>
  <c r="L28" i="3"/>
  <c r="J37" i="17"/>
</calcChain>
</file>

<file path=xl/sharedStrings.xml><?xml version="1.0" encoding="utf-8"?>
<sst xmlns="http://schemas.openxmlformats.org/spreadsheetml/2006/main" count="4751" uniqueCount="280">
  <si>
    <t>Calorie</t>
  </si>
  <si>
    <t>Unité</t>
  </si>
  <si>
    <t>Œuf</t>
  </si>
  <si>
    <t>Flocon Avoine</t>
  </si>
  <si>
    <t>Sandwitch</t>
  </si>
  <si>
    <t>Blanc poulet</t>
  </si>
  <si>
    <t>Steak haché</t>
  </si>
  <si>
    <t>Semoule</t>
  </si>
  <si>
    <t>Riz</t>
  </si>
  <si>
    <t>Banane</t>
  </si>
  <si>
    <t>Kiwi</t>
  </si>
  <si>
    <t>Orange</t>
  </si>
  <si>
    <t>Pain Complet</t>
  </si>
  <si>
    <t>Whey</t>
  </si>
  <si>
    <t>Fat</t>
  </si>
  <si>
    <t>Carbohydrate</t>
  </si>
  <si>
    <t xml:space="preserve">Protein </t>
  </si>
  <si>
    <t>Mais</t>
  </si>
  <si>
    <t>Lait</t>
  </si>
  <si>
    <t>Pomme de terre</t>
  </si>
  <si>
    <t>Thon</t>
  </si>
  <si>
    <t>Bettrave</t>
  </si>
  <si>
    <t>4.57/100</t>
  </si>
  <si>
    <t>8.32/100</t>
  </si>
  <si>
    <t>Indice glycémique</t>
  </si>
  <si>
    <t>78/100</t>
  </si>
  <si>
    <t>Grimbergen blonde</t>
  </si>
  <si>
    <t>rec fat loss</t>
  </si>
  <si>
    <t>Current BW</t>
  </si>
  <si>
    <t>Prot</t>
  </si>
  <si>
    <t>Carb</t>
  </si>
  <si>
    <t>Cal</t>
  </si>
  <si>
    <t>Amande</t>
  </si>
  <si>
    <t>Blanc œuf</t>
  </si>
  <si>
    <t>Riz jasmin blanc</t>
  </si>
  <si>
    <t xml:space="preserve">2ct squat </t>
  </si>
  <si>
    <t xml:space="preserve">92, 5 </t>
  </si>
  <si>
    <t>+</t>
  </si>
  <si>
    <t>Rack Pull</t>
  </si>
  <si>
    <t>Belted OHP</t>
  </si>
  <si>
    <t>Barbell Row</t>
  </si>
  <si>
    <t>=</t>
  </si>
  <si>
    <t>-</t>
  </si>
  <si>
    <t>Belted DL</t>
  </si>
  <si>
    <t>1ct BP</t>
  </si>
  <si>
    <t>x5</t>
  </si>
  <si>
    <t>x8</t>
  </si>
  <si>
    <t>x4</t>
  </si>
  <si>
    <t>x7</t>
  </si>
  <si>
    <t>@6</t>
  </si>
  <si>
    <t>@7</t>
  </si>
  <si>
    <t>@8</t>
  </si>
  <si>
    <t>@9</t>
  </si>
  <si>
    <t>3-0-3 Squat</t>
  </si>
  <si>
    <t>1st wk</t>
  </si>
  <si>
    <t>Pois chiche</t>
  </si>
  <si>
    <t>Belted Squat</t>
  </si>
  <si>
    <t>Maquereaux</t>
  </si>
  <si>
    <t>Patate douce</t>
  </si>
  <si>
    <t>Viande hachée</t>
  </si>
  <si>
    <t>Riz basmali</t>
  </si>
  <si>
    <t>Close grip BP</t>
  </si>
  <si>
    <t>--</t>
  </si>
  <si>
    <t>Oignons</t>
  </si>
  <si>
    <t>Harissa</t>
  </si>
  <si>
    <t xml:space="preserve">  </t>
  </si>
  <si>
    <t>Quinoa</t>
  </si>
  <si>
    <t>Jaune œuf</t>
  </si>
  <si>
    <t>BW</t>
  </si>
  <si>
    <t>2nd wk</t>
  </si>
  <si>
    <t>Fat loss</t>
  </si>
  <si>
    <t>Recomp</t>
  </si>
  <si>
    <t>Muscle gain</t>
  </si>
  <si>
    <t>Today</t>
  </si>
  <si>
    <t>25/35 % of Carb periworkout</t>
  </si>
  <si>
    <t>4 or 5 meal spaced out by 3-5 hours</t>
  </si>
  <si>
    <t>Low fat periworkout</t>
  </si>
  <si>
    <t xml:space="preserve">Adjustment by </t>
  </si>
  <si>
    <t>15-25g carbohydrates; 4-10g fat</t>
  </si>
  <si>
    <t>Huile coco</t>
  </si>
  <si>
    <t>Aiguillette</t>
  </si>
  <si>
    <t>Choux rouge</t>
  </si>
  <si>
    <t>Escalope dinde</t>
  </si>
  <si>
    <t>Vinaigre balsamique</t>
  </si>
  <si>
    <t>Jus citron</t>
  </si>
  <si>
    <t>Avocat</t>
  </si>
  <si>
    <t>Radis</t>
  </si>
  <si>
    <t>Sardine</t>
  </si>
  <si>
    <t>3rd wk</t>
  </si>
  <si>
    <t>Potimarron</t>
  </si>
  <si>
    <t>Mangue</t>
  </si>
  <si>
    <t>Pomme</t>
  </si>
  <si>
    <t>4th wk</t>
  </si>
  <si>
    <t>Courgette</t>
  </si>
  <si>
    <t>Breakfast</t>
  </si>
  <si>
    <t>Lunch</t>
  </si>
  <si>
    <t>Qty</t>
  </si>
  <si>
    <t>Calories</t>
  </si>
  <si>
    <t>Snack</t>
  </si>
  <si>
    <t>Diner</t>
  </si>
  <si>
    <t>Total</t>
  </si>
  <si>
    <t>Goal</t>
  </si>
  <si>
    <t>Body weight</t>
  </si>
  <si>
    <t>Conv lbs to kg</t>
  </si>
  <si>
    <t>Macro base</t>
  </si>
  <si>
    <t>Escalope poulet</t>
  </si>
  <si>
    <t>Thon rouge albacore</t>
  </si>
  <si>
    <t>Papaye</t>
  </si>
  <si>
    <t>Fruit de la passion</t>
  </si>
  <si>
    <t>Ananas</t>
  </si>
  <si>
    <t>Tomates grappe</t>
  </si>
  <si>
    <t>Aubergine</t>
  </si>
  <si>
    <t>3ct BP</t>
  </si>
  <si>
    <t>2ct pause DL</t>
  </si>
  <si>
    <t>5th wk</t>
  </si>
  <si>
    <t>Poivron</t>
  </si>
  <si>
    <t>Pin Squat</t>
  </si>
  <si>
    <t>Noix Macadamia</t>
  </si>
  <si>
    <t>Noix Pecans</t>
  </si>
  <si>
    <t>Noix Brésil</t>
  </si>
  <si>
    <t>Noix Cajou</t>
  </si>
  <si>
    <t>Squat no belt</t>
  </si>
  <si>
    <t>x6</t>
  </si>
  <si>
    <t>6th wk</t>
  </si>
  <si>
    <t>x1</t>
  </si>
  <si>
    <t>x3</t>
  </si>
  <si>
    <t>Fromage Blanc 0%</t>
  </si>
  <si>
    <t>Miel</t>
  </si>
  <si>
    <t>I’d add 20g of carbohydrates and 10g of fat if he lost more than a pound. before bumping the nutrition up (20g carbs &amp; 10g fat).</t>
  </si>
  <si>
    <t xml:space="preserve">If he gained 2 pounds, I’d have him hold steady and keep the same macros and calories and then reassess next week. </t>
  </si>
  <si>
    <t xml:space="preserve">If he continued to climb up I’d wait until this number started to decrease </t>
  </si>
  <si>
    <t>I like to keep protein levels between 25-35% of the diet most of the time when talking about gaining weight.</t>
  </si>
  <si>
    <t xml:space="preserve"> I’m starting Johnny off right at 35% of total calories coming from protein.</t>
  </si>
  <si>
    <t>When this percentage gets close to that lower end I’d bump up his protein by 25g increments and on that week and leave the fat alone (not add an additional 10g of fat).</t>
  </si>
  <si>
    <t>Concombre</t>
  </si>
  <si>
    <t>Yaourt Grecque</t>
  </si>
  <si>
    <t>Beurre cacahuète</t>
  </si>
  <si>
    <t>Fraise</t>
  </si>
  <si>
    <t>Blender:</t>
  </si>
  <si>
    <t>300g fromage blanc 0%</t>
  </si>
  <si>
    <t>200mL lait écrémé</t>
  </si>
  <si>
    <t>2 bananes</t>
  </si>
  <si>
    <t>2 cuillieres à soupe de miel</t>
  </si>
  <si>
    <t>1 cuilliere à soupe de beurre de cacahuetes</t>
  </si>
  <si>
    <t>100g fraises (ou 50g fraises 50g framboises)</t>
  </si>
  <si>
    <t>16g peanut butter</t>
  </si>
  <si>
    <t>32g low fat greek yogourt</t>
  </si>
  <si>
    <t>16g cinnamon</t>
  </si>
  <si>
    <t>10 strawberries</t>
  </si>
  <si>
    <t>125g of milk</t>
  </si>
  <si>
    <t>250g of milk</t>
  </si>
  <si>
    <t>Asperge</t>
  </si>
  <si>
    <t>Noix</t>
  </si>
  <si>
    <t>Framboise</t>
  </si>
  <si>
    <t>Fenouil</t>
  </si>
  <si>
    <t>Navet</t>
  </si>
  <si>
    <t>@10</t>
  </si>
  <si>
    <t>@9,5</t>
  </si>
  <si>
    <t>@8,5</t>
  </si>
  <si>
    <t>@7,5</t>
  </si>
  <si>
    <t>x2</t>
  </si>
  <si>
    <t>x9</t>
  </si>
  <si>
    <t>x10</t>
  </si>
  <si>
    <t>Last set</t>
  </si>
  <si>
    <t>Rep</t>
  </si>
  <si>
    <t>Weigth</t>
  </si>
  <si>
    <t>RPE</t>
  </si>
  <si>
    <t>e1RM %</t>
  </si>
  <si>
    <t xml:space="preserve">e1RM </t>
  </si>
  <si>
    <t xml:space="preserve">1ct BP
</t>
  </si>
  <si>
    <t xml:space="preserve">Close grip BP
</t>
  </si>
  <si>
    <t>Snapshot Wk6</t>
  </si>
  <si>
    <t>100g</t>
  </si>
  <si>
    <t>1 scoop = 30g</t>
  </si>
  <si>
    <t>Isoleucine</t>
  </si>
  <si>
    <t>Leucine</t>
  </si>
  <si>
    <t>Valine</t>
  </si>
  <si>
    <t>BCAA</t>
  </si>
  <si>
    <t>Whey BM</t>
  </si>
  <si>
    <t>Whey Xnative</t>
  </si>
  <si>
    <t>30 ml lait</t>
  </si>
  <si>
    <t>2 œufs</t>
  </si>
  <si>
    <t>1 dose whey</t>
  </si>
  <si>
    <t>60g avoine</t>
  </si>
  <si>
    <t>50g avoine</t>
  </si>
  <si>
    <t>75ml eau</t>
  </si>
  <si>
    <t>Dattes Rapunzel</t>
  </si>
  <si>
    <t>Fibres</t>
  </si>
  <si>
    <t>Snapshot Wk7</t>
  </si>
  <si>
    <t>BW:</t>
  </si>
  <si>
    <t>7th wk</t>
  </si>
  <si>
    <t>Pin BP</t>
  </si>
  <si>
    <t>Pin Bench</t>
  </si>
  <si>
    <t>Petit pois</t>
  </si>
  <si>
    <t>Cacao Poudre</t>
  </si>
  <si>
    <t>Artichaud</t>
  </si>
  <si>
    <t>Saucisson</t>
  </si>
  <si>
    <t>Blueberry</t>
  </si>
  <si>
    <t>Abricot</t>
  </si>
  <si>
    <t>Melon</t>
  </si>
  <si>
    <t>Huile olive</t>
  </si>
  <si>
    <t>Haricot</t>
  </si>
  <si>
    <t>Snapshot Wk8</t>
  </si>
  <si>
    <t>8th wk</t>
  </si>
  <si>
    <t>2ndWk</t>
  </si>
  <si>
    <t>Sucralose</t>
  </si>
  <si>
    <t>Pêche</t>
  </si>
  <si>
    <t>Nectarine</t>
  </si>
  <si>
    <t>Snapshot Wk2</t>
  </si>
  <si>
    <t>V-Type BCAA</t>
  </si>
  <si>
    <t>Almond Roasted</t>
  </si>
  <si>
    <t>Hazelnuts</t>
  </si>
  <si>
    <t>Snapshot wk3</t>
  </si>
  <si>
    <t>Watermelon</t>
  </si>
  <si>
    <t>Lait Amande</t>
  </si>
  <si>
    <t>5th Wk</t>
  </si>
  <si>
    <t>Snapshot wk4</t>
  </si>
  <si>
    <t>Prunes</t>
  </si>
  <si>
    <t>6th</t>
  </si>
  <si>
    <t>Snapshot wk5</t>
  </si>
  <si>
    <t>Salade</t>
  </si>
  <si>
    <t>Pain complet intégral</t>
  </si>
  <si>
    <t>Snapshot wk6</t>
  </si>
  <si>
    <t>7th</t>
  </si>
  <si>
    <t>Hypertrophy</t>
  </si>
  <si>
    <t>Snapshot wk7</t>
  </si>
  <si>
    <t>Previous macros</t>
  </si>
  <si>
    <t>RDL</t>
  </si>
  <si>
    <t>Blackberry</t>
  </si>
  <si>
    <t>Poire</t>
  </si>
  <si>
    <t>Close grip Incline BP</t>
  </si>
  <si>
    <t>2s pause Incline BP</t>
  </si>
  <si>
    <t>Wk1</t>
  </si>
  <si>
    <t>Wk2</t>
  </si>
  <si>
    <t>Wk3</t>
  </si>
  <si>
    <t>Fromage Blanc Chevre</t>
  </si>
  <si>
    <t>Brocolis</t>
  </si>
  <si>
    <t>BW matin</t>
  </si>
  <si>
    <t>BW soir</t>
  </si>
  <si>
    <t>SLDL</t>
  </si>
  <si>
    <t>Escalope Poulet</t>
  </si>
  <si>
    <t>Bridge 2.0</t>
  </si>
  <si>
    <t>Activity</t>
  </si>
  <si>
    <t>Medium</t>
  </si>
  <si>
    <t>?</t>
  </si>
  <si>
    <t>Floor Press</t>
  </si>
  <si>
    <t>Riz Basmali</t>
  </si>
  <si>
    <t>08/11/2018</t>
  </si>
  <si>
    <t>12/11/2018</t>
  </si>
  <si>
    <t>13/11/2019</t>
  </si>
  <si>
    <t>14/11/2018</t>
  </si>
  <si>
    <t>Hyp</t>
  </si>
  <si>
    <t xml:space="preserve">4d </t>
  </si>
  <si>
    <t>Saumon</t>
  </si>
  <si>
    <t>19/11/2018</t>
  </si>
  <si>
    <t>20/11/2018</t>
  </si>
  <si>
    <t>x15</t>
  </si>
  <si>
    <t>x13</t>
  </si>
  <si>
    <t>21/11/2018</t>
  </si>
  <si>
    <t>22/11/2019</t>
  </si>
  <si>
    <t>High bar Squat</t>
  </si>
  <si>
    <t>Incline BP</t>
  </si>
  <si>
    <t>lever Row</t>
  </si>
  <si>
    <t>Deficit DL</t>
  </si>
  <si>
    <t>BP TNG</t>
  </si>
  <si>
    <t>27/11/2018</t>
  </si>
  <si>
    <t>28/11/2018</t>
  </si>
  <si>
    <t>47;5</t>
  </si>
  <si>
    <t>03/12/2018</t>
  </si>
  <si>
    <t>04/12/2018</t>
  </si>
  <si>
    <t>x14</t>
  </si>
  <si>
    <t>05/12/2018</t>
  </si>
  <si>
    <t>Escalope Dinde</t>
  </si>
  <si>
    <t>48;5</t>
  </si>
  <si>
    <t>Purée Amande</t>
  </si>
  <si>
    <t>13/12</t>
  </si>
  <si>
    <t>11/12</t>
  </si>
  <si>
    <t>12/12</t>
  </si>
  <si>
    <t>14/12</t>
  </si>
  <si>
    <t>15/12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</si>
</sst>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 x14ac:knownFonts="1">
    <font>
      <sz val="11"/>
      <color theme="1"/>
      <name val="Calibri"/>
      <family val="2"/>
      <scheme val="minor"/>
    </font>
    <font>
      <b/>
      <sz val="11"/>
      <color theme="1"/>
      <name val="Calibri"/>
      <family val="2"/>
      <scheme val="minor"/>
    </font>
    <font>
      <sz val="11"/>
      <name val="Calibri"/>
      <family val="2"/>
      <scheme val="minor"/>
    </font>
    <font>
      <sz val="11"/>
      <color rgb="FFFF0000"/>
      <name val="Calibri"/>
      <family val="2"/>
      <scheme val="minor"/>
    </font>
    <font>
      <b/>
      <sz val="11"/>
      <color rgb="FFFF0000"/>
      <name val="Calibri"/>
      <family val="2"/>
      <scheme val="minor"/>
    </font>
    <font>
      <i/>
      <sz val="11"/>
      <color theme="1"/>
      <name val="Calibri"/>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C5C5E2"/>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8"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263">
    <xf numFmtId="0" fontId="0" fillId="0" borderId="0" xfId="0"/>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xf numFmtId="0" fontId="0" fillId="4" borderId="1" xfId="0" applyFill="1" applyBorder="1" applyAlignment="1">
      <alignment horizontal="center" vertical="center"/>
    </xf>
    <xf numFmtId="0" fontId="0" fillId="3" borderId="1" xfId="0" applyFill="1" applyBorder="1" applyAlignment="1">
      <alignment horizontal="center" vertical="center"/>
    </xf>
    <xf numFmtId="0" fontId="2" fillId="2" borderId="1" xfId="0" applyFont="1" applyFill="1" applyBorder="1" applyAlignment="1">
      <alignment horizontal="center" vertical="center"/>
    </xf>
    <xf numFmtId="0" fontId="0" fillId="4" borderId="1" xfId="0" quotePrefix="1" applyFill="1" applyBorder="1" applyAlignment="1">
      <alignment horizontal="center" vertical="center"/>
    </xf>
    <xf numFmtId="0" fontId="2" fillId="2" borderId="1" xfId="0" quotePrefix="1" applyFont="1" applyFill="1" applyBorder="1" applyAlignment="1">
      <alignment horizontal="center" vertical="center"/>
    </xf>
    <xf numFmtId="0" fontId="0" fillId="0" borderId="0" xfId="0" applyBorder="1" applyAlignment="1">
      <alignment horizontal="center" vertical="center"/>
    </xf>
    <xf numFmtId="0" fontId="3" fillId="0" borderId="0" xfId="0" applyFont="1" applyAlignment="1">
      <alignment horizontal="center"/>
    </xf>
    <xf numFmtId="0" fontId="2" fillId="0" borderId="0" xfId="0" applyFont="1" applyAlignment="1">
      <alignment horizontal="center"/>
    </xf>
    <xf numFmtId="0" fontId="0" fillId="0" borderId="0" xfId="0" applyAlignment="1">
      <alignment horizontal="center"/>
    </xf>
    <xf numFmtId="0" fontId="0" fillId="0" borderId="0" xfId="0" applyFont="1" applyAlignment="1">
      <alignment horizontal="center"/>
    </xf>
    <xf numFmtId="0" fontId="1" fillId="3" borderId="0" xfId="0" applyFont="1" applyFill="1" applyAlignment="1">
      <alignment horizontal="center" vertical="center"/>
    </xf>
    <xf numFmtId="0" fontId="1" fillId="3" borderId="1" xfId="0" applyFont="1" applyFill="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1" fillId="10" borderId="1" xfId="0" applyFont="1" applyFill="1" applyBorder="1" applyAlignment="1">
      <alignment horizontal="center" vertical="center"/>
    </xf>
    <xf numFmtId="0" fontId="0" fillId="10" borderId="1" xfId="0" applyFill="1" applyBorder="1" applyAlignment="1">
      <alignment horizontal="center" vertical="center"/>
    </xf>
    <xf numFmtId="0" fontId="1" fillId="5" borderId="1" xfId="0" applyFont="1" applyFill="1" applyBorder="1" applyAlignment="1">
      <alignment horizontal="center" vertical="center"/>
    </xf>
    <xf numFmtId="0" fontId="0" fillId="5" borderId="1" xfId="0" applyFill="1" applyBorder="1" applyAlignment="1">
      <alignment horizontal="center" vertical="center"/>
    </xf>
    <xf numFmtId="0" fontId="1" fillId="10" borderId="0" xfId="0" applyFont="1" applyFill="1" applyAlignment="1">
      <alignment horizontal="center" vertical="center"/>
    </xf>
    <xf numFmtId="0" fontId="1" fillId="5" borderId="0" xfId="0" applyFont="1" applyFill="1" applyAlignment="1">
      <alignment horizontal="center" vertical="center"/>
    </xf>
    <xf numFmtId="0" fontId="4" fillId="10" borderId="0" xfId="0" applyFont="1" applyFill="1" applyAlignment="1">
      <alignment horizontal="center" vertical="center"/>
    </xf>
    <xf numFmtId="0" fontId="4" fillId="3" borderId="0" xfId="0" applyFont="1" applyFill="1" applyAlignment="1">
      <alignment horizontal="center" vertical="center"/>
    </xf>
    <xf numFmtId="0" fontId="4" fillId="5" borderId="0" xfId="0" applyFont="1" applyFill="1" applyAlignment="1">
      <alignment horizontal="center" vertical="center"/>
    </xf>
    <xf numFmtId="0" fontId="2" fillId="0" borderId="0" xfId="0" applyFont="1" applyAlignment="1">
      <alignment horizontal="center" vertical="center"/>
    </xf>
    <xf numFmtId="0" fontId="3" fillId="0" borderId="0" xfId="0" applyFont="1" applyAlignment="1">
      <alignment horizontal="center" vertical="center"/>
    </xf>
    <xf numFmtId="0" fontId="0" fillId="6" borderId="1" xfId="0" applyFill="1" applyBorder="1" applyAlignment="1">
      <alignment horizontal="center" vertical="center"/>
    </xf>
    <xf numFmtId="0" fontId="0" fillId="7" borderId="1" xfId="0" applyFill="1" applyBorder="1" applyAlignment="1">
      <alignment horizontal="center" vertical="center"/>
    </xf>
    <xf numFmtId="0" fontId="0" fillId="11" borderId="0" xfId="0" applyFill="1"/>
    <xf numFmtId="0" fontId="2" fillId="11" borderId="0" xfId="0" applyFont="1" applyFill="1" applyAlignment="1">
      <alignment horizontal="center" vertical="center"/>
    </xf>
    <xf numFmtId="0" fontId="1" fillId="11" borderId="0" xfId="0" applyFont="1" applyFill="1"/>
    <xf numFmtId="0" fontId="0" fillId="3" borderId="0" xfId="0" applyFill="1"/>
    <xf numFmtId="0" fontId="0" fillId="12" borderId="0" xfId="0" applyFill="1"/>
    <xf numFmtId="0" fontId="3" fillId="12" borderId="0" xfId="0" applyFont="1" applyFill="1" applyAlignment="1">
      <alignment horizontal="center" vertical="center"/>
    </xf>
    <xf numFmtId="0" fontId="2" fillId="12" borderId="0" xfId="0" applyFont="1" applyFill="1" applyAlignment="1">
      <alignment horizontal="center" vertical="center"/>
    </xf>
    <xf numFmtId="0" fontId="2" fillId="3" borderId="0" xfId="0" applyFont="1" applyFill="1" applyAlignment="1">
      <alignment horizontal="center" vertical="center"/>
    </xf>
    <xf numFmtId="0" fontId="3" fillId="11" borderId="0" xfId="0" applyFont="1" applyFill="1" applyAlignment="1">
      <alignment horizontal="center" vertical="center"/>
    </xf>
    <xf numFmtId="0" fontId="0" fillId="12" borderId="0" xfId="0" applyFont="1" applyFill="1" applyAlignment="1">
      <alignment horizontal="center" vertical="center"/>
    </xf>
    <xf numFmtId="0" fontId="3" fillId="3" borderId="0" xfId="0" applyFont="1" applyFill="1" applyAlignment="1">
      <alignment horizontal="center" vertical="center"/>
    </xf>
    <xf numFmtId="2" fontId="4" fillId="10" borderId="0" xfId="0" applyNumberFormat="1" applyFont="1" applyFill="1" applyAlignment="1">
      <alignment horizontal="center" vertical="center"/>
    </xf>
    <xf numFmtId="2" fontId="4" fillId="3" borderId="0" xfId="0" applyNumberFormat="1" applyFont="1" applyFill="1" applyAlignment="1">
      <alignment horizontal="center" vertical="center"/>
    </xf>
    <xf numFmtId="2" fontId="4" fillId="5" borderId="0" xfId="0" applyNumberFormat="1" applyFont="1" applyFill="1" applyAlignment="1">
      <alignment horizontal="center" vertical="center"/>
    </xf>
    <xf numFmtId="2" fontId="1" fillId="10" borderId="0" xfId="0" applyNumberFormat="1" applyFont="1" applyFill="1" applyAlignment="1">
      <alignment horizontal="center" vertical="center"/>
    </xf>
    <xf numFmtId="2" fontId="1" fillId="3" borderId="0" xfId="0" applyNumberFormat="1" applyFont="1" applyFill="1" applyAlignment="1">
      <alignment horizontal="center" vertical="center"/>
    </xf>
    <xf numFmtId="2" fontId="1" fillId="5" borderId="0" xfId="0" applyNumberFormat="1" applyFont="1" applyFill="1" applyAlignment="1">
      <alignment horizontal="center" vertical="center"/>
    </xf>
    <xf numFmtId="2" fontId="1" fillId="0" borderId="0" xfId="0" applyNumberFormat="1" applyFont="1"/>
    <xf numFmtId="0" fontId="0" fillId="10" borderId="0" xfId="0" applyFill="1" applyBorder="1" applyAlignment="1">
      <alignment horizontal="center" vertical="center"/>
    </xf>
    <xf numFmtId="0" fontId="0" fillId="3" borderId="0" xfId="0" applyFill="1" applyBorder="1" applyAlignment="1">
      <alignment horizontal="center" vertical="center"/>
    </xf>
    <xf numFmtId="0" fontId="0" fillId="5" borderId="0" xfId="0" applyFill="1" applyBorder="1" applyAlignment="1">
      <alignment horizontal="center" vertical="center"/>
    </xf>
    <xf numFmtId="0" fontId="0" fillId="8" borderId="1" xfId="0" quotePrefix="1" applyFill="1" applyBorder="1" applyAlignment="1">
      <alignment horizontal="center" vertical="center"/>
    </xf>
    <xf numFmtId="0" fontId="1" fillId="11" borderId="1" xfId="0" applyFont="1" applyFill="1" applyBorder="1"/>
    <xf numFmtId="0" fontId="2" fillId="3" borderId="1" xfId="0" applyFont="1" applyFill="1" applyBorder="1"/>
    <xf numFmtId="0" fontId="0" fillId="0" borderId="6" xfId="0" applyBorder="1" applyAlignment="1">
      <alignment horizontal="center" vertical="center"/>
    </xf>
    <xf numFmtId="0" fontId="1" fillId="10" borderId="7" xfId="0" applyFont="1" applyFill="1" applyBorder="1" applyAlignment="1">
      <alignment horizontal="center" vertical="center"/>
    </xf>
    <xf numFmtId="0" fontId="1" fillId="3" borderId="7" xfId="0" applyFont="1" applyFill="1" applyBorder="1" applyAlignment="1">
      <alignment horizontal="center" vertical="center"/>
    </xf>
    <xf numFmtId="0" fontId="1" fillId="5" borderId="7" xfId="0" applyFont="1" applyFill="1"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12" xfId="0" applyBorder="1"/>
    <xf numFmtId="0" fontId="0" fillId="0" borderId="12" xfId="0" applyBorder="1" applyAlignment="1">
      <alignment horizontal="center" vertical="center"/>
    </xf>
    <xf numFmtId="0" fontId="0" fillId="0" borderId="6" xfId="0" applyBorder="1"/>
    <xf numFmtId="0" fontId="0" fillId="0" borderId="0" xfId="0" applyBorder="1"/>
    <xf numFmtId="0" fontId="1" fillId="0" borderId="4" xfId="0" applyFont="1" applyBorder="1" applyAlignment="1">
      <alignment vertical="center"/>
    </xf>
    <xf numFmtId="0" fontId="0" fillId="0" borderId="0" xfId="0" applyBorder="1" applyAlignment="1"/>
    <xf numFmtId="0" fontId="0" fillId="0" borderId="0" xfId="0" applyAlignment="1">
      <alignment horizontal="left"/>
    </xf>
    <xf numFmtId="0" fontId="0" fillId="9" borderId="1" xfId="0" applyFill="1" applyBorder="1" applyAlignment="1">
      <alignment horizontal="center" vertical="center"/>
    </xf>
    <xf numFmtId="0" fontId="0" fillId="8" borderId="1" xfId="0" applyFill="1" applyBorder="1" applyAlignment="1">
      <alignment horizontal="center" vertical="center"/>
    </xf>
    <xf numFmtId="0" fontId="0" fillId="9" borderId="1" xfId="0" quotePrefix="1" applyFill="1" applyBorder="1" applyAlignment="1">
      <alignment horizontal="center" vertical="center"/>
    </xf>
    <xf numFmtId="0" fontId="0" fillId="13" borderId="1" xfId="0" applyFill="1" applyBorder="1" applyAlignment="1">
      <alignment horizontal="center" vertical="center"/>
    </xf>
    <xf numFmtId="0" fontId="0" fillId="0" borderId="0" xfId="0" applyFill="1" applyBorder="1"/>
    <xf numFmtId="0" fontId="0" fillId="14" borderId="1" xfId="0" applyFill="1" applyBorder="1" applyAlignment="1">
      <alignment horizontal="center" vertical="center"/>
    </xf>
    <xf numFmtId="0" fontId="0" fillId="14" borderId="1" xfId="0" quotePrefix="1" applyFill="1" applyBorder="1" applyAlignment="1">
      <alignment horizontal="center" vertical="center"/>
    </xf>
    <xf numFmtId="0" fontId="0" fillId="13" borderId="1" xfId="0" applyFill="1" applyBorder="1" applyAlignment="1">
      <alignment horizontal="center" vertical="center"/>
    </xf>
    <xf numFmtId="0" fontId="0" fillId="10" borderId="1" xfId="0" applyFill="1" applyBorder="1" applyAlignment="1">
      <alignment horizontal="center" vertical="center"/>
    </xf>
    <xf numFmtId="0" fontId="0" fillId="12" borderId="1" xfId="0" applyFill="1" applyBorder="1" applyAlignment="1">
      <alignment horizontal="center" vertical="center"/>
    </xf>
    <xf numFmtId="0" fontId="0" fillId="12" borderId="1" xfId="0" quotePrefix="1" applyFill="1" applyBorder="1" applyAlignment="1">
      <alignment horizontal="center" vertical="center"/>
    </xf>
    <xf numFmtId="0" fontId="0" fillId="15" borderId="16" xfId="0" applyFill="1" applyBorder="1" applyAlignment="1">
      <alignment horizontal="center" vertical="center" wrapText="1"/>
    </xf>
    <xf numFmtId="0" fontId="0" fillId="0" borderId="16" xfId="0" applyBorder="1" applyAlignment="1">
      <alignment horizontal="center" vertical="center" wrapText="1"/>
    </xf>
    <xf numFmtId="0" fontId="0" fillId="16" borderId="16" xfId="0" applyFill="1" applyBorder="1" applyAlignment="1">
      <alignment horizontal="center" vertical="center" wrapText="1"/>
    </xf>
    <xf numFmtId="0" fontId="0" fillId="17" borderId="16" xfId="0" applyFill="1" applyBorder="1" applyAlignment="1">
      <alignment horizontal="center" vertical="center" wrapText="1"/>
    </xf>
    <xf numFmtId="0" fontId="0" fillId="18" borderId="16" xfId="0" applyFill="1" applyBorder="1" applyAlignment="1">
      <alignment horizontal="center" vertical="center" wrapText="1"/>
    </xf>
    <xf numFmtId="0" fontId="0" fillId="0" borderId="0" xfId="0" applyAlignment="1">
      <alignment horizontal="left" vertical="center"/>
    </xf>
    <xf numFmtId="0" fontId="0" fillId="0" borderId="0" xfId="0" quotePrefix="1" applyAlignment="1">
      <alignment horizontal="left" vertical="center"/>
    </xf>
    <xf numFmtId="0" fontId="0" fillId="18" borderId="1" xfId="0" applyFill="1" applyBorder="1" applyAlignment="1">
      <alignment horizontal="center" vertical="center"/>
    </xf>
    <xf numFmtId="0" fontId="0" fillId="0" borderId="1" xfId="0" applyBorder="1" applyAlignment="1">
      <alignment horizontal="left" vertical="center"/>
    </xf>
    <xf numFmtId="164" fontId="1" fillId="0" borderId="1" xfId="0" applyNumberFormat="1" applyFont="1" applyBorder="1" applyAlignment="1">
      <alignment horizontal="center" vertical="center"/>
    </xf>
    <xf numFmtId="0" fontId="0" fillId="10" borderId="1" xfId="0" applyFill="1" applyBorder="1" applyAlignment="1">
      <alignment horizontal="center" vertical="center"/>
    </xf>
    <xf numFmtId="2" fontId="1" fillId="0" borderId="0" xfId="0" applyNumberFormat="1" applyFont="1" applyAlignment="1">
      <alignment horizontal="center" vertical="center"/>
    </xf>
    <xf numFmtId="0" fontId="0" fillId="0" borderId="0" xfId="0" applyAlignment="1">
      <alignment horizontal="center" vertical="center"/>
    </xf>
    <xf numFmtId="0" fontId="0" fillId="19" borderId="1" xfId="0" applyFill="1" applyBorder="1" applyAlignment="1">
      <alignment horizontal="center" vertical="center"/>
    </xf>
    <xf numFmtId="0" fontId="1" fillId="0" borderId="1" xfId="0" applyFont="1" applyFill="1" applyBorder="1" applyAlignment="1">
      <alignment horizontal="center" vertical="center"/>
    </xf>
    <xf numFmtId="2" fontId="0" fillId="0" borderId="0" xfId="0" applyNumberFormat="1" applyFont="1" applyAlignment="1">
      <alignment horizontal="center" vertical="center"/>
    </xf>
    <xf numFmtId="0" fontId="0" fillId="12" borderId="1" xfId="0" applyFont="1" applyFill="1" applyBorder="1"/>
    <xf numFmtId="0" fontId="0" fillId="19" borderId="1" xfId="0" applyFill="1" applyBorder="1" applyAlignment="1">
      <alignment horizontal="center" vertical="center"/>
    </xf>
    <xf numFmtId="0" fontId="0" fillId="10" borderId="1" xfId="0" applyFill="1" applyBorder="1" applyAlignment="1">
      <alignment horizontal="center" vertical="center"/>
    </xf>
    <xf numFmtId="0" fontId="0" fillId="13" borderId="1" xfId="0" applyFill="1" applyBorder="1" applyAlignment="1">
      <alignment horizontal="center" vertical="center"/>
    </xf>
    <xf numFmtId="0" fontId="0" fillId="10" borderId="1" xfId="0" applyFill="1" applyBorder="1" applyAlignment="1">
      <alignment horizontal="center" vertical="center"/>
    </xf>
    <xf numFmtId="0" fontId="1" fillId="0" borderId="0" xfId="0" applyFont="1" applyAlignment="1">
      <alignment horizontal="center" vertical="center"/>
    </xf>
    <xf numFmtId="0" fontId="1" fillId="10" borderId="3" xfId="0" applyFont="1" applyFill="1" applyBorder="1" applyAlignment="1">
      <alignment horizontal="center" vertical="center"/>
    </xf>
    <xf numFmtId="0" fontId="1" fillId="5" borderId="3"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3" xfId="0" applyFont="1" applyBorder="1"/>
    <xf numFmtId="0" fontId="0" fillId="10" borderId="1" xfId="0" applyFont="1" applyFill="1" applyBorder="1" applyAlignment="1">
      <alignment horizontal="center" vertical="center"/>
    </xf>
    <xf numFmtId="0" fontId="0" fillId="3" borderId="1" xfId="0" applyFont="1" applyFill="1" applyBorder="1" applyAlignment="1">
      <alignment horizontal="center" vertical="center"/>
    </xf>
    <xf numFmtId="0" fontId="0" fillId="5" borderId="1" xfId="0" applyFont="1" applyFill="1" applyBorder="1" applyAlignment="1">
      <alignment horizontal="center" vertical="center"/>
    </xf>
    <xf numFmtId="0" fontId="0" fillId="0" borderId="1" xfId="0" applyFont="1" applyBorder="1" applyAlignment="1">
      <alignment horizontal="center" vertical="center"/>
    </xf>
    <xf numFmtId="0" fontId="0" fillId="11" borderId="1" xfId="0" applyFont="1" applyFill="1" applyBorder="1"/>
    <xf numFmtId="0" fontId="0" fillId="0" borderId="1" xfId="0" applyFont="1" applyFill="1" applyBorder="1"/>
    <xf numFmtId="0" fontId="0" fillId="3" borderId="1" xfId="0" applyFont="1" applyFill="1" applyBorder="1"/>
    <xf numFmtId="0" fontId="0" fillId="0" borderId="1" xfId="0" applyFont="1" applyBorder="1"/>
    <xf numFmtId="0" fontId="0" fillId="0" borderId="20" xfId="0" applyFont="1" applyFill="1" applyBorder="1"/>
    <xf numFmtId="0" fontId="0" fillId="0" borderId="20" xfId="0" applyFont="1" applyBorder="1"/>
    <xf numFmtId="0" fontId="0" fillId="0" borderId="0" xfId="0" applyFont="1" applyBorder="1" applyAlignment="1">
      <alignment horizontal="center" vertical="center"/>
    </xf>
    <xf numFmtId="2" fontId="0" fillId="0" borderId="0" xfId="0" applyNumberFormat="1" applyAlignment="1">
      <alignment horizontal="center"/>
    </xf>
    <xf numFmtId="0" fontId="0" fillId="0" borderId="1" xfId="0" applyBorder="1"/>
    <xf numFmtId="0" fontId="0" fillId="10" borderId="0" xfId="0" applyFont="1" applyFill="1" applyBorder="1" applyAlignment="1">
      <alignment horizontal="center" vertical="center"/>
    </xf>
    <xf numFmtId="0" fontId="0" fillId="3" borderId="0" xfId="0" applyFont="1" applyFill="1" applyBorder="1" applyAlignment="1">
      <alignment horizontal="center" vertical="center"/>
    </xf>
    <xf numFmtId="0" fontId="0" fillId="5" borderId="0" xfId="0" applyFont="1" applyFill="1" applyBorder="1" applyAlignment="1">
      <alignment horizontal="center" vertical="center"/>
    </xf>
    <xf numFmtId="0" fontId="0" fillId="10" borderId="1" xfId="0" applyFill="1" applyBorder="1" applyAlignment="1">
      <alignment horizontal="center" vertical="center"/>
    </xf>
    <xf numFmtId="0" fontId="0" fillId="13" borderId="1" xfId="0" applyFill="1" applyBorder="1" applyAlignment="1">
      <alignment horizontal="center" vertical="center"/>
    </xf>
    <xf numFmtId="0" fontId="5" fillId="0" borderId="0" xfId="0" applyFont="1" applyBorder="1" applyAlignment="1">
      <alignment horizontal="center" vertical="center"/>
    </xf>
    <xf numFmtId="0" fontId="1" fillId="10"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5" borderId="0" xfId="0" applyFont="1" applyFill="1" applyBorder="1" applyAlignment="1">
      <alignment horizontal="center" vertical="center"/>
    </xf>
    <xf numFmtId="0" fontId="0" fillId="13" borderId="1" xfId="0" applyFill="1" applyBorder="1" applyAlignment="1">
      <alignment horizontal="center" vertical="center"/>
    </xf>
    <xf numFmtId="0" fontId="0" fillId="10" borderId="1" xfId="0" applyFill="1" applyBorder="1" applyAlignment="1">
      <alignment horizontal="center" vertical="center"/>
    </xf>
    <xf numFmtId="0" fontId="0" fillId="19" borderId="1" xfId="0" applyFill="1" applyBorder="1" applyAlignment="1">
      <alignment horizontal="center" vertical="center"/>
    </xf>
    <xf numFmtId="0" fontId="0" fillId="10" borderId="1" xfId="0" applyFill="1" applyBorder="1" applyAlignment="1">
      <alignment horizontal="center" vertical="center"/>
    </xf>
    <xf numFmtId="0" fontId="0" fillId="4" borderId="1" xfId="0" applyFill="1" applyBorder="1" applyAlignment="1">
      <alignment horizontal="center" vertical="center"/>
    </xf>
    <xf numFmtId="0" fontId="0" fillId="0" borderId="0" xfId="0" applyAlignment="1">
      <alignment horizontal="center" vertical="center"/>
    </xf>
    <xf numFmtId="0" fontId="0" fillId="4" borderId="1" xfId="0" applyFill="1" applyBorder="1" applyAlignment="1">
      <alignment horizontal="center" vertical="center"/>
    </xf>
    <xf numFmtId="0" fontId="0" fillId="4" borderId="1" xfId="0" applyFill="1" applyBorder="1" applyAlignment="1">
      <alignment horizontal="center" vertical="center"/>
    </xf>
    <xf numFmtId="0" fontId="0" fillId="4" borderId="1" xfId="0" applyFill="1" applyBorder="1" applyAlignment="1">
      <alignment horizontal="center" vertical="center"/>
    </xf>
    <xf numFmtId="0" fontId="0" fillId="4" borderId="1" xfId="0" applyFill="1" applyBorder="1" applyAlignment="1">
      <alignment horizontal="center" vertical="center"/>
    </xf>
    <xf numFmtId="0" fontId="0" fillId="4" borderId="1" xfId="0" applyFill="1" applyBorder="1" applyAlignment="1">
      <alignment horizontal="center" vertical="center"/>
    </xf>
    <xf numFmtId="0" fontId="0" fillId="4" borderId="1" xfId="0" applyFill="1" applyBorder="1" applyAlignment="1">
      <alignment horizontal="center" vertical="center"/>
    </xf>
    <xf numFmtId="0" fontId="0" fillId="4" borderId="1" xfId="0" applyFill="1" applyBorder="1" applyAlignment="1">
      <alignment horizontal="center" vertical="center"/>
    </xf>
    <xf numFmtId="0" fontId="0" fillId="4" borderId="1" xfId="0" applyFill="1" applyBorder="1" applyAlignment="1">
      <alignment horizontal="center" vertical="center"/>
    </xf>
    <xf numFmtId="0" fontId="0" fillId="4" borderId="1" xfId="0" applyFill="1" applyBorder="1" applyAlignment="1">
      <alignment horizontal="center" vertical="center"/>
    </xf>
    <xf numFmtId="0" fontId="0" fillId="0" borderId="0" xfId="0" applyAlignment="1">
      <alignment horizontal="center" vertical="center"/>
    </xf>
    <xf numFmtId="0" fontId="0" fillId="4" borderId="1" xfId="0" applyFill="1" applyBorder="1" applyAlignment="1">
      <alignment horizontal="center" vertical="center"/>
    </xf>
    <xf numFmtId="0" fontId="0" fillId="4" borderId="1" xfId="0" applyFill="1" applyBorder="1" applyAlignment="1">
      <alignment horizontal="center" vertical="center"/>
    </xf>
    <xf numFmtId="0" fontId="0" fillId="4" borderId="1" xfId="0" applyFill="1" applyBorder="1" applyAlignment="1">
      <alignment horizontal="center" vertical="center"/>
    </xf>
    <xf numFmtId="0" fontId="0" fillId="0" borderId="0" xfId="0" applyAlignment="1">
      <alignment horizontal="center" vertical="center"/>
    </xf>
    <xf numFmtId="0" fontId="0" fillId="4" borderId="1" xfId="0" applyFill="1" applyBorder="1" applyAlignment="1">
      <alignment horizontal="center" vertical="center"/>
    </xf>
    <xf numFmtId="0" fontId="0" fillId="4" borderId="1" xfId="0" applyFill="1" applyBorder="1" applyAlignment="1">
      <alignment horizontal="center" vertical="center"/>
    </xf>
    <xf numFmtId="0" fontId="0" fillId="4" borderId="1" xfId="0" applyFill="1" applyBorder="1" applyAlignment="1">
      <alignment horizontal="center" vertical="center"/>
    </xf>
    <xf numFmtId="0" fontId="0" fillId="4" borderId="1" xfId="0" applyFill="1" applyBorder="1" applyAlignment="1">
      <alignment horizontal="center" vertical="center"/>
    </xf>
    <xf numFmtId="0" fontId="0" fillId="4" borderId="1" xfId="0" applyFill="1" applyBorder="1" applyAlignment="1">
      <alignment horizontal="center" vertical="center"/>
    </xf>
    <xf numFmtId="0" fontId="0" fillId="0" borderId="0" xfId="0" applyAlignment="1">
      <alignment horizontal="center" vertical="center"/>
    </xf>
    <xf numFmtId="0" fontId="0" fillId="4" borderId="1" xfId="0" applyFill="1" applyBorder="1" applyAlignment="1">
      <alignment horizontal="center" vertical="center"/>
    </xf>
    <xf numFmtId="0" fontId="0" fillId="13" borderId="1" xfId="0" applyFill="1" applyBorder="1" applyAlignment="1">
      <alignment horizontal="center" vertical="center"/>
    </xf>
    <xf numFmtId="0" fontId="0" fillId="0" borderId="0" xfId="0"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2" fillId="7" borderId="1" xfId="0" applyFont="1" applyFill="1" applyBorder="1" applyAlignment="1">
      <alignment horizontal="center" vertical="center"/>
    </xf>
    <xf numFmtId="0" fontId="2" fillId="0" borderId="0" xfId="0" applyFont="1" applyBorder="1" applyAlignment="1">
      <alignment horizontal="center" vertical="center"/>
    </xf>
    <xf numFmtId="0" fontId="2" fillId="8" borderId="1" xfId="0" applyFont="1" applyFill="1" applyBorder="1" applyAlignment="1">
      <alignment horizontal="center" vertical="center"/>
    </xf>
    <xf numFmtId="0" fontId="2" fillId="14" borderId="1" xfId="0" applyFont="1" applyFill="1" applyBorder="1" applyAlignment="1">
      <alignment horizontal="center" vertical="center"/>
    </xf>
    <xf numFmtId="0" fontId="2" fillId="12" borderId="1" xfId="0" applyFont="1" applyFill="1" applyBorder="1" applyAlignment="1">
      <alignment horizontal="center" vertical="center"/>
    </xf>
    <xf numFmtId="0" fontId="2" fillId="5" borderId="1" xfId="0" applyFont="1" applyFill="1" applyBorder="1" applyAlignment="1">
      <alignment horizontal="center" vertical="center"/>
    </xf>
    <xf numFmtId="0" fontId="2" fillId="6" borderId="1" xfId="0" applyFont="1" applyFill="1" applyBorder="1" applyAlignment="1">
      <alignment horizontal="center" vertical="center"/>
    </xf>
    <xf numFmtId="0" fontId="2" fillId="9" borderId="1" xfId="0" applyFont="1" applyFill="1" applyBorder="1" applyAlignment="1">
      <alignment horizontal="center" vertical="center"/>
    </xf>
    <xf numFmtId="0" fontId="2" fillId="13" borderId="1" xfId="0" applyFont="1" applyFill="1" applyBorder="1" applyAlignment="1">
      <alignment horizontal="center" vertical="center"/>
    </xf>
    <xf numFmtId="0" fontId="2" fillId="4" borderId="1" xfId="0" applyFont="1" applyFill="1" applyBorder="1" applyAlignment="1">
      <alignment horizontal="center" vertical="center"/>
    </xf>
    <xf numFmtId="0" fontId="2" fillId="3" borderId="1" xfId="0" applyFont="1" applyFill="1" applyBorder="1" applyAlignment="1">
      <alignment horizontal="center" vertical="center"/>
    </xf>
    <xf numFmtId="0" fontId="2" fillId="10" borderId="1" xfId="0" applyFont="1" applyFill="1" applyBorder="1" applyAlignment="1">
      <alignment horizontal="center" vertical="center"/>
    </xf>
    <xf numFmtId="0" fontId="2" fillId="19" borderId="1"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7" fontId="0" fillId="0" borderId="0" xfId="0" quotePrefix="1" applyNumberFormat="1" applyAlignment="1">
      <alignment horizontal="center" vertical="center"/>
    </xf>
    <xf numFmtId="0" fontId="0" fillId="0" borderId="0" xfId="0" applyAlignment="1">
      <alignment horizontal="center" vertical="center"/>
    </xf>
    <xf numFmtId="0" fontId="2" fillId="5" borderId="1" xfId="0" quotePrefix="1" applyFont="1" applyFill="1" applyBorder="1" applyAlignment="1">
      <alignment horizontal="center" vertical="center"/>
    </xf>
    <xf numFmtId="0" fontId="0" fillId="0" borderId="0" xfId="0" applyAlignment="1">
      <alignment horizontal="center" vertical="center"/>
    </xf>
    <xf numFmtId="0" fontId="3" fillId="4" borderId="1" xfId="0" applyFont="1" applyFill="1" applyBorder="1" applyAlignment="1">
      <alignment horizontal="center" vertical="center"/>
    </xf>
    <xf numFmtId="0" fontId="0" fillId="0" borderId="0" xfId="0" applyAlignment="1">
      <alignment horizontal="center" vertical="center"/>
    </xf>
    <xf numFmtId="0" fontId="0" fillId="0" borderId="0" xfId="0" applyBorder="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xf>
    <xf numFmtId="0" fontId="0" fillId="4" borderId="1" xfId="0" applyFill="1" applyBorder="1" applyAlignment="1">
      <alignment horizontal="center" vertical="center"/>
    </xf>
    <xf numFmtId="0" fontId="3" fillId="9" borderId="1"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 fillId="6" borderId="1" xfId="0" applyFont="1" applyFill="1" applyBorder="1" applyAlignment="1">
      <alignment horizontal="center" vertical="center"/>
    </xf>
    <xf numFmtId="0" fontId="3" fillId="19" borderId="1" xfId="0" applyFont="1" applyFill="1" applyBorder="1" applyAlignment="1">
      <alignment horizontal="center" vertical="center"/>
    </xf>
    <xf numFmtId="0" fontId="0" fillId="6" borderId="1" xfId="0" applyFont="1" applyFill="1" applyBorder="1" applyAlignment="1">
      <alignment horizontal="center" vertical="center"/>
    </xf>
    <xf numFmtId="0" fontId="0" fillId="4" borderId="1" xfId="0" applyFill="1" applyBorder="1" applyAlignment="1">
      <alignment horizontal="center" vertical="center"/>
    </xf>
    <xf numFmtId="0" fontId="0" fillId="4" borderId="1" xfId="0" applyFont="1" applyFill="1" applyBorder="1" applyAlignment="1">
      <alignment horizontal="center" vertical="center"/>
    </xf>
    <xf numFmtId="0" fontId="0" fillId="7" borderId="1" xfId="0" applyFont="1" applyFill="1" applyBorder="1" applyAlignment="1">
      <alignment horizontal="center" vertical="center"/>
    </xf>
    <xf numFmtId="0" fontId="0" fillId="8" borderId="1" xfId="0" applyFont="1" applyFill="1" applyBorder="1" applyAlignment="1">
      <alignment horizontal="center" vertical="center"/>
    </xf>
    <xf numFmtId="0" fontId="0" fillId="14" borderId="1" xfId="0" applyFont="1" applyFill="1" applyBorder="1" applyAlignment="1">
      <alignment horizontal="center" vertical="center"/>
    </xf>
    <xf numFmtId="0" fontId="0" fillId="12" borderId="1" xfId="0" applyFont="1" applyFill="1" applyBorder="1" applyAlignment="1">
      <alignment horizontal="center" vertical="center"/>
    </xf>
    <xf numFmtId="0" fontId="0" fillId="2" borderId="1" xfId="0" applyFont="1" applyFill="1" applyBorder="1" applyAlignment="1">
      <alignment horizontal="center" vertical="center"/>
    </xf>
    <xf numFmtId="0" fontId="0" fillId="9" borderId="1" xfId="0" applyFont="1" applyFill="1" applyBorder="1" applyAlignment="1">
      <alignment horizontal="center" vertical="center"/>
    </xf>
    <xf numFmtId="0" fontId="0" fillId="13" borderId="1" xfId="0" applyFont="1" applyFill="1" applyBorder="1" applyAlignment="1">
      <alignment horizontal="center" vertical="center"/>
    </xf>
    <xf numFmtId="0" fontId="0" fillId="19" borderId="1"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 fillId="3" borderId="1" xfId="0" applyFont="1" applyFill="1" applyBorder="1" applyAlignment="1">
      <alignment horizontal="center" vertical="center"/>
    </xf>
    <xf numFmtId="0" fontId="0" fillId="0" borderId="0" xfId="0" applyAlignment="1">
      <alignment horizontal="center" vertical="center"/>
    </xf>
    <xf numFmtId="0" fontId="0" fillId="4" borderId="1" xfId="0" applyFill="1" applyBorder="1" applyAlignment="1">
      <alignment horizontal="center" vertical="center"/>
    </xf>
    <xf numFmtId="0" fontId="0" fillId="4" borderId="1" xfId="0" applyFill="1" applyBorder="1"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4" borderId="1" xfId="0" applyFill="1" applyBorder="1" applyAlignment="1">
      <alignment horizontal="center" vertical="center"/>
    </xf>
    <xf numFmtId="0" fontId="1" fillId="0" borderId="0" xfId="0" applyFont="1" applyAlignment="1">
      <alignment horizontal="center" vertical="center"/>
    </xf>
    <xf numFmtId="0" fontId="1" fillId="0" borderId="4" xfId="0" applyFont="1" applyBorder="1" applyAlignment="1">
      <alignment horizontal="center" vertical="center"/>
    </xf>
    <xf numFmtId="0" fontId="1" fillId="10" borderId="1" xfId="0" applyFont="1" applyFill="1" applyBorder="1" applyAlignment="1">
      <alignment horizontal="center" vertical="center" wrapText="1"/>
    </xf>
    <xf numFmtId="0" fontId="1" fillId="10" borderId="3" xfId="0" applyFont="1" applyFill="1" applyBorder="1" applyAlignment="1">
      <alignment horizontal="center" vertical="center"/>
    </xf>
    <xf numFmtId="0" fontId="1" fillId="5" borderId="1" xfId="0" applyFont="1" applyFill="1" applyBorder="1" applyAlignment="1">
      <alignment horizontal="center" vertical="center" wrapText="1"/>
    </xf>
    <xf numFmtId="0" fontId="1" fillId="5" borderId="3" xfId="0" applyFont="1" applyFill="1" applyBorder="1" applyAlignment="1">
      <alignment horizontal="center" vertical="center"/>
    </xf>
    <xf numFmtId="0" fontId="1" fillId="3" borderId="1" xfId="0" applyFont="1" applyFill="1" applyBorder="1" applyAlignment="1">
      <alignment horizontal="center" vertical="center" wrapText="1"/>
    </xf>
    <xf numFmtId="0" fontId="1" fillId="3" borderId="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4" xfId="0" applyFont="1" applyBorder="1" applyAlignment="1">
      <alignment horizontal="center" vertical="center"/>
    </xf>
    <xf numFmtId="0" fontId="1" fillId="10" borderId="1" xfId="0" applyFont="1" applyFill="1" applyBorder="1" applyAlignment="1">
      <alignment horizontal="center" vertical="center" wrapText="1"/>
    </xf>
    <xf numFmtId="0" fontId="1" fillId="10" borderId="3" xfId="0" applyFont="1" applyFill="1" applyBorder="1" applyAlignment="1">
      <alignment horizontal="center" vertical="center"/>
    </xf>
    <xf numFmtId="0" fontId="1" fillId="5" borderId="1" xfId="0" applyFont="1" applyFill="1" applyBorder="1" applyAlignment="1">
      <alignment horizontal="center" vertical="center" wrapText="1"/>
    </xf>
    <xf numFmtId="0" fontId="1" fillId="5" borderId="3" xfId="0" applyFont="1" applyFill="1" applyBorder="1" applyAlignment="1">
      <alignment horizontal="center" vertical="center"/>
    </xf>
    <xf numFmtId="0" fontId="1" fillId="3" borderId="1" xfId="0" applyFont="1" applyFill="1" applyBorder="1" applyAlignment="1">
      <alignment horizontal="center" vertical="center" wrapText="1"/>
    </xf>
    <xf numFmtId="0" fontId="1" fillId="3" borderId="3" xfId="0" applyFont="1" applyFill="1" applyBorder="1" applyAlignment="1">
      <alignment horizontal="center" vertical="center"/>
    </xf>
    <xf numFmtId="0" fontId="0" fillId="4" borderId="1" xfId="0" applyFill="1" applyBorder="1"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4" borderId="1" xfId="0" applyFill="1" applyBorder="1" applyAlignment="1">
      <alignment horizontal="center" vertical="center"/>
    </xf>
    <xf numFmtId="0" fontId="0" fillId="4" borderId="2" xfId="0" applyFill="1" applyBorder="1" applyAlignment="1">
      <alignment horizontal="center" vertical="center"/>
    </xf>
    <xf numFmtId="0" fontId="0" fillId="3" borderId="2" xfId="0" applyFill="1" applyBorder="1" applyAlignment="1">
      <alignment horizontal="center" vertical="center"/>
    </xf>
    <xf numFmtId="0" fontId="2" fillId="2" borderId="2" xfId="0" applyFont="1" applyFill="1" applyBorder="1" applyAlignment="1">
      <alignment horizontal="center" vertical="center"/>
    </xf>
    <xf numFmtId="0" fontId="0" fillId="5" borderId="2" xfId="0" applyFill="1" applyBorder="1" applyAlignment="1">
      <alignment horizontal="center" vertical="center"/>
    </xf>
    <xf numFmtId="0" fontId="0" fillId="8" borderId="17" xfId="0" applyFill="1" applyBorder="1" applyAlignment="1">
      <alignment horizontal="center" vertical="center"/>
    </xf>
    <xf numFmtId="0" fontId="0" fillId="8" borderId="18" xfId="0" applyFill="1" applyBorder="1" applyAlignment="1">
      <alignment horizontal="center" vertical="center"/>
    </xf>
    <xf numFmtId="0" fontId="0" fillId="8" borderId="19" xfId="0" applyFill="1" applyBorder="1" applyAlignment="1">
      <alignment horizontal="center" vertical="center"/>
    </xf>
    <xf numFmtId="0" fontId="0" fillId="13" borderId="1" xfId="0" applyFill="1" applyBorder="1" applyAlignment="1">
      <alignment horizontal="center" vertical="center"/>
    </xf>
    <xf numFmtId="0" fontId="0" fillId="6" borderId="2" xfId="0" applyFill="1" applyBorder="1" applyAlignment="1">
      <alignment horizontal="center" vertical="center"/>
    </xf>
    <xf numFmtId="0" fontId="0" fillId="7" borderId="2" xfId="0" applyFill="1" applyBorder="1" applyAlignment="1">
      <alignment horizontal="center" vertical="center"/>
    </xf>
    <xf numFmtId="0" fontId="0" fillId="9" borderId="2" xfId="0" applyFill="1" applyBorder="1" applyAlignment="1">
      <alignment horizontal="center" vertical="center"/>
    </xf>
    <xf numFmtId="0" fontId="0" fillId="14" borderId="13" xfId="0" applyFill="1" applyBorder="1" applyAlignment="1">
      <alignment horizontal="center" vertical="center"/>
    </xf>
    <xf numFmtId="0" fontId="0" fillId="14" borderId="14" xfId="0" applyFill="1" applyBorder="1" applyAlignment="1">
      <alignment horizontal="center" vertical="center"/>
    </xf>
    <xf numFmtId="0" fontId="0" fillId="14" borderId="15" xfId="0" applyFill="1" applyBorder="1" applyAlignment="1">
      <alignment horizontal="center" vertical="center"/>
    </xf>
    <xf numFmtId="0" fontId="0" fillId="12" borderId="13" xfId="0" applyFill="1" applyBorder="1" applyAlignment="1">
      <alignment horizontal="center" vertical="center"/>
    </xf>
    <xf numFmtId="0" fontId="0" fillId="12" borderId="14" xfId="0" applyFill="1" applyBorder="1" applyAlignment="1">
      <alignment horizontal="center" vertical="center"/>
    </xf>
    <xf numFmtId="0" fontId="0" fillId="12" borderId="15" xfId="0" applyFill="1" applyBorder="1" applyAlignment="1">
      <alignment horizontal="center" vertical="center"/>
    </xf>
    <xf numFmtId="0" fontId="0" fillId="19" borderId="1" xfId="0" applyFill="1" applyBorder="1" applyAlignment="1">
      <alignment horizontal="center" vertical="center"/>
    </xf>
    <xf numFmtId="0" fontId="0" fillId="10" borderId="1" xfId="0" applyFill="1" applyBorder="1" applyAlignment="1">
      <alignment horizontal="center" vertical="center"/>
    </xf>
    <xf numFmtId="0" fontId="1" fillId="10" borderId="1" xfId="0" applyFont="1" applyFill="1" applyBorder="1" applyAlignment="1">
      <alignment horizontal="center" vertical="center" wrapText="1"/>
    </xf>
    <xf numFmtId="0" fontId="1" fillId="10" borderId="3" xfId="0" applyFont="1" applyFill="1" applyBorder="1" applyAlignment="1">
      <alignment horizontal="center" vertical="center"/>
    </xf>
    <xf numFmtId="0" fontId="1" fillId="3" borderId="1" xfId="0" applyFont="1" applyFill="1" applyBorder="1" applyAlignment="1">
      <alignment horizontal="center" vertical="center" wrapText="1"/>
    </xf>
    <xf numFmtId="0" fontId="1" fillId="3" borderId="3" xfId="0" applyFont="1" applyFill="1" applyBorder="1" applyAlignment="1">
      <alignment horizontal="center" vertical="center"/>
    </xf>
    <xf numFmtId="0" fontId="1" fillId="5" borderId="1" xfId="0" applyFont="1" applyFill="1" applyBorder="1" applyAlignment="1">
      <alignment horizontal="center" vertical="center" wrapText="1"/>
    </xf>
    <xf numFmtId="0" fontId="1" fillId="5" borderId="3" xfId="0" applyFont="1" applyFill="1" applyBorder="1" applyAlignment="1">
      <alignment horizontal="center" vertical="center"/>
    </xf>
    <xf numFmtId="0" fontId="1" fillId="0" borderId="4" xfId="0" applyFont="1" applyBorder="1" applyAlignment="1">
      <alignment horizontal="center" vertical="center"/>
    </xf>
    <xf numFmtId="0" fontId="1" fillId="0" borderId="0" xfId="0" applyFont="1" applyAlignment="1">
      <alignment horizontal="center" vertical="center"/>
    </xf>
    <xf numFmtId="0" fontId="1" fillId="0" borderId="0" xfId="0" applyFont="1" applyAlignment="1">
      <alignment horizontal="center"/>
    </xf>
    <xf numFmtId="0" fontId="4" fillId="0" borderId="5" xfId="0" applyFont="1" applyBorder="1" applyAlignment="1">
      <alignment horizontal="center" vertical="center"/>
    </xf>
    <xf numFmtId="0" fontId="4" fillId="0" borderId="9" xfId="0" applyFont="1" applyBorder="1" applyAlignment="1">
      <alignment horizontal="center" vertical="center"/>
    </xf>
    <xf numFmtId="0" fontId="4" fillId="0" borderId="11" xfId="0" applyFont="1" applyBorder="1" applyAlignment="1">
      <alignment horizontal="center" vertical="center"/>
    </xf>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CC5ED"/>
      <color rgb="FFFF8B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3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38.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4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4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53.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5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63.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68.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7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8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8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8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8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A8B-45F4-90D9-373A2115DDC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A8B-45F4-90D9-373A2115DDC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A8B-45F4-90D9-373A2115DDC7}"/>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DA8B-45F4-90D9-373A2115DDC7}"/>
                </c:ext>
              </c:extLst>
            </c:dLbl>
            <c:dLbl>
              <c:idx val="1"/>
              <c:tx>
                <c:rich>
                  <a:bodyPr/>
                  <a:lstStyle/>
                  <a:p>
                    <a:r>
                      <a:rPr lang="en-US"/>
                      <a:t>Carbohydrate</a:t>
                    </a:r>
                    <a:r>
                      <a:rPr lang="en-US" baseline="0"/>
                      <a:t>
</a:t>
                    </a:r>
                    <a:fld id="{D116BD1E-0696-4A34-8F48-98635DC4A8B4}"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DA8B-45F4-90D9-373A2115DDC7}"/>
                </c:ext>
              </c:extLst>
            </c:dLbl>
            <c:dLbl>
              <c:idx val="2"/>
              <c:tx>
                <c:rich>
                  <a:bodyPr/>
                  <a:lstStyle/>
                  <a:p>
                    <a:r>
                      <a:rPr lang="en-US" baseline="0"/>
                      <a:t>Fat
</a:t>
                    </a:r>
                    <a:fld id="{AC4586C2-9665-40F4-B967-9FB3F802DC51}"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DA8B-45F4-90D9-373A2115DDC7}"/>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Day1'!$I$28:$K$28</c:f>
              <c:numCache>
                <c:formatCode>General</c:formatCode>
                <c:ptCount val="3"/>
                <c:pt idx="0">
                  <c:v>188.40099999999998</c:v>
                </c:pt>
                <c:pt idx="1">
                  <c:v>150.06100000000001</c:v>
                </c:pt>
                <c:pt idx="2">
                  <c:v>39.283000000000001</c:v>
                </c:pt>
              </c:numCache>
            </c:numRef>
          </c:val>
          <c:extLst>
            <c:ext xmlns:c16="http://schemas.microsoft.com/office/drawing/2014/chart" uri="{C3380CC4-5D6E-409C-BE32-E72D297353CC}">
              <c16:uniqueId val="{00000006-DA8B-45F4-90D9-373A2115DDC7}"/>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89A-45CC-B052-7D2601BDAA4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89A-45CC-B052-7D2601BDAA4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89A-45CC-B052-7D2601BDAA4C}"/>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489A-45CC-B052-7D2601BDAA4C}"/>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489A-45CC-B052-7D2601BDAA4C}"/>
                </c:ext>
              </c:extLst>
            </c:dLbl>
            <c:dLbl>
              <c:idx val="2"/>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489A-45CC-B052-7D2601BDAA4C}"/>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Day1'!$I$32:$K$32</c:f>
              <c:numCache>
                <c:formatCode>General</c:formatCode>
                <c:ptCount val="3"/>
                <c:pt idx="0">
                  <c:v>188.77058749999998</c:v>
                </c:pt>
                <c:pt idx="1">
                  <c:v>151.01647</c:v>
                </c:pt>
                <c:pt idx="2">
                  <c:v>40.774446900000001</c:v>
                </c:pt>
              </c:numCache>
            </c:numRef>
          </c:val>
          <c:extLst>
            <c:ext xmlns:c16="http://schemas.microsoft.com/office/drawing/2014/chart" uri="{C3380CC4-5D6E-409C-BE32-E72D297353CC}">
              <c16:uniqueId val="{00000006-489A-45CC-B052-7D2601BDAA4C}"/>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21D-49C0-8E08-9227EF825D0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21D-49C0-8E08-9227EF825D0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21D-49C0-8E08-9227EF825D0C}"/>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421D-49C0-8E08-9227EF825D0C}"/>
                </c:ext>
              </c:extLst>
            </c:dLbl>
            <c:dLbl>
              <c:idx val="1"/>
              <c:tx>
                <c:rich>
                  <a:bodyPr/>
                  <a:lstStyle/>
                  <a:p>
                    <a:r>
                      <a:rPr lang="en-US"/>
                      <a:t>Carbohydrate</a:t>
                    </a:r>
                    <a:r>
                      <a:rPr lang="en-US" baseline="0"/>
                      <a:t>
</a:t>
                    </a:r>
                    <a:fld id="{D116BD1E-0696-4A34-8F48-98635DC4A8B4}"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421D-49C0-8E08-9227EF825D0C}"/>
                </c:ext>
              </c:extLst>
            </c:dLbl>
            <c:dLbl>
              <c:idx val="2"/>
              <c:tx>
                <c:rich>
                  <a:bodyPr/>
                  <a:lstStyle/>
                  <a:p>
                    <a:r>
                      <a:rPr lang="en-US" baseline="0"/>
                      <a:t>Fat
</a:t>
                    </a:r>
                    <a:fld id="{AC4586C2-9665-40F4-B967-9FB3F802DC51}"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421D-49C0-8E08-9227EF825D0C}"/>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D2'!$I$28:$K$28</c:f>
              <c:numCache>
                <c:formatCode>General</c:formatCode>
                <c:ptCount val="3"/>
                <c:pt idx="0">
                  <c:v>187.93700000000001</c:v>
                </c:pt>
                <c:pt idx="1">
                  <c:v>153.875</c:v>
                </c:pt>
                <c:pt idx="2">
                  <c:v>39.120000000000005</c:v>
                </c:pt>
              </c:numCache>
            </c:numRef>
          </c:val>
          <c:extLst>
            <c:ext xmlns:c16="http://schemas.microsoft.com/office/drawing/2014/chart" uri="{C3380CC4-5D6E-409C-BE32-E72D297353CC}">
              <c16:uniqueId val="{00000006-421D-49C0-8E08-9227EF825D0C}"/>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D83-4558-ADAD-0C103F57433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D83-4558-ADAD-0C103F57433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D83-4558-ADAD-0C103F574334}"/>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7D83-4558-ADAD-0C103F574334}"/>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7D83-4558-ADAD-0C103F574334}"/>
                </c:ext>
              </c:extLst>
            </c:dLbl>
            <c:dLbl>
              <c:idx val="2"/>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7D83-4558-ADAD-0C103F574334}"/>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D2'!$I$32:$K$32</c:f>
              <c:numCache>
                <c:formatCode>General</c:formatCode>
                <c:ptCount val="3"/>
                <c:pt idx="0">
                  <c:v>188.77058749999998</c:v>
                </c:pt>
                <c:pt idx="1">
                  <c:v>151.01647</c:v>
                </c:pt>
                <c:pt idx="2">
                  <c:v>40.774446900000001</c:v>
                </c:pt>
              </c:numCache>
            </c:numRef>
          </c:val>
          <c:extLst>
            <c:ext xmlns:c16="http://schemas.microsoft.com/office/drawing/2014/chart" uri="{C3380CC4-5D6E-409C-BE32-E72D297353CC}">
              <c16:uniqueId val="{00000006-7D83-4558-ADAD-0C103F574334}"/>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DC9-4419-A60A-E1B93FC1A36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DC9-4419-A60A-E1B93FC1A36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DC9-4419-A60A-E1B93FC1A36F}"/>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0DC9-4419-A60A-E1B93FC1A36F}"/>
                </c:ext>
              </c:extLst>
            </c:dLbl>
            <c:dLbl>
              <c:idx val="1"/>
              <c:tx>
                <c:rich>
                  <a:bodyPr/>
                  <a:lstStyle/>
                  <a:p>
                    <a:r>
                      <a:rPr lang="en-US"/>
                      <a:t>Carbohydrate</a:t>
                    </a:r>
                    <a:r>
                      <a:rPr lang="en-US" baseline="0"/>
                      <a:t>
</a:t>
                    </a:r>
                    <a:fld id="{D116BD1E-0696-4A34-8F48-98635DC4A8B4}"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0DC9-4419-A60A-E1B93FC1A36F}"/>
                </c:ext>
              </c:extLst>
            </c:dLbl>
            <c:dLbl>
              <c:idx val="2"/>
              <c:tx>
                <c:rich>
                  <a:bodyPr/>
                  <a:lstStyle/>
                  <a:p>
                    <a:r>
                      <a:rPr lang="en-US" baseline="0"/>
                      <a:t>Fat
</a:t>
                    </a:r>
                    <a:fld id="{AC4586C2-9665-40F4-B967-9FB3F802DC51}"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0DC9-4419-A60A-E1B93FC1A36F}"/>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D3'!$I$34:$K$34</c:f>
              <c:numCache>
                <c:formatCode>General</c:formatCode>
                <c:ptCount val="3"/>
                <c:pt idx="0">
                  <c:v>190.37800000000001</c:v>
                </c:pt>
                <c:pt idx="1">
                  <c:v>153.327</c:v>
                </c:pt>
                <c:pt idx="2">
                  <c:v>42.818999999999996</c:v>
                </c:pt>
              </c:numCache>
            </c:numRef>
          </c:val>
          <c:extLst>
            <c:ext xmlns:c16="http://schemas.microsoft.com/office/drawing/2014/chart" uri="{C3380CC4-5D6E-409C-BE32-E72D297353CC}">
              <c16:uniqueId val="{00000006-0DC9-4419-A60A-E1B93FC1A36F}"/>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9DE-4835-9BB1-37D0782773C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9DE-4835-9BB1-37D0782773C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9DE-4835-9BB1-37D0782773C6}"/>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D9DE-4835-9BB1-37D0782773C6}"/>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D9DE-4835-9BB1-37D0782773C6}"/>
                </c:ext>
              </c:extLst>
            </c:dLbl>
            <c:dLbl>
              <c:idx val="2"/>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D9DE-4835-9BB1-37D0782773C6}"/>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D3'!$I$35:$K$35</c:f>
              <c:numCache>
                <c:formatCode>General</c:formatCode>
                <c:ptCount val="3"/>
                <c:pt idx="0">
                  <c:v>188.77058749999998</c:v>
                </c:pt>
                <c:pt idx="1">
                  <c:v>151.01647</c:v>
                </c:pt>
                <c:pt idx="2">
                  <c:v>40.774446900000001</c:v>
                </c:pt>
              </c:numCache>
            </c:numRef>
          </c:val>
          <c:extLst>
            <c:ext xmlns:c16="http://schemas.microsoft.com/office/drawing/2014/chart" uri="{C3380CC4-5D6E-409C-BE32-E72D297353CC}">
              <c16:uniqueId val="{00000006-D9DE-4835-9BB1-37D0782773C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5B3-46F8-87BD-40E9DEE7EC3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5B3-46F8-87BD-40E9DEE7EC3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5B3-46F8-87BD-40E9DEE7EC30}"/>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E5B3-46F8-87BD-40E9DEE7EC30}"/>
                </c:ext>
              </c:extLst>
            </c:dLbl>
            <c:dLbl>
              <c:idx val="1"/>
              <c:tx>
                <c:rich>
                  <a:bodyPr/>
                  <a:lstStyle/>
                  <a:p>
                    <a:r>
                      <a:rPr lang="en-US"/>
                      <a:t>Carbohydrate</a:t>
                    </a:r>
                    <a:r>
                      <a:rPr lang="en-US" baseline="0"/>
                      <a:t>
</a:t>
                    </a:r>
                    <a:fld id="{D116BD1E-0696-4A34-8F48-98635DC4A8B4}"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E5B3-46F8-87BD-40E9DEE7EC30}"/>
                </c:ext>
              </c:extLst>
            </c:dLbl>
            <c:dLbl>
              <c:idx val="2"/>
              <c:tx>
                <c:rich>
                  <a:bodyPr/>
                  <a:lstStyle/>
                  <a:p>
                    <a:r>
                      <a:rPr lang="en-US" baseline="0"/>
                      <a:t>Fat
</a:t>
                    </a:r>
                    <a:fld id="{AC4586C2-9665-40F4-B967-9FB3F802DC51}"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E5B3-46F8-87BD-40E9DEE7EC30}"/>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D4'!$I$39:$K$39</c:f>
              <c:numCache>
                <c:formatCode>General</c:formatCode>
                <c:ptCount val="3"/>
                <c:pt idx="0">
                  <c:v>188.14400000000001</c:v>
                </c:pt>
                <c:pt idx="1">
                  <c:v>157.59700000000001</c:v>
                </c:pt>
                <c:pt idx="2">
                  <c:v>39.807000000000002</c:v>
                </c:pt>
              </c:numCache>
            </c:numRef>
          </c:val>
          <c:extLst>
            <c:ext xmlns:c16="http://schemas.microsoft.com/office/drawing/2014/chart" uri="{C3380CC4-5D6E-409C-BE32-E72D297353CC}">
              <c16:uniqueId val="{00000006-E5B3-46F8-87BD-40E9DEE7EC30}"/>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4F5-45D2-9DEE-6F7F25FED2C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4F5-45D2-9DEE-6F7F25FED2C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4F5-45D2-9DEE-6F7F25FED2CF}"/>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84F5-45D2-9DEE-6F7F25FED2CF}"/>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84F5-45D2-9DEE-6F7F25FED2CF}"/>
                </c:ext>
              </c:extLst>
            </c:dLbl>
            <c:dLbl>
              <c:idx val="2"/>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84F5-45D2-9DEE-6F7F25FED2CF}"/>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D4'!$I$40:$K$40</c:f>
              <c:numCache>
                <c:formatCode>General</c:formatCode>
                <c:ptCount val="3"/>
                <c:pt idx="0">
                  <c:v>188.77058749999998</c:v>
                </c:pt>
                <c:pt idx="1">
                  <c:v>151.01647</c:v>
                </c:pt>
                <c:pt idx="2">
                  <c:v>40.774446900000001</c:v>
                </c:pt>
              </c:numCache>
            </c:numRef>
          </c:val>
          <c:extLst>
            <c:ext xmlns:c16="http://schemas.microsoft.com/office/drawing/2014/chart" uri="{C3380CC4-5D6E-409C-BE32-E72D297353CC}">
              <c16:uniqueId val="{00000006-84F5-45D2-9DEE-6F7F25FED2CF}"/>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F57-4C5E-BDE4-41B50766B4C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F57-4C5E-BDE4-41B50766B4C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F57-4C5E-BDE4-41B50766B4CC}"/>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F57-4C5E-BDE4-41B50766B4CC}"/>
                </c:ext>
              </c:extLst>
            </c:dLbl>
            <c:dLbl>
              <c:idx val="1"/>
              <c:tx>
                <c:rich>
                  <a:bodyPr/>
                  <a:lstStyle/>
                  <a:p>
                    <a:r>
                      <a:rPr lang="en-US"/>
                      <a:t>Carbohydrate</a:t>
                    </a:r>
                    <a:r>
                      <a:rPr lang="en-US" baseline="0"/>
                      <a:t>
</a:t>
                    </a:r>
                    <a:fld id="{D116BD1E-0696-4A34-8F48-98635DC4A8B4}"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6F57-4C5E-BDE4-41B50766B4CC}"/>
                </c:ext>
              </c:extLst>
            </c:dLbl>
            <c:dLbl>
              <c:idx val="2"/>
              <c:tx>
                <c:rich>
                  <a:bodyPr/>
                  <a:lstStyle/>
                  <a:p>
                    <a:r>
                      <a:rPr lang="en-US" baseline="0"/>
                      <a:t>Fat
</a:t>
                    </a:r>
                    <a:fld id="{AC4586C2-9665-40F4-B967-9FB3F802DC51}"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6F57-4C5E-BDE4-41B50766B4CC}"/>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D5'!$I$39:$K$39</c:f>
              <c:numCache>
                <c:formatCode>General</c:formatCode>
                <c:ptCount val="3"/>
                <c:pt idx="0">
                  <c:v>187.46099999999996</c:v>
                </c:pt>
                <c:pt idx="1">
                  <c:v>158.99100000000001</c:v>
                </c:pt>
                <c:pt idx="2">
                  <c:v>40.268999999999998</c:v>
                </c:pt>
              </c:numCache>
            </c:numRef>
          </c:val>
          <c:extLst>
            <c:ext xmlns:c16="http://schemas.microsoft.com/office/drawing/2014/chart" uri="{C3380CC4-5D6E-409C-BE32-E72D297353CC}">
              <c16:uniqueId val="{00000006-6F57-4C5E-BDE4-41B50766B4CC}"/>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53D-4940-8DC3-5C3A13061A7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53D-4940-8DC3-5C3A13061A7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53D-4940-8DC3-5C3A13061A77}"/>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253D-4940-8DC3-5C3A13061A77}"/>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253D-4940-8DC3-5C3A13061A77}"/>
                </c:ext>
              </c:extLst>
            </c:dLbl>
            <c:dLbl>
              <c:idx val="2"/>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253D-4940-8DC3-5C3A13061A77}"/>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D5'!$I$40:$K$40</c:f>
              <c:numCache>
                <c:formatCode>General</c:formatCode>
                <c:ptCount val="3"/>
                <c:pt idx="0">
                  <c:v>188.77058749999998</c:v>
                </c:pt>
                <c:pt idx="1">
                  <c:v>151.01647</c:v>
                </c:pt>
                <c:pt idx="2">
                  <c:v>40.774446900000001</c:v>
                </c:pt>
              </c:numCache>
            </c:numRef>
          </c:val>
          <c:extLst>
            <c:ext xmlns:c16="http://schemas.microsoft.com/office/drawing/2014/chart" uri="{C3380CC4-5D6E-409C-BE32-E72D297353CC}">
              <c16:uniqueId val="{00000006-253D-4940-8DC3-5C3A13061A77}"/>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601-4C38-830E-53E543D4C58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601-4C38-830E-53E543D4C58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601-4C38-830E-53E543D4C58D}"/>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8601-4C38-830E-53E543D4C58D}"/>
                </c:ext>
              </c:extLst>
            </c:dLbl>
            <c:dLbl>
              <c:idx val="1"/>
              <c:tx>
                <c:rich>
                  <a:bodyPr/>
                  <a:lstStyle/>
                  <a:p>
                    <a:r>
                      <a:rPr lang="en-US"/>
                      <a:t>Carbohydrate</a:t>
                    </a:r>
                    <a:r>
                      <a:rPr lang="en-US" baseline="0"/>
                      <a:t>
</a:t>
                    </a:r>
                    <a:fld id="{D116BD1E-0696-4A34-8F48-98635DC4A8B4}"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8601-4C38-830E-53E543D4C58D}"/>
                </c:ext>
              </c:extLst>
            </c:dLbl>
            <c:dLbl>
              <c:idx val="2"/>
              <c:tx>
                <c:rich>
                  <a:bodyPr/>
                  <a:lstStyle/>
                  <a:p>
                    <a:r>
                      <a:rPr lang="en-US" baseline="0"/>
                      <a:t>Fat
</a:t>
                    </a:r>
                    <a:fld id="{AC4586C2-9665-40F4-B967-9FB3F802DC51}"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8601-4C38-830E-53E543D4C58D}"/>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D6'!$I$39:$K$39</c:f>
              <c:numCache>
                <c:formatCode>General</c:formatCode>
                <c:ptCount val="3"/>
                <c:pt idx="0">
                  <c:v>185.12099999999998</c:v>
                </c:pt>
                <c:pt idx="1">
                  <c:v>149.298</c:v>
                </c:pt>
                <c:pt idx="2">
                  <c:v>38.546999999999997</c:v>
                </c:pt>
              </c:numCache>
            </c:numRef>
          </c:val>
          <c:extLst>
            <c:ext xmlns:c16="http://schemas.microsoft.com/office/drawing/2014/chart" uri="{C3380CC4-5D6E-409C-BE32-E72D297353CC}">
              <c16:uniqueId val="{00000006-8601-4C38-830E-53E543D4C58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A5D-4702-9064-75877A4284C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A5D-4702-9064-75877A4284C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A5D-4702-9064-75877A4284C0}"/>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CA5D-4702-9064-75877A4284C0}"/>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CA5D-4702-9064-75877A4284C0}"/>
                </c:ext>
              </c:extLst>
            </c:dLbl>
            <c:dLbl>
              <c:idx val="2"/>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CA5D-4702-9064-75877A4284C0}"/>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D6'!$I$40:$K$40</c:f>
              <c:numCache>
                <c:formatCode>General</c:formatCode>
                <c:ptCount val="3"/>
                <c:pt idx="0">
                  <c:v>188.77058749999998</c:v>
                </c:pt>
                <c:pt idx="1">
                  <c:v>151.01647</c:v>
                </c:pt>
                <c:pt idx="2">
                  <c:v>40.774446900000001</c:v>
                </c:pt>
              </c:numCache>
            </c:numRef>
          </c:val>
          <c:extLst>
            <c:ext xmlns:c16="http://schemas.microsoft.com/office/drawing/2014/chart" uri="{C3380CC4-5D6E-409C-BE32-E72D297353CC}">
              <c16:uniqueId val="{00000006-CA5D-4702-9064-75877A4284C0}"/>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9DE-4A17-9035-B1FEA008B7E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9DE-4A17-9035-B1FEA008B7E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9DE-4A17-9035-B1FEA008B7EA}"/>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79DE-4A17-9035-B1FEA008B7EA}"/>
                </c:ext>
              </c:extLst>
            </c:dLbl>
            <c:dLbl>
              <c:idx val="1"/>
              <c:tx>
                <c:rich>
                  <a:bodyPr/>
                  <a:lstStyle/>
                  <a:p>
                    <a:r>
                      <a:rPr lang="en-US"/>
                      <a:t>Carbohydrate</a:t>
                    </a:r>
                    <a:r>
                      <a:rPr lang="en-US" baseline="0"/>
                      <a:t>
</a:t>
                    </a:r>
                    <a:fld id="{D116BD1E-0696-4A34-8F48-98635DC4A8B4}"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79DE-4A17-9035-B1FEA008B7EA}"/>
                </c:ext>
              </c:extLst>
            </c:dLbl>
            <c:dLbl>
              <c:idx val="2"/>
              <c:tx>
                <c:rich>
                  <a:bodyPr/>
                  <a:lstStyle/>
                  <a:p>
                    <a:r>
                      <a:rPr lang="en-US" baseline="0"/>
                      <a:t>Fat
</a:t>
                    </a:r>
                    <a:fld id="{AC4586C2-9665-40F4-B967-9FB3F802DC51}"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79DE-4A17-9035-B1FEA008B7EA}"/>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D7'!$I$39:$K$39</c:f>
              <c:numCache>
                <c:formatCode>General</c:formatCode>
                <c:ptCount val="3"/>
                <c:pt idx="0">
                  <c:v>184.101</c:v>
                </c:pt>
                <c:pt idx="1">
                  <c:v>146.697</c:v>
                </c:pt>
                <c:pt idx="2">
                  <c:v>43.457000000000001</c:v>
                </c:pt>
              </c:numCache>
            </c:numRef>
          </c:val>
          <c:extLst>
            <c:ext xmlns:c16="http://schemas.microsoft.com/office/drawing/2014/chart" uri="{C3380CC4-5D6E-409C-BE32-E72D297353CC}">
              <c16:uniqueId val="{00000006-79DE-4A17-9035-B1FEA008B7EA}"/>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8C3-4A0B-8748-24F8305E4A2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8C3-4A0B-8748-24F8305E4A2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8C3-4A0B-8748-24F8305E4A2A}"/>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48C3-4A0B-8748-24F8305E4A2A}"/>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48C3-4A0B-8748-24F8305E4A2A}"/>
                </c:ext>
              </c:extLst>
            </c:dLbl>
            <c:dLbl>
              <c:idx val="2"/>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48C3-4A0B-8748-24F8305E4A2A}"/>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D7'!$I$40:$K$40</c:f>
              <c:numCache>
                <c:formatCode>General</c:formatCode>
                <c:ptCount val="3"/>
                <c:pt idx="0">
                  <c:v>184.63692499999999</c:v>
                </c:pt>
                <c:pt idx="1">
                  <c:v>147.70953999999998</c:v>
                </c:pt>
                <c:pt idx="2">
                  <c:v>39.8815758</c:v>
                </c:pt>
              </c:numCache>
            </c:numRef>
          </c:val>
          <c:extLst>
            <c:ext xmlns:c16="http://schemas.microsoft.com/office/drawing/2014/chart" uri="{C3380CC4-5D6E-409C-BE32-E72D297353CC}">
              <c16:uniqueId val="{00000006-48C3-4A0B-8748-24F8305E4A2A}"/>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2C5-4E71-9083-37A1A77E7EC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2C5-4E71-9083-37A1A77E7EC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2C5-4E71-9083-37A1A77E7EC5}"/>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E2C5-4E71-9083-37A1A77E7EC5}"/>
                </c:ext>
              </c:extLst>
            </c:dLbl>
            <c:dLbl>
              <c:idx val="1"/>
              <c:tx>
                <c:rich>
                  <a:bodyPr/>
                  <a:lstStyle/>
                  <a:p>
                    <a:r>
                      <a:rPr lang="en-US"/>
                      <a:t>Carbohydrate</a:t>
                    </a:r>
                    <a:r>
                      <a:rPr lang="en-US" baseline="0"/>
                      <a:t>
</a:t>
                    </a:r>
                    <a:fld id="{D116BD1E-0696-4A34-8F48-98635DC4A8B4}"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E2C5-4E71-9083-37A1A77E7EC5}"/>
                </c:ext>
              </c:extLst>
            </c:dLbl>
            <c:dLbl>
              <c:idx val="2"/>
              <c:tx>
                <c:rich>
                  <a:bodyPr/>
                  <a:lstStyle/>
                  <a:p>
                    <a:r>
                      <a:rPr lang="en-US" baseline="0"/>
                      <a:t>Fat
</a:t>
                    </a:r>
                    <a:fld id="{AC4586C2-9665-40F4-B967-9FB3F802DC51}"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E2C5-4E71-9083-37A1A77E7EC5}"/>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D8'!$I$39:$K$39</c:f>
              <c:numCache>
                <c:formatCode>General</c:formatCode>
                <c:ptCount val="3"/>
                <c:pt idx="0">
                  <c:v>197.37899999999996</c:v>
                </c:pt>
                <c:pt idx="1">
                  <c:v>148.93299999999999</c:v>
                </c:pt>
                <c:pt idx="2">
                  <c:v>40.372999999999998</c:v>
                </c:pt>
              </c:numCache>
            </c:numRef>
          </c:val>
          <c:extLst>
            <c:ext xmlns:c16="http://schemas.microsoft.com/office/drawing/2014/chart" uri="{C3380CC4-5D6E-409C-BE32-E72D297353CC}">
              <c16:uniqueId val="{00000006-E2C5-4E71-9083-37A1A77E7EC5}"/>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D46-4804-A0AC-79F382768B7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D46-4804-A0AC-79F382768B7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D46-4804-A0AC-79F382768B73}"/>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ED46-4804-A0AC-79F382768B73}"/>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ED46-4804-A0AC-79F382768B73}"/>
                </c:ext>
              </c:extLst>
            </c:dLbl>
            <c:dLbl>
              <c:idx val="2"/>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ED46-4804-A0AC-79F382768B73}"/>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D8'!$I$40:$K$40</c:f>
              <c:numCache>
                <c:formatCode>General</c:formatCode>
                <c:ptCount val="3"/>
                <c:pt idx="0">
                  <c:v>184.63692499999999</c:v>
                </c:pt>
                <c:pt idx="1">
                  <c:v>147.70953999999998</c:v>
                </c:pt>
                <c:pt idx="2">
                  <c:v>39.8815758</c:v>
                </c:pt>
              </c:numCache>
            </c:numRef>
          </c:val>
          <c:extLst>
            <c:ext xmlns:c16="http://schemas.microsoft.com/office/drawing/2014/chart" uri="{C3380CC4-5D6E-409C-BE32-E72D297353CC}">
              <c16:uniqueId val="{00000006-ED46-4804-A0AC-79F382768B7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6C5-4C97-8F61-75AFD2F05CA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6C5-4C97-8F61-75AFD2F05CA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6C5-4C97-8F61-75AFD2F05CA1}"/>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C6C5-4C97-8F61-75AFD2F05CA1}"/>
                </c:ext>
              </c:extLst>
            </c:dLbl>
            <c:dLbl>
              <c:idx val="1"/>
              <c:tx>
                <c:rich>
                  <a:bodyPr/>
                  <a:lstStyle/>
                  <a:p>
                    <a:r>
                      <a:rPr lang="en-US"/>
                      <a:t>Carbohydrate</a:t>
                    </a:r>
                    <a:r>
                      <a:rPr lang="en-US" baseline="0"/>
                      <a:t>
</a:t>
                    </a:r>
                    <a:fld id="{D116BD1E-0696-4A34-8F48-98635DC4A8B4}"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6C5-4C97-8F61-75AFD2F05CA1}"/>
                </c:ext>
              </c:extLst>
            </c:dLbl>
            <c:dLbl>
              <c:idx val="2"/>
              <c:tx>
                <c:rich>
                  <a:bodyPr/>
                  <a:lstStyle/>
                  <a:p>
                    <a:r>
                      <a:rPr lang="en-US" baseline="0"/>
                      <a:t>Fat
</a:t>
                    </a:r>
                    <a:fld id="{AC4586C2-9665-40F4-B967-9FB3F802DC51}"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C6C5-4C97-8F61-75AFD2F05CA1}"/>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D9'!$I$39:$K$39</c:f>
              <c:numCache>
                <c:formatCode>General</c:formatCode>
                <c:ptCount val="3"/>
                <c:pt idx="0">
                  <c:v>100.614</c:v>
                </c:pt>
                <c:pt idx="1">
                  <c:v>109.63599999999998</c:v>
                </c:pt>
                <c:pt idx="2">
                  <c:v>34.574999999999996</c:v>
                </c:pt>
              </c:numCache>
            </c:numRef>
          </c:val>
          <c:extLst>
            <c:ext xmlns:c16="http://schemas.microsoft.com/office/drawing/2014/chart" uri="{C3380CC4-5D6E-409C-BE32-E72D297353CC}">
              <c16:uniqueId val="{00000006-C6C5-4C97-8F61-75AFD2F05CA1}"/>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031-445A-97A6-C9B32209F73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031-445A-97A6-C9B32209F73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031-445A-97A6-C9B32209F73E}"/>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1031-445A-97A6-C9B32209F73E}"/>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1031-445A-97A6-C9B32209F73E}"/>
                </c:ext>
              </c:extLst>
            </c:dLbl>
            <c:dLbl>
              <c:idx val="2"/>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1031-445A-97A6-C9B32209F73E}"/>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D9'!$I$40:$K$40</c:f>
              <c:numCache>
                <c:formatCode>General</c:formatCode>
                <c:ptCount val="3"/>
                <c:pt idx="0">
                  <c:v>184.63692499999999</c:v>
                </c:pt>
                <c:pt idx="1">
                  <c:v>147.70953999999998</c:v>
                </c:pt>
                <c:pt idx="2">
                  <c:v>39.8815758</c:v>
                </c:pt>
              </c:numCache>
            </c:numRef>
          </c:val>
          <c:extLst>
            <c:ext xmlns:c16="http://schemas.microsoft.com/office/drawing/2014/chart" uri="{C3380CC4-5D6E-409C-BE32-E72D297353CC}">
              <c16:uniqueId val="{00000006-1031-445A-97A6-C9B32209F73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156-46F8-A06A-A55A2EB0D9D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156-46F8-A06A-A55A2EB0D9D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156-46F8-A06A-A55A2EB0D9DB}"/>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B156-46F8-A06A-A55A2EB0D9DB}"/>
                </c:ext>
              </c:extLst>
            </c:dLbl>
            <c:dLbl>
              <c:idx val="1"/>
              <c:tx>
                <c:rich>
                  <a:bodyPr/>
                  <a:lstStyle/>
                  <a:p>
                    <a:r>
                      <a:rPr lang="en-US"/>
                      <a:t>Carbohydrate</a:t>
                    </a:r>
                    <a:r>
                      <a:rPr lang="en-US" baseline="0"/>
                      <a:t>
</a:t>
                    </a:r>
                    <a:fld id="{D116BD1E-0696-4A34-8F48-98635DC4A8B4}"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B156-46F8-A06A-A55A2EB0D9DB}"/>
                </c:ext>
              </c:extLst>
            </c:dLbl>
            <c:dLbl>
              <c:idx val="2"/>
              <c:tx>
                <c:rich>
                  <a:bodyPr/>
                  <a:lstStyle/>
                  <a:p>
                    <a:r>
                      <a:rPr lang="en-US" baseline="0"/>
                      <a:t>Fat
</a:t>
                    </a:r>
                    <a:fld id="{AC4586C2-9665-40F4-B967-9FB3F802DC51}"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B156-46F8-A06A-A55A2EB0D9DB}"/>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D10'!$I$39:$K$39</c:f>
              <c:numCache>
                <c:formatCode>General</c:formatCode>
                <c:ptCount val="3"/>
                <c:pt idx="0">
                  <c:v>190.45400000000001</c:v>
                </c:pt>
                <c:pt idx="1">
                  <c:v>131.99199999999999</c:v>
                </c:pt>
                <c:pt idx="2">
                  <c:v>39.143999999999998</c:v>
                </c:pt>
              </c:numCache>
            </c:numRef>
          </c:val>
          <c:extLst>
            <c:ext xmlns:c16="http://schemas.microsoft.com/office/drawing/2014/chart" uri="{C3380CC4-5D6E-409C-BE32-E72D297353CC}">
              <c16:uniqueId val="{00000006-B156-46F8-A06A-A55A2EB0D9D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D00-4CE8-8166-1843A0C35D8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D00-4CE8-8166-1843A0C35D8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D00-4CE8-8166-1843A0C35D8A}"/>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4D00-4CE8-8166-1843A0C35D8A}"/>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4D00-4CE8-8166-1843A0C35D8A}"/>
                </c:ext>
              </c:extLst>
            </c:dLbl>
            <c:dLbl>
              <c:idx val="2"/>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4D00-4CE8-8166-1843A0C35D8A}"/>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D10'!$I$40:$K$40</c:f>
              <c:numCache>
                <c:formatCode>General</c:formatCode>
                <c:ptCount val="3"/>
                <c:pt idx="0">
                  <c:v>184.63692499999999</c:v>
                </c:pt>
                <c:pt idx="1">
                  <c:v>147.70953999999998</c:v>
                </c:pt>
                <c:pt idx="2">
                  <c:v>39.8815758</c:v>
                </c:pt>
              </c:numCache>
            </c:numRef>
          </c:val>
          <c:extLst>
            <c:ext xmlns:c16="http://schemas.microsoft.com/office/drawing/2014/chart" uri="{C3380CC4-5D6E-409C-BE32-E72D297353CC}">
              <c16:uniqueId val="{00000006-4D00-4CE8-8166-1843A0C35D8A}"/>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CBB-4765-92B1-D344B3484E3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CBB-4765-92B1-D344B3484E3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CBB-4765-92B1-D344B3484E3C}"/>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FCBB-4765-92B1-D344B3484E3C}"/>
                </c:ext>
              </c:extLst>
            </c:dLbl>
            <c:dLbl>
              <c:idx val="1"/>
              <c:tx>
                <c:rich>
                  <a:bodyPr/>
                  <a:lstStyle/>
                  <a:p>
                    <a:r>
                      <a:rPr lang="en-US"/>
                      <a:t>Carbohydrate</a:t>
                    </a:r>
                    <a:r>
                      <a:rPr lang="en-US" baseline="0"/>
                      <a:t>
</a:t>
                    </a:r>
                    <a:fld id="{D116BD1E-0696-4A34-8F48-98635DC4A8B4}"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FCBB-4765-92B1-D344B3484E3C}"/>
                </c:ext>
              </c:extLst>
            </c:dLbl>
            <c:dLbl>
              <c:idx val="2"/>
              <c:tx>
                <c:rich>
                  <a:bodyPr/>
                  <a:lstStyle/>
                  <a:p>
                    <a:r>
                      <a:rPr lang="en-US" baseline="0"/>
                      <a:t>Fat
</a:t>
                    </a:r>
                    <a:fld id="{AC4586C2-9665-40F4-B967-9FB3F802DC51}"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FCBB-4765-92B1-D344B3484E3C}"/>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D11'!$I$39:$K$39</c:f>
              <c:numCache>
                <c:formatCode>General</c:formatCode>
                <c:ptCount val="3"/>
                <c:pt idx="0">
                  <c:v>194.398</c:v>
                </c:pt>
                <c:pt idx="1">
                  <c:v>142.61700000000002</c:v>
                </c:pt>
                <c:pt idx="2">
                  <c:v>40.099000000000004</c:v>
                </c:pt>
              </c:numCache>
            </c:numRef>
          </c:val>
          <c:extLst>
            <c:ext xmlns:c16="http://schemas.microsoft.com/office/drawing/2014/chart" uri="{C3380CC4-5D6E-409C-BE32-E72D297353CC}">
              <c16:uniqueId val="{00000006-FCBB-4765-92B1-D344B3484E3C}"/>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408-429B-B6FD-E452A6B4751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408-429B-B6FD-E452A6B4751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408-429B-B6FD-E452A6B4751B}"/>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4408-429B-B6FD-E452A6B4751B}"/>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4408-429B-B6FD-E452A6B4751B}"/>
                </c:ext>
              </c:extLst>
            </c:dLbl>
            <c:dLbl>
              <c:idx val="2"/>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4408-429B-B6FD-E452A6B4751B}"/>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D11'!$I$40:$K$40</c:f>
              <c:numCache>
                <c:formatCode>General</c:formatCode>
                <c:ptCount val="3"/>
                <c:pt idx="0">
                  <c:v>184.63692499999999</c:v>
                </c:pt>
                <c:pt idx="1">
                  <c:v>147.70953999999998</c:v>
                </c:pt>
                <c:pt idx="2">
                  <c:v>39.8815758</c:v>
                </c:pt>
              </c:numCache>
            </c:numRef>
          </c:val>
          <c:extLst>
            <c:ext xmlns:c16="http://schemas.microsoft.com/office/drawing/2014/chart" uri="{C3380CC4-5D6E-409C-BE32-E72D297353CC}">
              <c16:uniqueId val="{00000006-4408-429B-B6FD-E452A6B4751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22C-44A9-8C83-17E6765E1F4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22C-44A9-8C83-17E6765E1F4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22C-44A9-8C83-17E6765E1F44}"/>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22C-44A9-8C83-17E6765E1F44}"/>
                </c:ext>
              </c:extLst>
            </c:dLbl>
            <c:dLbl>
              <c:idx val="1"/>
              <c:layout>
                <c:manualLayout>
                  <c:x val="0.21030630918659338"/>
                  <c:y val="-9.057712621285532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r>
                      <a:rPr lang="en-US" baseline="0"/>
                      <a:t>
</a:t>
                    </a:r>
                    <a:fld id="{D116BD1E-0696-4A34-8F48-98635DC4A8B4}" type="PERCENTAGE">
                      <a:rPr lang="en-US" baseline="0"/>
                      <a:pPr>
                        <a:defRPr/>
                      </a:pPr>
                      <a:t>[PERCENTAGE]</a:t>
                    </a:fld>
                    <a:endParaRPr lang="en-US" baseline="0"/>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fr-FR"/>
                </a:p>
              </c:txPr>
              <c:dLblPos val="bestFit"/>
              <c:showLegendKey val="0"/>
              <c:showVal val="0"/>
              <c:showCatName val="1"/>
              <c:showSerName val="0"/>
              <c:showPercent val="1"/>
              <c:showBubbleSize val="0"/>
              <c:extLst>
                <c:ext xmlns:c15="http://schemas.microsoft.com/office/drawing/2012/chart" uri="{CE6537A1-D6FC-4f65-9D91-7224C49458BB}">
                  <c15:layout>
                    <c:manualLayout>
                      <c:w val="0.17694147851184852"/>
                      <c:h val="0.14366524244455969"/>
                    </c:manualLayout>
                  </c15:layout>
                  <c15:dlblFieldTable/>
                  <c15:showDataLabelsRange val="0"/>
                </c:ext>
                <c:ext xmlns:c16="http://schemas.microsoft.com/office/drawing/2014/chart" uri="{C3380CC4-5D6E-409C-BE32-E72D297353CC}">
                  <c16:uniqueId val="{00000003-622C-44A9-8C83-17E6765E1F44}"/>
                </c:ext>
              </c:extLst>
            </c:dLbl>
            <c:dLbl>
              <c:idx val="2"/>
              <c:layout>
                <c:manualLayout>
                  <c:x val="5.8782461014328831E-2"/>
                  <c:y val="0.15042568533441283"/>
                </c:manualLayout>
              </c:layout>
              <c:tx>
                <c:rich>
                  <a:bodyPr/>
                  <a:lstStyle/>
                  <a:p>
                    <a:r>
                      <a:rPr lang="en-US" baseline="0"/>
                      <a:t>Fat
</a:t>
                    </a:r>
                    <a:fld id="{AC4586C2-9665-40F4-B967-9FB3F802DC51}"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622C-44A9-8C83-17E6765E1F44}"/>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D12'!$I$36:$K$36</c:f>
              <c:numCache>
                <c:formatCode>0.00</c:formatCode>
                <c:ptCount val="3"/>
                <c:pt idx="0">
                  <c:v>188.68699999999998</c:v>
                </c:pt>
                <c:pt idx="1">
                  <c:v>167.55199999999999</c:v>
                </c:pt>
                <c:pt idx="2">
                  <c:v>40.798000000000002</c:v>
                </c:pt>
              </c:numCache>
            </c:numRef>
          </c:val>
          <c:extLst>
            <c:ext xmlns:c16="http://schemas.microsoft.com/office/drawing/2014/chart" uri="{C3380CC4-5D6E-409C-BE32-E72D297353CC}">
              <c16:uniqueId val="{00000006-622C-44A9-8C83-17E6765E1F4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Weigth</a:t>
            </a:r>
            <a:r>
              <a:rPr lang="fr-FR" baseline="0"/>
              <a:t> loss</a:t>
            </a:r>
            <a:endParaRPr lang="fr-FR"/>
          </a:p>
        </c:rich>
      </c:tx>
      <c:layout>
        <c:manualLayout>
          <c:xMode val="edge"/>
          <c:yMode val="edge"/>
          <c:x val="0.37603082856295611"/>
          <c:y val="2.3571799515720162E-2"/>
        </c:manualLayout>
      </c:layout>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FBC-45E3-A8FC-6C0F2BE9E46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FBC-45E3-A8FC-6C0F2BE9E46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FBC-45E3-A8FC-6C0F2BE9E46E}"/>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4FBC-45E3-A8FC-6C0F2BE9E46E}"/>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4FBC-45E3-A8FC-6C0F2BE9E46E}"/>
                </c:ext>
              </c:extLst>
            </c:dLbl>
            <c:dLbl>
              <c:idx val="2"/>
              <c:layout>
                <c:manualLayout>
                  <c:x val="4.5423741651839773E-2"/>
                  <c:y val="0.16144863742006468"/>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4FBC-45E3-A8FC-6C0F2BE9E46E}"/>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D12'!$I$39:$K$39</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4FBC-45E3-A8FC-6C0F2BE9E46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Recomposition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dLbl>
              <c:idx val="0"/>
              <c:layout>
                <c:manualLayout>
                  <c:x val="-0.17704711802685405"/>
                  <c:y val="9.376010160485187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a:t>
                    </a:r>
                  </a:p>
                  <a:p>
                    <a:pPr>
                      <a:defRPr sz="1000" b="1" i="0" u="none" strike="noStrike" kern="1200" baseline="0">
                        <a:solidFill>
                          <a:schemeClr val="lt1"/>
                        </a:solidFill>
                        <a:latin typeface="+mn-lt"/>
                        <a:ea typeface="+mn-ea"/>
                        <a:cs typeface="+mn-cs"/>
                      </a:defRPr>
                    </a:pPr>
                    <a:fld id="{78E0EA12-C097-4952-9027-04DC599FAC58}"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layout>
                    <c:manualLayout>
                      <c:w val="0.12064206445579412"/>
                      <c:h val="0.12943686104713192"/>
                    </c:manualLayout>
                  </c15:layout>
                  <c15:dlblFieldTable/>
                  <c15:showDataLabelsRange val="0"/>
                </c:ext>
                <c:ext xmlns:c16="http://schemas.microsoft.com/office/drawing/2014/chart" uri="{C3380CC4-5D6E-409C-BE32-E72D297353CC}">
                  <c16:uniqueId val="{00000001-02C5-44BE-8E64-1D4E0F524105}"/>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8C2DFE6E-B98B-47DB-9170-0D3E8FF9BA89}"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02C5-44BE-8E64-1D4E0F524105}"/>
                </c:ext>
              </c:extLst>
            </c:dLbl>
            <c:dLbl>
              <c:idx val="2"/>
              <c:layout>
                <c:manualLayout>
                  <c:x val="0.10500174409922035"/>
                  <c:y val="0.19268395802726243"/>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Fat</a:t>
                    </a:r>
                  </a:p>
                  <a:p>
                    <a:pPr>
                      <a:defRPr sz="1000" b="1" i="0" u="none" strike="noStrike" kern="1200" baseline="0">
                        <a:solidFill>
                          <a:schemeClr val="lt1"/>
                        </a:solidFill>
                        <a:latin typeface="+mn-lt"/>
                        <a:ea typeface="+mn-ea"/>
                        <a:cs typeface="+mn-cs"/>
                      </a:defRPr>
                    </a:pPr>
                    <a:fld id="{E5C9F353-E119-4B35-8DB9-979DD2E9D43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1"/>
              <c:showSerName val="0"/>
              <c:showPercent val="1"/>
              <c:showBubbleSize val="0"/>
              <c:extLst>
                <c:ext xmlns:c15="http://schemas.microsoft.com/office/drawing/2012/chart" uri="{CE6537A1-D6FC-4f65-9D91-7224C49458BB}">
                  <c15:layout>
                    <c:manualLayout>
                      <c:w val="9.6806488638956453E-2"/>
                      <c:h val="0.12943686104713192"/>
                    </c:manualLayout>
                  </c15:layout>
                  <c15:dlblFieldTable/>
                  <c15:showDataLabelsRange val="0"/>
                </c:ext>
                <c:ext xmlns:c16="http://schemas.microsoft.com/office/drawing/2014/chart" uri="{C3380CC4-5D6E-409C-BE32-E72D297353CC}">
                  <c16:uniqueId val="{00000005-02C5-44BE-8E64-1D4E0F524105}"/>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D12'!$I$3:$K$3</c:f>
              <c:strCache>
                <c:ptCount val="3"/>
                <c:pt idx="0">
                  <c:v>Prot</c:v>
                </c:pt>
                <c:pt idx="1">
                  <c:v>Carb</c:v>
                </c:pt>
                <c:pt idx="2">
                  <c:v>Fat</c:v>
                </c:pt>
              </c:strCache>
            </c:strRef>
          </c:cat>
          <c:val>
            <c:numRef>
              <c:f>'Eaten D12'!$I$40:$K$40</c:f>
              <c:numCache>
                <c:formatCode>0.00</c:formatCode>
                <c:ptCount val="3"/>
                <c:pt idx="0">
                  <c:v>169.86597099999997</c:v>
                </c:pt>
                <c:pt idx="1">
                  <c:v>184.63692499999999</c:v>
                </c:pt>
                <c:pt idx="2">
                  <c:v>51.69833899999999</c:v>
                </c:pt>
              </c:numCache>
            </c:numRef>
          </c:val>
          <c:extLst>
            <c:ext xmlns:c16="http://schemas.microsoft.com/office/drawing/2014/chart" uri="{C3380CC4-5D6E-409C-BE32-E72D297353CC}">
              <c16:uniqueId val="{00000006-02C5-44BE-8E64-1D4E0F524105}"/>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Muscle</a:t>
            </a:r>
            <a:r>
              <a:rPr lang="fr-FR" baseline="0"/>
              <a:t> gain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D12'!$I$3:$K$3</c:f>
              <c:strCache>
                <c:ptCount val="3"/>
                <c:pt idx="0">
                  <c:v>Prot</c:v>
                </c:pt>
                <c:pt idx="1">
                  <c:v>Carb</c:v>
                </c:pt>
                <c:pt idx="2">
                  <c:v>Fat</c:v>
                </c:pt>
              </c:strCache>
            </c:strRef>
          </c:cat>
          <c:val>
            <c:numRef>
              <c:f>'Eaten D12'!$I$41:$K$41</c:f>
              <c:numCache>
                <c:formatCode>0.00</c:formatCode>
                <c:ptCount val="3"/>
                <c:pt idx="0">
                  <c:v>162.48049400000002</c:v>
                </c:pt>
                <c:pt idx="1">
                  <c:v>295.41907999999995</c:v>
                </c:pt>
                <c:pt idx="2">
                  <c:v>73.854769999999988</c:v>
                </c:pt>
              </c:numCache>
            </c:numRef>
          </c:val>
          <c:extLst>
            <c:ext xmlns:c16="http://schemas.microsoft.com/office/drawing/2014/chart" uri="{C3380CC4-5D6E-409C-BE32-E72D297353CC}">
              <c16:uniqueId val="{00000000-7A28-4193-868E-8C78BAE40C72}"/>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Fat loss</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C24-4E79-96C4-B0FA457BD7C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C24-4E79-96C4-B0FA457BD7C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C24-4E79-96C4-B0FA457BD7C1}"/>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4C24-4E79-96C4-B0FA457BD7C1}"/>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4C24-4E79-96C4-B0FA457BD7C1}"/>
                </c:ext>
              </c:extLst>
            </c:dLbl>
            <c:dLbl>
              <c:idx val="2"/>
              <c:layout>
                <c:manualLayout>
                  <c:x val="7.6125037837971171E-2"/>
                  <c:y val="0.16144853048854144"/>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4C24-4E79-96C4-B0FA457BD7C1}"/>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D12'!$I$39:$K$39</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4C24-4E79-96C4-B0FA457BD7C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AAC-4D7E-8225-C7E733BE46A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AAC-4D7E-8225-C7E733BE46A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AAC-4D7E-8225-C7E733BE46AB}"/>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BAAC-4D7E-8225-C7E733BE46AB}"/>
                </c:ext>
              </c:extLst>
            </c:dLbl>
            <c:dLbl>
              <c:idx val="1"/>
              <c:layout>
                <c:manualLayout>
                  <c:x val="0.21030630918659338"/>
                  <c:y val="-9.057712621285532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r>
                      <a:rPr lang="en-US" baseline="0"/>
                      <a:t>
</a:t>
                    </a:r>
                    <a:fld id="{D116BD1E-0696-4A34-8F48-98635DC4A8B4}" type="PERCENTAGE">
                      <a:rPr lang="en-US" baseline="0"/>
                      <a:pPr>
                        <a:defRPr/>
                      </a:pPr>
                      <a:t>[PERCENTAGE]</a:t>
                    </a:fld>
                    <a:endParaRPr lang="en-US" baseline="0"/>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fr-FR"/>
                </a:p>
              </c:txPr>
              <c:dLblPos val="bestFit"/>
              <c:showLegendKey val="0"/>
              <c:showVal val="0"/>
              <c:showCatName val="1"/>
              <c:showSerName val="0"/>
              <c:showPercent val="1"/>
              <c:showBubbleSize val="0"/>
              <c:extLst>
                <c:ext xmlns:c15="http://schemas.microsoft.com/office/drawing/2012/chart" uri="{CE6537A1-D6FC-4f65-9D91-7224C49458BB}">
                  <c15:layout>
                    <c:manualLayout>
                      <c:w val="0.17694147851184852"/>
                      <c:h val="0.14366524244455969"/>
                    </c:manualLayout>
                  </c15:layout>
                  <c15:dlblFieldTable/>
                  <c15:showDataLabelsRange val="0"/>
                </c:ext>
                <c:ext xmlns:c16="http://schemas.microsoft.com/office/drawing/2014/chart" uri="{C3380CC4-5D6E-409C-BE32-E72D297353CC}">
                  <c16:uniqueId val="{00000003-BAAC-4D7E-8225-C7E733BE46AB}"/>
                </c:ext>
              </c:extLst>
            </c:dLbl>
            <c:dLbl>
              <c:idx val="2"/>
              <c:layout>
                <c:manualLayout>
                  <c:x val="5.8782461014328831E-2"/>
                  <c:y val="0.15042568533441283"/>
                </c:manualLayout>
              </c:layout>
              <c:tx>
                <c:rich>
                  <a:bodyPr/>
                  <a:lstStyle/>
                  <a:p>
                    <a:r>
                      <a:rPr lang="en-US" baseline="0"/>
                      <a:t>Fat
</a:t>
                    </a:r>
                    <a:fld id="{AC4586C2-9665-40F4-B967-9FB3F802DC51}"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BAAC-4D7E-8225-C7E733BE46AB}"/>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D13'!$I$37:$K$37</c:f>
              <c:numCache>
                <c:formatCode>0.00</c:formatCode>
                <c:ptCount val="3"/>
                <c:pt idx="0">
                  <c:v>183.78900000000002</c:v>
                </c:pt>
                <c:pt idx="1">
                  <c:v>142.68</c:v>
                </c:pt>
                <c:pt idx="2">
                  <c:v>46.612000000000002</c:v>
                </c:pt>
              </c:numCache>
            </c:numRef>
          </c:val>
          <c:extLst>
            <c:ext xmlns:c16="http://schemas.microsoft.com/office/drawing/2014/chart" uri="{C3380CC4-5D6E-409C-BE32-E72D297353CC}">
              <c16:uniqueId val="{00000006-BAAC-4D7E-8225-C7E733BE46A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Weigth</a:t>
            </a:r>
            <a:r>
              <a:rPr lang="fr-FR" baseline="0"/>
              <a:t> loss</a:t>
            </a:r>
            <a:endParaRPr lang="fr-FR"/>
          </a:p>
        </c:rich>
      </c:tx>
      <c:layout>
        <c:manualLayout>
          <c:xMode val="edge"/>
          <c:yMode val="edge"/>
          <c:x val="0.37603082856295611"/>
          <c:y val="2.3571799515720162E-2"/>
        </c:manualLayout>
      </c:layout>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FEE-4573-BEE2-C34B98D6E80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FEE-4573-BEE2-C34B98D6E80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FEE-4573-BEE2-C34B98D6E807}"/>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6FEE-4573-BEE2-C34B98D6E807}"/>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6FEE-4573-BEE2-C34B98D6E807}"/>
                </c:ext>
              </c:extLst>
            </c:dLbl>
            <c:dLbl>
              <c:idx val="2"/>
              <c:layout>
                <c:manualLayout>
                  <c:x val="4.5423741651839773E-2"/>
                  <c:y val="0.16144863742006468"/>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6FEE-4573-BEE2-C34B98D6E807}"/>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D13'!$I$40:$K$40</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6FEE-4573-BEE2-C34B98D6E807}"/>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Recomposition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dLbl>
              <c:idx val="0"/>
              <c:layout>
                <c:manualLayout>
                  <c:x val="-0.17704711802685405"/>
                  <c:y val="9.376010160485187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a:t>
                    </a:r>
                  </a:p>
                  <a:p>
                    <a:pPr>
                      <a:defRPr sz="1000" b="1" i="0" u="none" strike="noStrike" kern="1200" baseline="0">
                        <a:solidFill>
                          <a:schemeClr val="lt1"/>
                        </a:solidFill>
                        <a:latin typeface="+mn-lt"/>
                        <a:ea typeface="+mn-ea"/>
                        <a:cs typeface="+mn-cs"/>
                      </a:defRPr>
                    </a:pPr>
                    <a:fld id="{78E0EA12-C097-4952-9027-04DC599FAC58}"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layout>
                    <c:manualLayout>
                      <c:w val="0.12064206445579412"/>
                      <c:h val="0.12943686104713192"/>
                    </c:manualLayout>
                  </c15:layout>
                  <c15:dlblFieldTable/>
                  <c15:showDataLabelsRange val="0"/>
                </c:ext>
                <c:ext xmlns:c16="http://schemas.microsoft.com/office/drawing/2014/chart" uri="{C3380CC4-5D6E-409C-BE32-E72D297353CC}">
                  <c16:uniqueId val="{00000000-2482-4F76-BA4C-5EB45BBDF054}"/>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8C2DFE6E-B98B-47DB-9170-0D3E8FF9BA89}"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2482-4F76-BA4C-5EB45BBDF054}"/>
                </c:ext>
              </c:extLst>
            </c:dLbl>
            <c:dLbl>
              <c:idx val="2"/>
              <c:layout>
                <c:manualLayout>
                  <c:x val="0.10500174409922035"/>
                  <c:y val="0.19268395802726243"/>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Fat</a:t>
                    </a:r>
                  </a:p>
                  <a:p>
                    <a:pPr>
                      <a:defRPr sz="1000" b="1" i="0" u="none" strike="noStrike" kern="1200" baseline="0">
                        <a:solidFill>
                          <a:schemeClr val="lt1"/>
                        </a:solidFill>
                        <a:latin typeface="+mn-lt"/>
                        <a:ea typeface="+mn-ea"/>
                        <a:cs typeface="+mn-cs"/>
                      </a:defRPr>
                    </a:pPr>
                    <a:fld id="{E5C9F353-E119-4B35-8DB9-979DD2E9D43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1"/>
              <c:showSerName val="0"/>
              <c:showPercent val="1"/>
              <c:showBubbleSize val="0"/>
              <c:extLst>
                <c:ext xmlns:c15="http://schemas.microsoft.com/office/drawing/2012/chart" uri="{CE6537A1-D6FC-4f65-9D91-7224C49458BB}">
                  <c15:layout>
                    <c:manualLayout>
                      <c:w val="9.6806488638956453E-2"/>
                      <c:h val="0.12943686104713192"/>
                    </c:manualLayout>
                  </c15:layout>
                  <c15:dlblFieldTable/>
                  <c15:showDataLabelsRange val="0"/>
                </c:ext>
                <c:ext xmlns:c16="http://schemas.microsoft.com/office/drawing/2014/chart" uri="{C3380CC4-5D6E-409C-BE32-E72D297353CC}">
                  <c16:uniqueId val="{00000002-2482-4F76-BA4C-5EB45BBDF054}"/>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D13'!$I$3:$K$3</c:f>
              <c:strCache>
                <c:ptCount val="3"/>
                <c:pt idx="0">
                  <c:v>Prot</c:v>
                </c:pt>
                <c:pt idx="1">
                  <c:v>Carb</c:v>
                </c:pt>
                <c:pt idx="2">
                  <c:v>Fat</c:v>
                </c:pt>
              </c:strCache>
            </c:strRef>
          </c:cat>
          <c:val>
            <c:numRef>
              <c:f>'Eaten D13'!$I$41:$K$41</c:f>
              <c:numCache>
                <c:formatCode>0.00</c:formatCode>
                <c:ptCount val="3"/>
                <c:pt idx="0">
                  <c:v>169.86597099999997</c:v>
                </c:pt>
                <c:pt idx="1">
                  <c:v>184.63692499999999</c:v>
                </c:pt>
                <c:pt idx="2">
                  <c:v>51.69833899999999</c:v>
                </c:pt>
              </c:numCache>
            </c:numRef>
          </c:val>
          <c:extLst>
            <c:ext xmlns:c16="http://schemas.microsoft.com/office/drawing/2014/chart" uri="{C3380CC4-5D6E-409C-BE32-E72D297353CC}">
              <c16:uniqueId val="{00000003-2482-4F76-BA4C-5EB45BBDF05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Muscle</a:t>
            </a:r>
            <a:r>
              <a:rPr lang="fr-FR" baseline="0"/>
              <a:t> gain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D13'!$I$3:$K$3</c:f>
              <c:strCache>
                <c:ptCount val="3"/>
                <c:pt idx="0">
                  <c:v>Prot</c:v>
                </c:pt>
                <c:pt idx="1">
                  <c:v>Carb</c:v>
                </c:pt>
                <c:pt idx="2">
                  <c:v>Fat</c:v>
                </c:pt>
              </c:strCache>
            </c:strRef>
          </c:cat>
          <c:val>
            <c:numRef>
              <c:f>'Eaten D13'!$I$42:$K$42</c:f>
              <c:numCache>
                <c:formatCode>0.00</c:formatCode>
                <c:ptCount val="3"/>
                <c:pt idx="0">
                  <c:v>162.48049400000002</c:v>
                </c:pt>
                <c:pt idx="1">
                  <c:v>295.41907999999995</c:v>
                </c:pt>
                <c:pt idx="2">
                  <c:v>73.854769999999988</c:v>
                </c:pt>
              </c:numCache>
            </c:numRef>
          </c:val>
          <c:extLst>
            <c:ext xmlns:c16="http://schemas.microsoft.com/office/drawing/2014/chart" uri="{C3380CC4-5D6E-409C-BE32-E72D297353CC}">
              <c16:uniqueId val="{00000000-76C7-4540-8D91-941ECB790C47}"/>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Fat loss</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958-40DF-BC52-E901151E270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958-40DF-BC52-E901151E270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958-40DF-BC52-E901151E2708}"/>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2958-40DF-BC52-E901151E2708}"/>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2958-40DF-BC52-E901151E2708}"/>
                </c:ext>
              </c:extLst>
            </c:dLbl>
            <c:dLbl>
              <c:idx val="2"/>
              <c:layout>
                <c:manualLayout>
                  <c:x val="7.6125037837971171E-2"/>
                  <c:y val="0.16144853048854144"/>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2958-40DF-BC52-E901151E2708}"/>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D13'!$I$40:$K$40</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2958-40DF-BC52-E901151E270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908-4AFC-BFF3-2870BD47322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908-4AFC-BFF3-2870BD47322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908-4AFC-BFF3-2870BD473229}"/>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C908-4AFC-BFF3-2870BD473229}"/>
                </c:ext>
              </c:extLst>
            </c:dLbl>
            <c:dLbl>
              <c:idx val="1"/>
              <c:layout>
                <c:manualLayout>
                  <c:x val="0.21030630918659338"/>
                  <c:y val="-9.057712621285532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r>
                      <a:rPr lang="en-US" baseline="0"/>
                      <a:t>
</a:t>
                    </a:r>
                    <a:fld id="{D116BD1E-0696-4A34-8F48-98635DC4A8B4}" type="PERCENTAGE">
                      <a:rPr lang="en-US" baseline="0"/>
                      <a:pPr>
                        <a:defRPr/>
                      </a:pPr>
                      <a:t>[PERCENTAGE]</a:t>
                    </a:fld>
                    <a:endParaRPr lang="en-US" baseline="0"/>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fr-FR"/>
                </a:p>
              </c:txPr>
              <c:dLblPos val="bestFit"/>
              <c:showLegendKey val="0"/>
              <c:showVal val="0"/>
              <c:showCatName val="1"/>
              <c:showSerName val="0"/>
              <c:showPercent val="1"/>
              <c:showBubbleSize val="0"/>
              <c:extLst>
                <c:ext xmlns:c15="http://schemas.microsoft.com/office/drawing/2012/chart" uri="{CE6537A1-D6FC-4f65-9D91-7224C49458BB}">
                  <c15:layout>
                    <c:manualLayout>
                      <c:w val="0.17694147851184852"/>
                      <c:h val="0.14366524244455969"/>
                    </c:manualLayout>
                  </c15:layout>
                  <c15:dlblFieldTable/>
                  <c15:showDataLabelsRange val="0"/>
                </c:ext>
                <c:ext xmlns:c16="http://schemas.microsoft.com/office/drawing/2014/chart" uri="{C3380CC4-5D6E-409C-BE32-E72D297353CC}">
                  <c16:uniqueId val="{00000003-C908-4AFC-BFF3-2870BD473229}"/>
                </c:ext>
              </c:extLst>
            </c:dLbl>
            <c:dLbl>
              <c:idx val="2"/>
              <c:layout>
                <c:manualLayout>
                  <c:x val="5.8782461014328831E-2"/>
                  <c:y val="0.15042568533441283"/>
                </c:manualLayout>
              </c:layout>
              <c:tx>
                <c:rich>
                  <a:bodyPr/>
                  <a:lstStyle/>
                  <a:p>
                    <a:r>
                      <a:rPr lang="en-US" baseline="0"/>
                      <a:t>Fat
</a:t>
                    </a:r>
                    <a:fld id="{AC4586C2-9665-40F4-B967-9FB3F802DC51}"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C908-4AFC-BFF3-2870BD473229}"/>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D14'!$I$40:$K$40</c:f>
              <c:numCache>
                <c:formatCode>0.00</c:formatCode>
                <c:ptCount val="3"/>
                <c:pt idx="0">
                  <c:v>147.34</c:v>
                </c:pt>
                <c:pt idx="1">
                  <c:v>145.06</c:v>
                </c:pt>
                <c:pt idx="2">
                  <c:v>45.045999999999999</c:v>
                </c:pt>
              </c:numCache>
            </c:numRef>
          </c:val>
          <c:extLst>
            <c:ext xmlns:c16="http://schemas.microsoft.com/office/drawing/2014/chart" uri="{C3380CC4-5D6E-409C-BE32-E72D297353CC}">
              <c16:uniqueId val="{00000006-C908-4AFC-BFF3-2870BD47322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Weigth</a:t>
            </a:r>
            <a:r>
              <a:rPr lang="fr-FR" baseline="0"/>
              <a:t> loss</a:t>
            </a:r>
            <a:endParaRPr lang="fr-FR"/>
          </a:p>
        </c:rich>
      </c:tx>
      <c:layout>
        <c:manualLayout>
          <c:xMode val="edge"/>
          <c:yMode val="edge"/>
          <c:x val="0.37603082856295611"/>
          <c:y val="2.3571799515720162E-2"/>
        </c:manualLayout>
      </c:layout>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871-443B-BC35-93E801FAC81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871-443B-BC35-93E801FAC81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871-443B-BC35-93E801FAC818}"/>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5871-443B-BC35-93E801FAC818}"/>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5871-443B-BC35-93E801FAC818}"/>
                </c:ext>
              </c:extLst>
            </c:dLbl>
            <c:dLbl>
              <c:idx val="2"/>
              <c:layout>
                <c:manualLayout>
                  <c:x val="4.5423741651839773E-2"/>
                  <c:y val="0.16144863742006468"/>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5871-443B-BC35-93E801FAC818}"/>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D14'!$I$43:$K$43</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5871-443B-BC35-93E801FAC81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Recomposition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dLbl>
              <c:idx val="0"/>
              <c:layout>
                <c:manualLayout>
                  <c:x val="-0.17704711802685405"/>
                  <c:y val="9.376010160485187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a:t>
                    </a:r>
                  </a:p>
                  <a:p>
                    <a:pPr>
                      <a:defRPr sz="1000" b="1" i="0" u="none" strike="noStrike" kern="1200" baseline="0">
                        <a:solidFill>
                          <a:schemeClr val="lt1"/>
                        </a:solidFill>
                        <a:latin typeface="+mn-lt"/>
                        <a:ea typeface="+mn-ea"/>
                        <a:cs typeface="+mn-cs"/>
                      </a:defRPr>
                    </a:pPr>
                    <a:fld id="{78E0EA12-C097-4952-9027-04DC599FAC58}"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layout>
                    <c:manualLayout>
                      <c:w val="0.12064206445579412"/>
                      <c:h val="0.12943686104713192"/>
                    </c:manualLayout>
                  </c15:layout>
                  <c15:dlblFieldTable/>
                  <c15:showDataLabelsRange val="0"/>
                </c:ext>
                <c:ext xmlns:c16="http://schemas.microsoft.com/office/drawing/2014/chart" uri="{C3380CC4-5D6E-409C-BE32-E72D297353CC}">
                  <c16:uniqueId val="{00000000-E48D-4151-A070-3D82BC3C5385}"/>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8C2DFE6E-B98B-47DB-9170-0D3E8FF9BA89}"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E48D-4151-A070-3D82BC3C5385}"/>
                </c:ext>
              </c:extLst>
            </c:dLbl>
            <c:dLbl>
              <c:idx val="2"/>
              <c:layout>
                <c:manualLayout>
                  <c:x val="0.10500174409922035"/>
                  <c:y val="0.19268395802726243"/>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Fat</a:t>
                    </a:r>
                  </a:p>
                  <a:p>
                    <a:pPr>
                      <a:defRPr sz="1000" b="1" i="0" u="none" strike="noStrike" kern="1200" baseline="0">
                        <a:solidFill>
                          <a:schemeClr val="lt1"/>
                        </a:solidFill>
                        <a:latin typeface="+mn-lt"/>
                        <a:ea typeface="+mn-ea"/>
                        <a:cs typeface="+mn-cs"/>
                      </a:defRPr>
                    </a:pPr>
                    <a:fld id="{E5C9F353-E119-4B35-8DB9-979DD2E9D43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1"/>
              <c:showSerName val="0"/>
              <c:showPercent val="1"/>
              <c:showBubbleSize val="0"/>
              <c:extLst>
                <c:ext xmlns:c15="http://schemas.microsoft.com/office/drawing/2012/chart" uri="{CE6537A1-D6FC-4f65-9D91-7224C49458BB}">
                  <c15:layout>
                    <c:manualLayout>
                      <c:w val="9.6806488638956453E-2"/>
                      <c:h val="0.12943686104713192"/>
                    </c:manualLayout>
                  </c15:layout>
                  <c15:dlblFieldTable/>
                  <c15:showDataLabelsRange val="0"/>
                </c:ext>
                <c:ext xmlns:c16="http://schemas.microsoft.com/office/drawing/2014/chart" uri="{C3380CC4-5D6E-409C-BE32-E72D297353CC}">
                  <c16:uniqueId val="{00000002-E48D-4151-A070-3D82BC3C5385}"/>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D14'!$I$3:$K$3</c:f>
              <c:strCache>
                <c:ptCount val="3"/>
                <c:pt idx="0">
                  <c:v>Prot</c:v>
                </c:pt>
                <c:pt idx="1">
                  <c:v>Carb</c:v>
                </c:pt>
                <c:pt idx="2">
                  <c:v>Fat</c:v>
                </c:pt>
              </c:strCache>
            </c:strRef>
          </c:cat>
          <c:val>
            <c:numRef>
              <c:f>'Eaten D14'!$I$44:$K$44</c:f>
              <c:numCache>
                <c:formatCode>0.00</c:formatCode>
                <c:ptCount val="3"/>
                <c:pt idx="0">
                  <c:v>169.86597099999997</c:v>
                </c:pt>
                <c:pt idx="1">
                  <c:v>184.63692499999999</c:v>
                </c:pt>
                <c:pt idx="2">
                  <c:v>51.69833899999999</c:v>
                </c:pt>
              </c:numCache>
            </c:numRef>
          </c:val>
          <c:extLst>
            <c:ext xmlns:c16="http://schemas.microsoft.com/office/drawing/2014/chart" uri="{C3380CC4-5D6E-409C-BE32-E72D297353CC}">
              <c16:uniqueId val="{00000003-E48D-4151-A070-3D82BC3C5385}"/>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Muscle</a:t>
            </a:r>
            <a:r>
              <a:rPr lang="fr-FR" baseline="0"/>
              <a:t> gain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D14'!$I$3:$K$3</c:f>
              <c:strCache>
                <c:ptCount val="3"/>
                <c:pt idx="0">
                  <c:v>Prot</c:v>
                </c:pt>
                <c:pt idx="1">
                  <c:v>Carb</c:v>
                </c:pt>
                <c:pt idx="2">
                  <c:v>Fat</c:v>
                </c:pt>
              </c:strCache>
            </c:strRef>
          </c:cat>
          <c:val>
            <c:numRef>
              <c:f>'Eaten D14'!$I$45:$K$45</c:f>
              <c:numCache>
                <c:formatCode>0.00</c:formatCode>
                <c:ptCount val="3"/>
                <c:pt idx="0">
                  <c:v>162.48049400000002</c:v>
                </c:pt>
                <c:pt idx="1">
                  <c:v>295.41907999999995</c:v>
                </c:pt>
                <c:pt idx="2">
                  <c:v>73.854769999999988</c:v>
                </c:pt>
              </c:numCache>
            </c:numRef>
          </c:val>
          <c:extLst>
            <c:ext xmlns:c16="http://schemas.microsoft.com/office/drawing/2014/chart" uri="{C3380CC4-5D6E-409C-BE32-E72D297353CC}">
              <c16:uniqueId val="{00000000-A38D-4BBF-A7AD-AEBB98BFD4C0}"/>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Fat loss</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D8D-4B5D-B034-4EA0B2C056E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D8D-4B5D-B034-4EA0B2C056E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D8D-4B5D-B034-4EA0B2C056E0}"/>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4D8D-4B5D-B034-4EA0B2C056E0}"/>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4D8D-4B5D-B034-4EA0B2C056E0}"/>
                </c:ext>
              </c:extLst>
            </c:dLbl>
            <c:dLbl>
              <c:idx val="2"/>
              <c:layout>
                <c:manualLayout>
                  <c:x val="7.6125037837971171E-2"/>
                  <c:y val="0.16144853048854144"/>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4D8D-4B5D-B034-4EA0B2C056E0}"/>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D14'!$I$43:$K$43</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4D8D-4B5D-B034-4EA0B2C056E0}"/>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B32-4266-8FE5-7FA7E9BCC51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B32-4266-8FE5-7FA7E9BCC51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B32-4266-8FE5-7FA7E9BCC514}"/>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EB32-4266-8FE5-7FA7E9BCC514}"/>
                </c:ext>
              </c:extLst>
            </c:dLbl>
            <c:dLbl>
              <c:idx val="1"/>
              <c:layout>
                <c:manualLayout>
                  <c:x val="0.21030630918659338"/>
                  <c:y val="-9.057712621285532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r>
                      <a:rPr lang="en-US" baseline="0"/>
                      <a:t>
</a:t>
                    </a:r>
                    <a:fld id="{D116BD1E-0696-4A34-8F48-98635DC4A8B4}" type="PERCENTAGE">
                      <a:rPr lang="en-US" baseline="0"/>
                      <a:pPr>
                        <a:defRPr/>
                      </a:pPr>
                      <a:t>[PERCENTAGE]</a:t>
                    </a:fld>
                    <a:endParaRPr lang="en-US" baseline="0"/>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fr-FR"/>
                </a:p>
              </c:txPr>
              <c:dLblPos val="bestFit"/>
              <c:showLegendKey val="0"/>
              <c:showVal val="0"/>
              <c:showCatName val="1"/>
              <c:showSerName val="0"/>
              <c:showPercent val="1"/>
              <c:showBubbleSize val="0"/>
              <c:extLst>
                <c:ext xmlns:c15="http://schemas.microsoft.com/office/drawing/2012/chart" uri="{CE6537A1-D6FC-4f65-9D91-7224C49458BB}">
                  <c15:layout>
                    <c:manualLayout>
                      <c:w val="0.17694147851184852"/>
                      <c:h val="0.14366524244455969"/>
                    </c:manualLayout>
                  </c15:layout>
                  <c15:dlblFieldTable/>
                  <c15:showDataLabelsRange val="0"/>
                </c:ext>
                <c:ext xmlns:c16="http://schemas.microsoft.com/office/drawing/2014/chart" uri="{C3380CC4-5D6E-409C-BE32-E72D297353CC}">
                  <c16:uniqueId val="{00000003-EB32-4266-8FE5-7FA7E9BCC514}"/>
                </c:ext>
              </c:extLst>
            </c:dLbl>
            <c:dLbl>
              <c:idx val="2"/>
              <c:layout>
                <c:manualLayout>
                  <c:x val="5.8782461014328831E-2"/>
                  <c:y val="0.15042568533441283"/>
                </c:manualLayout>
              </c:layout>
              <c:tx>
                <c:rich>
                  <a:bodyPr/>
                  <a:lstStyle/>
                  <a:p>
                    <a:r>
                      <a:rPr lang="en-US" baseline="0"/>
                      <a:t>Fat
</a:t>
                    </a:r>
                    <a:fld id="{AC4586C2-9665-40F4-B967-9FB3F802DC51}"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EB32-4266-8FE5-7FA7E9BCC514}"/>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D15'!$I$40:$K$40</c:f>
              <c:numCache>
                <c:formatCode>0.00</c:formatCode>
                <c:ptCount val="3"/>
                <c:pt idx="0">
                  <c:v>186.804</c:v>
                </c:pt>
                <c:pt idx="1">
                  <c:v>145.35</c:v>
                </c:pt>
                <c:pt idx="2">
                  <c:v>37.206000000000003</c:v>
                </c:pt>
              </c:numCache>
            </c:numRef>
          </c:val>
          <c:extLst>
            <c:ext xmlns:c16="http://schemas.microsoft.com/office/drawing/2014/chart" uri="{C3380CC4-5D6E-409C-BE32-E72D297353CC}">
              <c16:uniqueId val="{00000006-EB32-4266-8FE5-7FA7E9BCC51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Weigth</a:t>
            </a:r>
            <a:r>
              <a:rPr lang="fr-FR" baseline="0"/>
              <a:t> loss</a:t>
            </a:r>
            <a:endParaRPr lang="fr-FR"/>
          </a:p>
        </c:rich>
      </c:tx>
      <c:layout>
        <c:manualLayout>
          <c:xMode val="edge"/>
          <c:yMode val="edge"/>
          <c:x val="0.37603082856295611"/>
          <c:y val="2.3571799515720162E-2"/>
        </c:manualLayout>
      </c:layout>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7EC-4E69-A5D8-49233400E7E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7EC-4E69-A5D8-49233400E7E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7EC-4E69-A5D8-49233400E7E8}"/>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57EC-4E69-A5D8-49233400E7E8}"/>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57EC-4E69-A5D8-49233400E7E8}"/>
                </c:ext>
              </c:extLst>
            </c:dLbl>
            <c:dLbl>
              <c:idx val="2"/>
              <c:layout>
                <c:manualLayout>
                  <c:x val="4.5423741651839773E-2"/>
                  <c:y val="0.16144863742006468"/>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57EC-4E69-A5D8-49233400E7E8}"/>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D15'!$I$43:$K$43</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57EC-4E69-A5D8-49233400E7E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Recomposition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dLbl>
              <c:idx val="0"/>
              <c:layout>
                <c:manualLayout>
                  <c:x val="-0.17704711802685405"/>
                  <c:y val="9.376010160485187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a:t>
                    </a:r>
                  </a:p>
                  <a:p>
                    <a:pPr>
                      <a:defRPr sz="1000" b="1" i="0" u="none" strike="noStrike" kern="1200" baseline="0">
                        <a:solidFill>
                          <a:schemeClr val="lt1"/>
                        </a:solidFill>
                        <a:latin typeface="+mn-lt"/>
                        <a:ea typeface="+mn-ea"/>
                        <a:cs typeface="+mn-cs"/>
                      </a:defRPr>
                    </a:pPr>
                    <a:fld id="{78E0EA12-C097-4952-9027-04DC599FAC58}"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layout>
                    <c:manualLayout>
                      <c:w val="0.12064206445579412"/>
                      <c:h val="0.12943686104713192"/>
                    </c:manualLayout>
                  </c15:layout>
                  <c15:dlblFieldTable/>
                  <c15:showDataLabelsRange val="0"/>
                </c:ext>
                <c:ext xmlns:c16="http://schemas.microsoft.com/office/drawing/2014/chart" uri="{C3380CC4-5D6E-409C-BE32-E72D297353CC}">
                  <c16:uniqueId val="{00000000-1346-484B-95CA-D76053A10122}"/>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8C2DFE6E-B98B-47DB-9170-0D3E8FF9BA89}"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1346-484B-95CA-D76053A10122}"/>
                </c:ext>
              </c:extLst>
            </c:dLbl>
            <c:dLbl>
              <c:idx val="2"/>
              <c:layout>
                <c:manualLayout>
                  <c:x val="0.10500174409922035"/>
                  <c:y val="0.19268395802726243"/>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Fat</a:t>
                    </a:r>
                  </a:p>
                  <a:p>
                    <a:pPr>
                      <a:defRPr sz="1000" b="1" i="0" u="none" strike="noStrike" kern="1200" baseline="0">
                        <a:solidFill>
                          <a:schemeClr val="lt1"/>
                        </a:solidFill>
                        <a:latin typeface="+mn-lt"/>
                        <a:ea typeface="+mn-ea"/>
                        <a:cs typeface="+mn-cs"/>
                      </a:defRPr>
                    </a:pPr>
                    <a:fld id="{E5C9F353-E119-4B35-8DB9-979DD2E9D43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1"/>
              <c:showSerName val="0"/>
              <c:showPercent val="1"/>
              <c:showBubbleSize val="0"/>
              <c:extLst>
                <c:ext xmlns:c15="http://schemas.microsoft.com/office/drawing/2012/chart" uri="{CE6537A1-D6FC-4f65-9D91-7224C49458BB}">
                  <c15:layout>
                    <c:manualLayout>
                      <c:w val="9.6806488638956453E-2"/>
                      <c:h val="0.12943686104713192"/>
                    </c:manualLayout>
                  </c15:layout>
                  <c15:dlblFieldTable/>
                  <c15:showDataLabelsRange val="0"/>
                </c:ext>
                <c:ext xmlns:c16="http://schemas.microsoft.com/office/drawing/2014/chart" uri="{C3380CC4-5D6E-409C-BE32-E72D297353CC}">
                  <c16:uniqueId val="{00000002-1346-484B-95CA-D76053A10122}"/>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D15'!$I$3:$K$3</c:f>
              <c:strCache>
                <c:ptCount val="3"/>
                <c:pt idx="0">
                  <c:v>Prot</c:v>
                </c:pt>
                <c:pt idx="1">
                  <c:v>Carb</c:v>
                </c:pt>
                <c:pt idx="2">
                  <c:v>Fat</c:v>
                </c:pt>
              </c:strCache>
            </c:strRef>
          </c:cat>
          <c:val>
            <c:numRef>
              <c:f>'Eaten D15'!$I$44:$K$44</c:f>
              <c:numCache>
                <c:formatCode>0.00</c:formatCode>
                <c:ptCount val="3"/>
                <c:pt idx="0">
                  <c:v>169.86597099999997</c:v>
                </c:pt>
                <c:pt idx="1">
                  <c:v>184.63692499999999</c:v>
                </c:pt>
                <c:pt idx="2">
                  <c:v>51.69833899999999</c:v>
                </c:pt>
              </c:numCache>
            </c:numRef>
          </c:val>
          <c:extLst>
            <c:ext xmlns:c16="http://schemas.microsoft.com/office/drawing/2014/chart" uri="{C3380CC4-5D6E-409C-BE32-E72D297353CC}">
              <c16:uniqueId val="{00000003-1346-484B-95CA-D76053A10122}"/>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Muscle</a:t>
            </a:r>
            <a:r>
              <a:rPr lang="fr-FR" baseline="0"/>
              <a:t> gain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D15'!$I$3:$K$3</c:f>
              <c:strCache>
                <c:ptCount val="3"/>
                <c:pt idx="0">
                  <c:v>Prot</c:v>
                </c:pt>
                <c:pt idx="1">
                  <c:v>Carb</c:v>
                </c:pt>
                <c:pt idx="2">
                  <c:v>Fat</c:v>
                </c:pt>
              </c:strCache>
            </c:strRef>
          </c:cat>
          <c:val>
            <c:numRef>
              <c:f>'Eaten D15'!$I$45:$K$45</c:f>
              <c:numCache>
                <c:formatCode>0.00</c:formatCode>
                <c:ptCount val="3"/>
                <c:pt idx="0">
                  <c:v>162.48049400000002</c:v>
                </c:pt>
                <c:pt idx="1">
                  <c:v>295.41907999999995</c:v>
                </c:pt>
                <c:pt idx="2">
                  <c:v>73.854769999999988</c:v>
                </c:pt>
              </c:numCache>
            </c:numRef>
          </c:val>
          <c:extLst>
            <c:ext xmlns:c16="http://schemas.microsoft.com/office/drawing/2014/chart" uri="{C3380CC4-5D6E-409C-BE32-E72D297353CC}">
              <c16:uniqueId val="{00000000-35F5-407A-A9F2-2920DE15A8D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Fat loss</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D1D-4851-893F-F0928E13B9D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D1D-4851-893F-F0928E13B9D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D1D-4851-893F-F0928E13B9DF}"/>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FD1D-4851-893F-F0928E13B9DF}"/>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FD1D-4851-893F-F0928E13B9DF}"/>
                </c:ext>
              </c:extLst>
            </c:dLbl>
            <c:dLbl>
              <c:idx val="2"/>
              <c:layout>
                <c:manualLayout>
                  <c:x val="7.6125037837971171E-2"/>
                  <c:y val="0.16144853048854144"/>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FD1D-4851-893F-F0928E13B9DF}"/>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D15'!$I$43:$K$43</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FD1D-4851-893F-F0928E13B9D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4FF-44E9-A430-75B97C57025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4FF-44E9-A430-75B97C57025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4FF-44E9-A430-75B97C570253}"/>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F4FF-44E9-A430-75B97C570253}"/>
                </c:ext>
              </c:extLst>
            </c:dLbl>
            <c:dLbl>
              <c:idx val="1"/>
              <c:layout>
                <c:manualLayout>
                  <c:x val="0.21030630918659338"/>
                  <c:y val="-9.057712621285532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r>
                      <a:rPr lang="en-US" baseline="0"/>
                      <a:t>
</a:t>
                    </a:r>
                    <a:fld id="{D116BD1E-0696-4A34-8F48-98635DC4A8B4}" type="PERCENTAGE">
                      <a:rPr lang="en-US" baseline="0"/>
                      <a:pPr>
                        <a:defRPr/>
                      </a:pPr>
                      <a:t>[PERCENTAGE]</a:t>
                    </a:fld>
                    <a:endParaRPr lang="en-US" baseline="0"/>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fr-FR"/>
                </a:p>
              </c:txPr>
              <c:dLblPos val="bestFit"/>
              <c:showLegendKey val="0"/>
              <c:showVal val="0"/>
              <c:showCatName val="1"/>
              <c:showSerName val="0"/>
              <c:showPercent val="1"/>
              <c:showBubbleSize val="0"/>
              <c:extLst>
                <c:ext xmlns:c15="http://schemas.microsoft.com/office/drawing/2012/chart" uri="{CE6537A1-D6FC-4f65-9D91-7224C49458BB}">
                  <c15:layout>
                    <c:manualLayout>
                      <c:w val="0.17694147851184852"/>
                      <c:h val="0.14366524244455969"/>
                    </c:manualLayout>
                  </c15:layout>
                  <c15:dlblFieldTable/>
                  <c15:showDataLabelsRange val="0"/>
                </c:ext>
                <c:ext xmlns:c16="http://schemas.microsoft.com/office/drawing/2014/chart" uri="{C3380CC4-5D6E-409C-BE32-E72D297353CC}">
                  <c16:uniqueId val="{00000003-F4FF-44E9-A430-75B97C570253}"/>
                </c:ext>
              </c:extLst>
            </c:dLbl>
            <c:dLbl>
              <c:idx val="2"/>
              <c:layout>
                <c:manualLayout>
                  <c:x val="5.8782461014328831E-2"/>
                  <c:y val="0.15042568533441283"/>
                </c:manualLayout>
              </c:layout>
              <c:tx>
                <c:rich>
                  <a:bodyPr/>
                  <a:lstStyle/>
                  <a:p>
                    <a:r>
                      <a:rPr lang="en-US" baseline="0"/>
                      <a:t>Fat
</a:t>
                    </a:r>
                    <a:fld id="{AC4586C2-9665-40F4-B967-9FB3F802DC51}"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F4FF-44E9-A430-75B97C570253}"/>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D16'!$I$40:$K$40</c:f>
              <c:numCache>
                <c:formatCode>0.00</c:formatCode>
                <c:ptCount val="3"/>
                <c:pt idx="0">
                  <c:v>196.60500000000002</c:v>
                </c:pt>
                <c:pt idx="1">
                  <c:v>153.714</c:v>
                </c:pt>
                <c:pt idx="2">
                  <c:v>40.58400000000001</c:v>
                </c:pt>
              </c:numCache>
            </c:numRef>
          </c:val>
          <c:extLst>
            <c:ext xmlns:c16="http://schemas.microsoft.com/office/drawing/2014/chart" uri="{C3380CC4-5D6E-409C-BE32-E72D297353CC}">
              <c16:uniqueId val="{00000006-F4FF-44E9-A430-75B97C57025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Weigth</a:t>
            </a:r>
            <a:r>
              <a:rPr lang="fr-FR" baseline="0"/>
              <a:t> loss</a:t>
            </a:r>
            <a:endParaRPr lang="fr-FR"/>
          </a:p>
        </c:rich>
      </c:tx>
      <c:layout>
        <c:manualLayout>
          <c:xMode val="edge"/>
          <c:yMode val="edge"/>
          <c:x val="0.37603082856295611"/>
          <c:y val="2.3571799515720162E-2"/>
        </c:manualLayout>
      </c:layout>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EE4-4BEF-8ADA-4DDE6490C69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EE4-4BEF-8ADA-4DDE6490C69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EE4-4BEF-8ADA-4DDE6490C69C}"/>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AEE4-4BEF-8ADA-4DDE6490C69C}"/>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AEE4-4BEF-8ADA-4DDE6490C69C}"/>
                </c:ext>
              </c:extLst>
            </c:dLbl>
            <c:dLbl>
              <c:idx val="2"/>
              <c:layout>
                <c:manualLayout>
                  <c:x val="4.5423741651839773E-2"/>
                  <c:y val="0.16144863742006468"/>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AEE4-4BEF-8ADA-4DDE6490C69C}"/>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D16'!$I$43:$K$43</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AEE4-4BEF-8ADA-4DDE6490C69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Recomposition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dLbl>
              <c:idx val="0"/>
              <c:layout>
                <c:manualLayout>
                  <c:x val="-0.17704711802685405"/>
                  <c:y val="9.376010160485187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a:t>
                    </a:r>
                  </a:p>
                  <a:p>
                    <a:pPr>
                      <a:defRPr sz="1000" b="1" i="0" u="none" strike="noStrike" kern="1200" baseline="0">
                        <a:solidFill>
                          <a:schemeClr val="lt1"/>
                        </a:solidFill>
                        <a:latin typeface="+mn-lt"/>
                        <a:ea typeface="+mn-ea"/>
                        <a:cs typeface="+mn-cs"/>
                      </a:defRPr>
                    </a:pPr>
                    <a:fld id="{78E0EA12-C097-4952-9027-04DC599FAC58}"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layout>
                    <c:manualLayout>
                      <c:w val="0.12064206445579412"/>
                      <c:h val="0.12943686104713192"/>
                    </c:manualLayout>
                  </c15:layout>
                  <c15:dlblFieldTable/>
                  <c15:showDataLabelsRange val="0"/>
                </c:ext>
                <c:ext xmlns:c16="http://schemas.microsoft.com/office/drawing/2014/chart" uri="{C3380CC4-5D6E-409C-BE32-E72D297353CC}">
                  <c16:uniqueId val="{00000000-19A4-48FF-9564-FAE81023F435}"/>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8C2DFE6E-B98B-47DB-9170-0D3E8FF9BA89}"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19A4-48FF-9564-FAE81023F435}"/>
                </c:ext>
              </c:extLst>
            </c:dLbl>
            <c:dLbl>
              <c:idx val="2"/>
              <c:layout>
                <c:manualLayout>
                  <c:x val="0.10500174409922035"/>
                  <c:y val="0.19268395802726243"/>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Fat</a:t>
                    </a:r>
                  </a:p>
                  <a:p>
                    <a:pPr>
                      <a:defRPr sz="1000" b="1" i="0" u="none" strike="noStrike" kern="1200" baseline="0">
                        <a:solidFill>
                          <a:schemeClr val="lt1"/>
                        </a:solidFill>
                        <a:latin typeface="+mn-lt"/>
                        <a:ea typeface="+mn-ea"/>
                        <a:cs typeface="+mn-cs"/>
                      </a:defRPr>
                    </a:pPr>
                    <a:fld id="{E5C9F353-E119-4B35-8DB9-979DD2E9D43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1"/>
              <c:showSerName val="0"/>
              <c:showPercent val="1"/>
              <c:showBubbleSize val="0"/>
              <c:extLst>
                <c:ext xmlns:c15="http://schemas.microsoft.com/office/drawing/2012/chart" uri="{CE6537A1-D6FC-4f65-9D91-7224C49458BB}">
                  <c15:layout>
                    <c:manualLayout>
                      <c:w val="9.6806488638956453E-2"/>
                      <c:h val="0.12943686104713192"/>
                    </c:manualLayout>
                  </c15:layout>
                  <c15:dlblFieldTable/>
                  <c15:showDataLabelsRange val="0"/>
                </c:ext>
                <c:ext xmlns:c16="http://schemas.microsoft.com/office/drawing/2014/chart" uri="{C3380CC4-5D6E-409C-BE32-E72D297353CC}">
                  <c16:uniqueId val="{00000002-19A4-48FF-9564-FAE81023F435}"/>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D16'!$I$3:$K$3</c:f>
              <c:strCache>
                <c:ptCount val="3"/>
                <c:pt idx="0">
                  <c:v>Prot</c:v>
                </c:pt>
                <c:pt idx="1">
                  <c:v>Carb</c:v>
                </c:pt>
                <c:pt idx="2">
                  <c:v>Fat</c:v>
                </c:pt>
              </c:strCache>
            </c:strRef>
          </c:cat>
          <c:val>
            <c:numRef>
              <c:f>'Eaten D16'!$I$44:$K$44</c:f>
              <c:numCache>
                <c:formatCode>0.00</c:formatCode>
                <c:ptCount val="3"/>
                <c:pt idx="0">
                  <c:v>169.86597099999997</c:v>
                </c:pt>
                <c:pt idx="1">
                  <c:v>184.63692499999999</c:v>
                </c:pt>
                <c:pt idx="2">
                  <c:v>51.69833899999999</c:v>
                </c:pt>
              </c:numCache>
            </c:numRef>
          </c:val>
          <c:extLst>
            <c:ext xmlns:c16="http://schemas.microsoft.com/office/drawing/2014/chart" uri="{C3380CC4-5D6E-409C-BE32-E72D297353CC}">
              <c16:uniqueId val="{00000003-19A4-48FF-9564-FAE81023F435}"/>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Muscle</a:t>
            </a:r>
            <a:r>
              <a:rPr lang="fr-FR" baseline="0"/>
              <a:t> gain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D16'!$I$3:$K$3</c:f>
              <c:strCache>
                <c:ptCount val="3"/>
                <c:pt idx="0">
                  <c:v>Prot</c:v>
                </c:pt>
                <c:pt idx="1">
                  <c:v>Carb</c:v>
                </c:pt>
                <c:pt idx="2">
                  <c:v>Fat</c:v>
                </c:pt>
              </c:strCache>
            </c:strRef>
          </c:cat>
          <c:val>
            <c:numRef>
              <c:f>'Eaten D16'!$I$45:$K$45</c:f>
              <c:numCache>
                <c:formatCode>0.00</c:formatCode>
                <c:ptCount val="3"/>
                <c:pt idx="0">
                  <c:v>162.48049400000002</c:v>
                </c:pt>
                <c:pt idx="1">
                  <c:v>295.41907999999995</c:v>
                </c:pt>
                <c:pt idx="2">
                  <c:v>73.854769999999988</c:v>
                </c:pt>
              </c:numCache>
            </c:numRef>
          </c:val>
          <c:extLst>
            <c:ext xmlns:c16="http://schemas.microsoft.com/office/drawing/2014/chart" uri="{C3380CC4-5D6E-409C-BE32-E72D297353CC}">
              <c16:uniqueId val="{00000000-A270-4675-B1A8-6F94F49B2570}"/>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Fat loss</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3D7-4D16-9588-87ACE56A56B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3D7-4D16-9588-87ACE56A56B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3D7-4D16-9588-87ACE56A56B2}"/>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83D7-4D16-9588-87ACE56A56B2}"/>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83D7-4D16-9588-87ACE56A56B2}"/>
                </c:ext>
              </c:extLst>
            </c:dLbl>
            <c:dLbl>
              <c:idx val="2"/>
              <c:layout>
                <c:manualLayout>
                  <c:x val="7.6125037837971171E-2"/>
                  <c:y val="0.16144853048854144"/>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83D7-4D16-9588-87ACE56A56B2}"/>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D16'!$I$43:$K$43</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83D7-4D16-9588-87ACE56A56B2}"/>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A8D-4F52-AE90-67E3297AAA8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A8D-4F52-AE90-67E3297AAA8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A8D-4F52-AE90-67E3297AAA8D}"/>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2A8D-4F52-AE90-67E3297AAA8D}"/>
                </c:ext>
              </c:extLst>
            </c:dLbl>
            <c:dLbl>
              <c:idx val="1"/>
              <c:layout>
                <c:manualLayout>
                  <c:x val="0.21030630918659338"/>
                  <c:y val="-9.057712621285532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r>
                      <a:rPr lang="en-US" baseline="0"/>
                      <a:t>
</a:t>
                    </a:r>
                    <a:fld id="{D116BD1E-0696-4A34-8F48-98635DC4A8B4}" type="PERCENTAGE">
                      <a:rPr lang="en-US" baseline="0"/>
                      <a:pPr>
                        <a:defRPr/>
                      </a:pPr>
                      <a:t>[PERCENTAGE]</a:t>
                    </a:fld>
                    <a:endParaRPr lang="en-US" baseline="0"/>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fr-FR"/>
                </a:p>
              </c:txPr>
              <c:dLblPos val="bestFit"/>
              <c:showLegendKey val="0"/>
              <c:showVal val="0"/>
              <c:showCatName val="1"/>
              <c:showSerName val="0"/>
              <c:showPercent val="1"/>
              <c:showBubbleSize val="0"/>
              <c:extLst>
                <c:ext xmlns:c15="http://schemas.microsoft.com/office/drawing/2012/chart" uri="{CE6537A1-D6FC-4f65-9D91-7224C49458BB}">
                  <c15:layout>
                    <c:manualLayout>
                      <c:w val="0.17694147851184852"/>
                      <c:h val="0.14366524244455969"/>
                    </c:manualLayout>
                  </c15:layout>
                  <c15:dlblFieldTable/>
                  <c15:showDataLabelsRange val="0"/>
                </c:ext>
                <c:ext xmlns:c16="http://schemas.microsoft.com/office/drawing/2014/chart" uri="{C3380CC4-5D6E-409C-BE32-E72D297353CC}">
                  <c16:uniqueId val="{00000003-2A8D-4F52-AE90-67E3297AAA8D}"/>
                </c:ext>
              </c:extLst>
            </c:dLbl>
            <c:dLbl>
              <c:idx val="2"/>
              <c:layout>
                <c:manualLayout>
                  <c:x val="5.8782461014328831E-2"/>
                  <c:y val="0.15042568533441283"/>
                </c:manualLayout>
              </c:layout>
              <c:tx>
                <c:rich>
                  <a:bodyPr/>
                  <a:lstStyle/>
                  <a:p>
                    <a:r>
                      <a:rPr lang="en-US" baseline="0"/>
                      <a:t>Fat
</a:t>
                    </a:r>
                    <a:fld id="{AC4586C2-9665-40F4-B967-9FB3F802DC51}"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2A8D-4F52-AE90-67E3297AAA8D}"/>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D17'!$I$41:$K$41</c:f>
              <c:numCache>
                <c:formatCode>0.00</c:formatCode>
                <c:ptCount val="3"/>
                <c:pt idx="0">
                  <c:v>165.93600000000004</c:v>
                </c:pt>
                <c:pt idx="1">
                  <c:v>181.696</c:v>
                </c:pt>
                <c:pt idx="2">
                  <c:v>43.517999999999994</c:v>
                </c:pt>
              </c:numCache>
            </c:numRef>
          </c:val>
          <c:extLst>
            <c:ext xmlns:c16="http://schemas.microsoft.com/office/drawing/2014/chart" uri="{C3380CC4-5D6E-409C-BE32-E72D297353CC}">
              <c16:uniqueId val="{00000006-2A8D-4F52-AE90-67E3297AAA8D}"/>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Weigth</a:t>
            </a:r>
            <a:r>
              <a:rPr lang="fr-FR" baseline="0"/>
              <a:t> loss</a:t>
            </a:r>
            <a:endParaRPr lang="fr-FR"/>
          </a:p>
        </c:rich>
      </c:tx>
      <c:layout>
        <c:manualLayout>
          <c:xMode val="edge"/>
          <c:yMode val="edge"/>
          <c:x val="0.37603082856295611"/>
          <c:y val="2.3571799515720162E-2"/>
        </c:manualLayout>
      </c:layout>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125-430A-824E-2308552B51D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125-430A-824E-2308552B51D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125-430A-824E-2308552B51D4}"/>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B125-430A-824E-2308552B51D4}"/>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B125-430A-824E-2308552B51D4}"/>
                </c:ext>
              </c:extLst>
            </c:dLbl>
            <c:dLbl>
              <c:idx val="2"/>
              <c:layout>
                <c:manualLayout>
                  <c:x val="4.5423741651839773E-2"/>
                  <c:y val="0.16144863742006468"/>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B125-430A-824E-2308552B51D4}"/>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D17'!$I$44:$K$44</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B125-430A-824E-2308552B51D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Recomposition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dLbl>
              <c:idx val="0"/>
              <c:layout>
                <c:manualLayout>
                  <c:x val="-0.17704711802685405"/>
                  <c:y val="9.376010160485187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a:t>
                    </a:r>
                  </a:p>
                  <a:p>
                    <a:pPr>
                      <a:defRPr sz="1000" b="1" i="0" u="none" strike="noStrike" kern="1200" baseline="0">
                        <a:solidFill>
                          <a:schemeClr val="lt1"/>
                        </a:solidFill>
                        <a:latin typeface="+mn-lt"/>
                        <a:ea typeface="+mn-ea"/>
                        <a:cs typeface="+mn-cs"/>
                      </a:defRPr>
                    </a:pPr>
                    <a:fld id="{78E0EA12-C097-4952-9027-04DC599FAC58}"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layout>
                    <c:manualLayout>
                      <c:w val="0.12064206445579412"/>
                      <c:h val="0.12943686104713192"/>
                    </c:manualLayout>
                  </c15:layout>
                  <c15:dlblFieldTable/>
                  <c15:showDataLabelsRange val="0"/>
                </c:ext>
                <c:ext xmlns:c16="http://schemas.microsoft.com/office/drawing/2014/chart" uri="{C3380CC4-5D6E-409C-BE32-E72D297353CC}">
                  <c16:uniqueId val="{00000000-6BE0-443E-88BB-FA4F94AC83C0}"/>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8C2DFE6E-B98B-47DB-9170-0D3E8FF9BA89}"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6BE0-443E-88BB-FA4F94AC83C0}"/>
                </c:ext>
              </c:extLst>
            </c:dLbl>
            <c:dLbl>
              <c:idx val="2"/>
              <c:layout>
                <c:manualLayout>
                  <c:x val="0.10500174409922035"/>
                  <c:y val="0.19268395802726243"/>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Fat</a:t>
                    </a:r>
                  </a:p>
                  <a:p>
                    <a:pPr>
                      <a:defRPr sz="1000" b="1" i="0" u="none" strike="noStrike" kern="1200" baseline="0">
                        <a:solidFill>
                          <a:schemeClr val="lt1"/>
                        </a:solidFill>
                        <a:latin typeface="+mn-lt"/>
                        <a:ea typeface="+mn-ea"/>
                        <a:cs typeface="+mn-cs"/>
                      </a:defRPr>
                    </a:pPr>
                    <a:fld id="{E5C9F353-E119-4B35-8DB9-979DD2E9D43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1"/>
              <c:showSerName val="0"/>
              <c:showPercent val="1"/>
              <c:showBubbleSize val="0"/>
              <c:extLst>
                <c:ext xmlns:c15="http://schemas.microsoft.com/office/drawing/2012/chart" uri="{CE6537A1-D6FC-4f65-9D91-7224C49458BB}">
                  <c15:layout>
                    <c:manualLayout>
                      <c:w val="9.6806488638956453E-2"/>
                      <c:h val="0.12943686104713192"/>
                    </c:manualLayout>
                  </c15:layout>
                  <c15:dlblFieldTable/>
                  <c15:showDataLabelsRange val="0"/>
                </c:ext>
                <c:ext xmlns:c16="http://schemas.microsoft.com/office/drawing/2014/chart" uri="{C3380CC4-5D6E-409C-BE32-E72D297353CC}">
                  <c16:uniqueId val="{00000002-6BE0-443E-88BB-FA4F94AC83C0}"/>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D17'!$I$3:$K$3</c:f>
              <c:strCache>
                <c:ptCount val="3"/>
                <c:pt idx="0">
                  <c:v>Prot</c:v>
                </c:pt>
                <c:pt idx="1">
                  <c:v>Carb</c:v>
                </c:pt>
                <c:pt idx="2">
                  <c:v>Fat</c:v>
                </c:pt>
              </c:strCache>
            </c:strRef>
          </c:cat>
          <c:val>
            <c:numRef>
              <c:f>'Eaten D17'!$I$45:$K$45</c:f>
              <c:numCache>
                <c:formatCode>0.00</c:formatCode>
                <c:ptCount val="3"/>
                <c:pt idx="0">
                  <c:v>169.86597099999997</c:v>
                </c:pt>
                <c:pt idx="1">
                  <c:v>184.63692499999999</c:v>
                </c:pt>
                <c:pt idx="2">
                  <c:v>51.69833899999999</c:v>
                </c:pt>
              </c:numCache>
            </c:numRef>
          </c:val>
          <c:extLst>
            <c:ext xmlns:c16="http://schemas.microsoft.com/office/drawing/2014/chart" uri="{C3380CC4-5D6E-409C-BE32-E72D297353CC}">
              <c16:uniqueId val="{00000003-6BE0-443E-88BB-FA4F94AC83C0}"/>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Muscle</a:t>
            </a:r>
            <a:r>
              <a:rPr lang="fr-FR" baseline="0"/>
              <a:t> gain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D17'!$I$3:$K$3</c:f>
              <c:strCache>
                <c:ptCount val="3"/>
                <c:pt idx="0">
                  <c:v>Prot</c:v>
                </c:pt>
                <c:pt idx="1">
                  <c:v>Carb</c:v>
                </c:pt>
                <c:pt idx="2">
                  <c:v>Fat</c:v>
                </c:pt>
              </c:strCache>
            </c:strRef>
          </c:cat>
          <c:val>
            <c:numRef>
              <c:f>'Eaten D17'!$I$46:$K$46</c:f>
              <c:numCache>
                <c:formatCode>0.00</c:formatCode>
                <c:ptCount val="3"/>
                <c:pt idx="0">
                  <c:v>162.48049400000002</c:v>
                </c:pt>
                <c:pt idx="1">
                  <c:v>295.41907999999995</c:v>
                </c:pt>
                <c:pt idx="2">
                  <c:v>73.854769999999988</c:v>
                </c:pt>
              </c:numCache>
            </c:numRef>
          </c:val>
          <c:extLst>
            <c:ext xmlns:c16="http://schemas.microsoft.com/office/drawing/2014/chart" uri="{C3380CC4-5D6E-409C-BE32-E72D297353CC}">
              <c16:uniqueId val="{00000000-48D8-4E04-8762-D3853C8C440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Fat loss</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95E-47AB-9571-94E29756EE5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95E-47AB-9571-94E29756EE5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95E-47AB-9571-94E29756EE5F}"/>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B95E-47AB-9571-94E29756EE5F}"/>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B95E-47AB-9571-94E29756EE5F}"/>
                </c:ext>
              </c:extLst>
            </c:dLbl>
            <c:dLbl>
              <c:idx val="2"/>
              <c:layout>
                <c:manualLayout>
                  <c:x val="7.6125037837971171E-2"/>
                  <c:y val="0.16144853048854144"/>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B95E-47AB-9571-94E29756EE5F}"/>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D17'!$I$44:$K$44</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B95E-47AB-9571-94E29756EE5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FF3-46A8-84B0-34DF80E9D90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FF3-46A8-84B0-34DF80E9D90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FF3-46A8-84B0-34DF80E9D905}"/>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9FF3-46A8-84B0-34DF80E9D905}"/>
                </c:ext>
              </c:extLst>
            </c:dLbl>
            <c:dLbl>
              <c:idx val="1"/>
              <c:layout>
                <c:manualLayout>
                  <c:x val="0.21030630918659338"/>
                  <c:y val="-9.057712621285532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r>
                      <a:rPr lang="en-US" baseline="0"/>
                      <a:t>
</a:t>
                    </a:r>
                    <a:fld id="{D116BD1E-0696-4A34-8F48-98635DC4A8B4}" type="PERCENTAGE">
                      <a:rPr lang="en-US" baseline="0"/>
                      <a:pPr>
                        <a:defRPr/>
                      </a:pPr>
                      <a:t>[PERCENTAGE]</a:t>
                    </a:fld>
                    <a:endParaRPr lang="en-US" baseline="0"/>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fr-FR"/>
                </a:p>
              </c:txPr>
              <c:dLblPos val="bestFit"/>
              <c:showLegendKey val="0"/>
              <c:showVal val="0"/>
              <c:showCatName val="1"/>
              <c:showSerName val="0"/>
              <c:showPercent val="1"/>
              <c:showBubbleSize val="0"/>
              <c:extLst>
                <c:ext xmlns:c15="http://schemas.microsoft.com/office/drawing/2012/chart" uri="{CE6537A1-D6FC-4f65-9D91-7224C49458BB}">
                  <c15:layout>
                    <c:manualLayout>
                      <c:w val="0.17694147851184852"/>
                      <c:h val="0.14366524244455969"/>
                    </c:manualLayout>
                  </c15:layout>
                  <c15:dlblFieldTable/>
                  <c15:showDataLabelsRange val="0"/>
                </c:ext>
                <c:ext xmlns:c16="http://schemas.microsoft.com/office/drawing/2014/chart" uri="{C3380CC4-5D6E-409C-BE32-E72D297353CC}">
                  <c16:uniqueId val="{00000003-9FF3-46A8-84B0-34DF80E9D905}"/>
                </c:ext>
              </c:extLst>
            </c:dLbl>
            <c:dLbl>
              <c:idx val="2"/>
              <c:layout>
                <c:manualLayout>
                  <c:x val="5.8782461014328831E-2"/>
                  <c:y val="0.15042568533441283"/>
                </c:manualLayout>
              </c:layout>
              <c:tx>
                <c:rich>
                  <a:bodyPr/>
                  <a:lstStyle/>
                  <a:p>
                    <a:r>
                      <a:rPr lang="en-US" baseline="0"/>
                      <a:t>Fat
</a:t>
                    </a:r>
                    <a:fld id="{AC4586C2-9665-40F4-B967-9FB3F802DC51}"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9FF3-46A8-84B0-34DF80E9D905}"/>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D18'!$I$42:$K$42</c:f>
              <c:numCache>
                <c:formatCode>0.00</c:formatCode>
                <c:ptCount val="3"/>
                <c:pt idx="0">
                  <c:v>174.33600000000001</c:v>
                </c:pt>
                <c:pt idx="1">
                  <c:v>77.028000000000006</c:v>
                </c:pt>
                <c:pt idx="2">
                  <c:v>37.569000000000003</c:v>
                </c:pt>
              </c:numCache>
            </c:numRef>
          </c:val>
          <c:extLst>
            <c:ext xmlns:c16="http://schemas.microsoft.com/office/drawing/2014/chart" uri="{C3380CC4-5D6E-409C-BE32-E72D297353CC}">
              <c16:uniqueId val="{00000006-9FF3-46A8-84B0-34DF80E9D905}"/>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Weigth</a:t>
            </a:r>
            <a:r>
              <a:rPr lang="fr-FR" baseline="0"/>
              <a:t> loss</a:t>
            </a:r>
            <a:endParaRPr lang="fr-FR"/>
          </a:p>
        </c:rich>
      </c:tx>
      <c:layout>
        <c:manualLayout>
          <c:xMode val="edge"/>
          <c:yMode val="edge"/>
          <c:x val="0.37603082856295611"/>
          <c:y val="2.3571799515720162E-2"/>
        </c:manualLayout>
      </c:layout>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61C-4001-BD0F-94F9E9908D6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61C-4001-BD0F-94F9E9908D6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61C-4001-BD0F-94F9E9908D62}"/>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A61C-4001-BD0F-94F9E9908D62}"/>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A61C-4001-BD0F-94F9E9908D62}"/>
                </c:ext>
              </c:extLst>
            </c:dLbl>
            <c:dLbl>
              <c:idx val="2"/>
              <c:layout>
                <c:manualLayout>
                  <c:x val="4.5423741651839773E-2"/>
                  <c:y val="0.16144863742006468"/>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A61C-4001-BD0F-94F9E9908D62}"/>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D18'!$I$45:$K$45</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A61C-4001-BD0F-94F9E9908D62}"/>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Recomposition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dLbl>
              <c:idx val="0"/>
              <c:layout>
                <c:manualLayout>
                  <c:x val="-0.17704711802685405"/>
                  <c:y val="9.376010160485187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a:t>
                    </a:r>
                  </a:p>
                  <a:p>
                    <a:pPr>
                      <a:defRPr sz="1000" b="1" i="0" u="none" strike="noStrike" kern="1200" baseline="0">
                        <a:solidFill>
                          <a:schemeClr val="lt1"/>
                        </a:solidFill>
                        <a:latin typeface="+mn-lt"/>
                        <a:ea typeface="+mn-ea"/>
                        <a:cs typeface="+mn-cs"/>
                      </a:defRPr>
                    </a:pPr>
                    <a:fld id="{78E0EA12-C097-4952-9027-04DC599FAC58}"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layout>
                    <c:manualLayout>
                      <c:w val="0.12064206445579412"/>
                      <c:h val="0.12943686104713192"/>
                    </c:manualLayout>
                  </c15:layout>
                  <c15:dlblFieldTable/>
                  <c15:showDataLabelsRange val="0"/>
                </c:ext>
                <c:ext xmlns:c16="http://schemas.microsoft.com/office/drawing/2014/chart" uri="{C3380CC4-5D6E-409C-BE32-E72D297353CC}">
                  <c16:uniqueId val="{00000000-E0A8-400E-B26B-1595B8732A0F}"/>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8C2DFE6E-B98B-47DB-9170-0D3E8FF9BA89}"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E0A8-400E-B26B-1595B8732A0F}"/>
                </c:ext>
              </c:extLst>
            </c:dLbl>
            <c:dLbl>
              <c:idx val="2"/>
              <c:layout>
                <c:manualLayout>
                  <c:x val="0.10500174409922035"/>
                  <c:y val="0.19268395802726243"/>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Fat</a:t>
                    </a:r>
                  </a:p>
                  <a:p>
                    <a:pPr>
                      <a:defRPr sz="1000" b="1" i="0" u="none" strike="noStrike" kern="1200" baseline="0">
                        <a:solidFill>
                          <a:schemeClr val="lt1"/>
                        </a:solidFill>
                        <a:latin typeface="+mn-lt"/>
                        <a:ea typeface="+mn-ea"/>
                        <a:cs typeface="+mn-cs"/>
                      </a:defRPr>
                    </a:pPr>
                    <a:fld id="{E5C9F353-E119-4B35-8DB9-979DD2E9D43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1"/>
              <c:showSerName val="0"/>
              <c:showPercent val="1"/>
              <c:showBubbleSize val="0"/>
              <c:extLst>
                <c:ext xmlns:c15="http://schemas.microsoft.com/office/drawing/2012/chart" uri="{CE6537A1-D6FC-4f65-9D91-7224C49458BB}">
                  <c15:layout>
                    <c:manualLayout>
                      <c:w val="9.6806488638956453E-2"/>
                      <c:h val="0.12943686104713192"/>
                    </c:manualLayout>
                  </c15:layout>
                  <c15:dlblFieldTable/>
                  <c15:showDataLabelsRange val="0"/>
                </c:ext>
                <c:ext xmlns:c16="http://schemas.microsoft.com/office/drawing/2014/chart" uri="{C3380CC4-5D6E-409C-BE32-E72D297353CC}">
                  <c16:uniqueId val="{00000002-E0A8-400E-B26B-1595B8732A0F}"/>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D18'!$I$3:$K$3</c:f>
              <c:strCache>
                <c:ptCount val="3"/>
                <c:pt idx="0">
                  <c:v>Prot</c:v>
                </c:pt>
                <c:pt idx="1">
                  <c:v>Carb</c:v>
                </c:pt>
                <c:pt idx="2">
                  <c:v>Fat</c:v>
                </c:pt>
              </c:strCache>
            </c:strRef>
          </c:cat>
          <c:val>
            <c:numRef>
              <c:f>'Eaten D18'!$I$46:$K$46</c:f>
              <c:numCache>
                <c:formatCode>0.00</c:formatCode>
                <c:ptCount val="3"/>
                <c:pt idx="0">
                  <c:v>169.86597099999997</c:v>
                </c:pt>
                <c:pt idx="1">
                  <c:v>184.63692499999999</c:v>
                </c:pt>
                <c:pt idx="2">
                  <c:v>51.69833899999999</c:v>
                </c:pt>
              </c:numCache>
            </c:numRef>
          </c:val>
          <c:extLst>
            <c:ext xmlns:c16="http://schemas.microsoft.com/office/drawing/2014/chart" uri="{C3380CC4-5D6E-409C-BE32-E72D297353CC}">
              <c16:uniqueId val="{00000003-E0A8-400E-B26B-1595B8732A0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Muscle</a:t>
            </a:r>
            <a:r>
              <a:rPr lang="fr-FR" baseline="0"/>
              <a:t> gain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D18'!$I$3:$K$3</c:f>
              <c:strCache>
                <c:ptCount val="3"/>
                <c:pt idx="0">
                  <c:v>Prot</c:v>
                </c:pt>
                <c:pt idx="1">
                  <c:v>Carb</c:v>
                </c:pt>
                <c:pt idx="2">
                  <c:v>Fat</c:v>
                </c:pt>
              </c:strCache>
            </c:strRef>
          </c:cat>
          <c:val>
            <c:numRef>
              <c:f>'Eaten D18'!$I$47:$K$47</c:f>
              <c:numCache>
                <c:formatCode>0.00</c:formatCode>
                <c:ptCount val="3"/>
                <c:pt idx="0">
                  <c:v>162.48049400000002</c:v>
                </c:pt>
                <c:pt idx="1">
                  <c:v>295.41907999999995</c:v>
                </c:pt>
                <c:pt idx="2">
                  <c:v>73.854769999999988</c:v>
                </c:pt>
              </c:numCache>
            </c:numRef>
          </c:val>
          <c:extLst>
            <c:ext xmlns:c16="http://schemas.microsoft.com/office/drawing/2014/chart" uri="{C3380CC4-5D6E-409C-BE32-E72D297353CC}">
              <c16:uniqueId val="{00000000-C913-47F1-ABC0-09F78FA4468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Fat loss</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EE3-4B65-BA53-99DA808EC87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EE3-4B65-BA53-99DA808EC87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EE3-4B65-BA53-99DA808EC873}"/>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6EE3-4B65-BA53-99DA808EC873}"/>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6EE3-4B65-BA53-99DA808EC873}"/>
                </c:ext>
              </c:extLst>
            </c:dLbl>
            <c:dLbl>
              <c:idx val="2"/>
              <c:layout>
                <c:manualLayout>
                  <c:x val="7.6125037837971171E-2"/>
                  <c:y val="0.16144853048854144"/>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6EE3-4B65-BA53-99DA808EC873}"/>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D18'!$I$45:$K$45</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6EE3-4B65-BA53-99DA808EC87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3F1-4D8F-92A6-74392AFDA73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3F1-4D8F-92A6-74392AFDA73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3F1-4D8F-92A6-74392AFDA73E}"/>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23F1-4D8F-92A6-74392AFDA73E}"/>
                </c:ext>
              </c:extLst>
            </c:dLbl>
            <c:dLbl>
              <c:idx val="1"/>
              <c:layout>
                <c:manualLayout>
                  <c:x val="0.21030630918659338"/>
                  <c:y val="-9.057712621285532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r>
                      <a:rPr lang="en-US" baseline="0"/>
                      <a:t>
</a:t>
                    </a:r>
                    <a:fld id="{D116BD1E-0696-4A34-8F48-98635DC4A8B4}" type="PERCENTAGE">
                      <a:rPr lang="en-US" baseline="0"/>
                      <a:pPr>
                        <a:defRPr/>
                      </a:pPr>
                      <a:t>[PERCENTAGE]</a:t>
                    </a:fld>
                    <a:endParaRPr lang="en-US" baseline="0"/>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fr-FR"/>
                </a:p>
              </c:txPr>
              <c:dLblPos val="bestFit"/>
              <c:showLegendKey val="0"/>
              <c:showVal val="0"/>
              <c:showCatName val="1"/>
              <c:showSerName val="0"/>
              <c:showPercent val="1"/>
              <c:showBubbleSize val="0"/>
              <c:extLst>
                <c:ext xmlns:c15="http://schemas.microsoft.com/office/drawing/2012/chart" uri="{CE6537A1-D6FC-4f65-9D91-7224C49458BB}">
                  <c15:layout>
                    <c:manualLayout>
                      <c:w val="0.17694147851184852"/>
                      <c:h val="0.14366524244455969"/>
                    </c:manualLayout>
                  </c15:layout>
                  <c15:dlblFieldTable/>
                  <c15:showDataLabelsRange val="0"/>
                </c:ext>
                <c:ext xmlns:c16="http://schemas.microsoft.com/office/drawing/2014/chart" uri="{C3380CC4-5D6E-409C-BE32-E72D297353CC}">
                  <c16:uniqueId val="{00000003-23F1-4D8F-92A6-74392AFDA73E}"/>
                </c:ext>
              </c:extLst>
            </c:dLbl>
            <c:dLbl>
              <c:idx val="2"/>
              <c:layout>
                <c:manualLayout>
                  <c:x val="5.8782461014328831E-2"/>
                  <c:y val="0.15042568533441283"/>
                </c:manualLayout>
              </c:layout>
              <c:tx>
                <c:rich>
                  <a:bodyPr/>
                  <a:lstStyle/>
                  <a:p>
                    <a:r>
                      <a:rPr lang="en-US" baseline="0"/>
                      <a:t>Fat
</a:t>
                    </a:r>
                    <a:fld id="{AC4586C2-9665-40F4-B967-9FB3F802DC51}"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23F1-4D8F-92A6-74392AFDA73E}"/>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D19'!$I$42:$K$42</c:f>
              <c:numCache>
                <c:formatCode>0.00</c:formatCode>
                <c:ptCount val="3"/>
                <c:pt idx="0">
                  <c:v>196.535</c:v>
                </c:pt>
                <c:pt idx="1">
                  <c:v>147.41999999999999</c:v>
                </c:pt>
                <c:pt idx="2">
                  <c:v>42.571000000000005</c:v>
                </c:pt>
              </c:numCache>
            </c:numRef>
          </c:val>
          <c:extLst>
            <c:ext xmlns:c16="http://schemas.microsoft.com/office/drawing/2014/chart" uri="{C3380CC4-5D6E-409C-BE32-E72D297353CC}">
              <c16:uniqueId val="{00000006-23F1-4D8F-92A6-74392AFDA73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Weigth</a:t>
            </a:r>
            <a:r>
              <a:rPr lang="fr-FR" baseline="0"/>
              <a:t> loss</a:t>
            </a:r>
            <a:endParaRPr lang="fr-FR"/>
          </a:p>
        </c:rich>
      </c:tx>
      <c:layout>
        <c:manualLayout>
          <c:xMode val="edge"/>
          <c:yMode val="edge"/>
          <c:x val="0.37603082856295611"/>
          <c:y val="2.3571799515720162E-2"/>
        </c:manualLayout>
      </c:layout>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E4C-480F-898C-F78F53F04DC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E4C-480F-898C-F78F53F04DC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E4C-480F-898C-F78F53F04DCF}"/>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6E4C-480F-898C-F78F53F04DCF}"/>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6E4C-480F-898C-F78F53F04DCF}"/>
                </c:ext>
              </c:extLst>
            </c:dLbl>
            <c:dLbl>
              <c:idx val="2"/>
              <c:layout>
                <c:manualLayout>
                  <c:x val="4.5423741651839773E-2"/>
                  <c:y val="0.16144863742006468"/>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6E4C-480F-898C-F78F53F04DCF}"/>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D19'!$I$45:$K$45</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6E4C-480F-898C-F78F53F04DC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Recomposition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dLbl>
              <c:idx val="0"/>
              <c:layout>
                <c:manualLayout>
                  <c:x val="-0.17704711802685405"/>
                  <c:y val="9.376010160485187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a:t>
                    </a:r>
                  </a:p>
                  <a:p>
                    <a:pPr>
                      <a:defRPr sz="1000" b="1" i="0" u="none" strike="noStrike" kern="1200" baseline="0">
                        <a:solidFill>
                          <a:schemeClr val="lt1"/>
                        </a:solidFill>
                        <a:latin typeface="+mn-lt"/>
                        <a:ea typeface="+mn-ea"/>
                        <a:cs typeface="+mn-cs"/>
                      </a:defRPr>
                    </a:pPr>
                    <a:fld id="{78E0EA12-C097-4952-9027-04DC599FAC58}"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layout>
                    <c:manualLayout>
                      <c:w val="0.12064206445579412"/>
                      <c:h val="0.12943686104713192"/>
                    </c:manualLayout>
                  </c15:layout>
                  <c15:dlblFieldTable/>
                  <c15:showDataLabelsRange val="0"/>
                </c:ext>
                <c:ext xmlns:c16="http://schemas.microsoft.com/office/drawing/2014/chart" uri="{C3380CC4-5D6E-409C-BE32-E72D297353CC}">
                  <c16:uniqueId val="{00000000-1EBB-484D-9C16-7318EAB32278}"/>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8C2DFE6E-B98B-47DB-9170-0D3E8FF9BA89}"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1EBB-484D-9C16-7318EAB32278}"/>
                </c:ext>
              </c:extLst>
            </c:dLbl>
            <c:dLbl>
              <c:idx val="2"/>
              <c:layout>
                <c:manualLayout>
                  <c:x val="0.10500174409922035"/>
                  <c:y val="0.19268395802726243"/>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Fat</a:t>
                    </a:r>
                  </a:p>
                  <a:p>
                    <a:pPr>
                      <a:defRPr sz="1000" b="1" i="0" u="none" strike="noStrike" kern="1200" baseline="0">
                        <a:solidFill>
                          <a:schemeClr val="lt1"/>
                        </a:solidFill>
                        <a:latin typeface="+mn-lt"/>
                        <a:ea typeface="+mn-ea"/>
                        <a:cs typeface="+mn-cs"/>
                      </a:defRPr>
                    </a:pPr>
                    <a:fld id="{E5C9F353-E119-4B35-8DB9-979DD2E9D43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1"/>
              <c:showSerName val="0"/>
              <c:showPercent val="1"/>
              <c:showBubbleSize val="0"/>
              <c:extLst>
                <c:ext xmlns:c15="http://schemas.microsoft.com/office/drawing/2012/chart" uri="{CE6537A1-D6FC-4f65-9D91-7224C49458BB}">
                  <c15:layout>
                    <c:manualLayout>
                      <c:w val="9.6806488638956453E-2"/>
                      <c:h val="0.12943686104713192"/>
                    </c:manualLayout>
                  </c15:layout>
                  <c15:dlblFieldTable/>
                  <c15:showDataLabelsRange val="0"/>
                </c:ext>
                <c:ext xmlns:c16="http://schemas.microsoft.com/office/drawing/2014/chart" uri="{C3380CC4-5D6E-409C-BE32-E72D297353CC}">
                  <c16:uniqueId val="{00000002-1EBB-484D-9C16-7318EAB32278}"/>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D19'!$I$3:$K$3</c:f>
              <c:strCache>
                <c:ptCount val="3"/>
                <c:pt idx="0">
                  <c:v>Prot</c:v>
                </c:pt>
                <c:pt idx="1">
                  <c:v>Carb</c:v>
                </c:pt>
                <c:pt idx="2">
                  <c:v>Fat</c:v>
                </c:pt>
              </c:strCache>
            </c:strRef>
          </c:cat>
          <c:val>
            <c:numRef>
              <c:f>'Eaten D19'!$I$46:$K$46</c:f>
              <c:numCache>
                <c:formatCode>0.00</c:formatCode>
                <c:ptCount val="3"/>
                <c:pt idx="0">
                  <c:v>169.86597099999997</c:v>
                </c:pt>
                <c:pt idx="1">
                  <c:v>184.63692499999999</c:v>
                </c:pt>
                <c:pt idx="2">
                  <c:v>51.69833899999999</c:v>
                </c:pt>
              </c:numCache>
            </c:numRef>
          </c:val>
          <c:extLst>
            <c:ext xmlns:c16="http://schemas.microsoft.com/office/drawing/2014/chart" uri="{C3380CC4-5D6E-409C-BE32-E72D297353CC}">
              <c16:uniqueId val="{00000003-1EBB-484D-9C16-7318EAB3227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Muscle</a:t>
            </a:r>
            <a:r>
              <a:rPr lang="fr-FR" baseline="0"/>
              <a:t> gain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D19'!$I$3:$K$3</c:f>
              <c:strCache>
                <c:ptCount val="3"/>
                <c:pt idx="0">
                  <c:v>Prot</c:v>
                </c:pt>
                <c:pt idx="1">
                  <c:v>Carb</c:v>
                </c:pt>
                <c:pt idx="2">
                  <c:v>Fat</c:v>
                </c:pt>
              </c:strCache>
            </c:strRef>
          </c:cat>
          <c:val>
            <c:numRef>
              <c:f>'Eaten D19'!$I$47:$K$47</c:f>
              <c:numCache>
                <c:formatCode>0.00</c:formatCode>
                <c:ptCount val="3"/>
                <c:pt idx="0">
                  <c:v>162.48049400000002</c:v>
                </c:pt>
                <c:pt idx="1">
                  <c:v>295.41907999999995</c:v>
                </c:pt>
                <c:pt idx="2">
                  <c:v>73.854769999999988</c:v>
                </c:pt>
              </c:numCache>
            </c:numRef>
          </c:val>
          <c:extLst>
            <c:ext xmlns:c16="http://schemas.microsoft.com/office/drawing/2014/chart" uri="{C3380CC4-5D6E-409C-BE32-E72D297353CC}">
              <c16:uniqueId val="{00000000-7381-4B16-9882-F679F334688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Fat loss</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10D-4F9F-BB70-2B8A1C5A5B0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10D-4F9F-BB70-2B8A1C5A5B0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10D-4F9F-BB70-2B8A1C5A5B0D}"/>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910D-4F9F-BB70-2B8A1C5A5B0D}"/>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910D-4F9F-BB70-2B8A1C5A5B0D}"/>
                </c:ext>
              </c:extLst>
            </c:dLbl>
            <c:dLbl>
              <c:idx val="2"/>
              <c:layout>
                <c:manualLayout>
                  <c:x val="7.6125037837971171E-2"/>
                  <c:y val="0.16144853048854144"/>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910D-4F9F-BB70-2B8A1C5A5B0D}"/>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D19'!$I$45:$K$45</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910D-4F9F-BB70-2B8A1C5A5B0D}"/>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F4A-4830-A1B2-CDC3676507A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F4A-4830-A1B2-CDC3676507A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F4A-4830-A1B2-CDC3676507A7}"/>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9F4A-4830-A1B2-CDC3676507A7}"/>
                </c:ext>
              </c:extLst>
            </c:dLbl>
            <c:dLbl>
              <c:idx val="1"/>
              <c:layout>
                <c:manualLayout>
                  <c:x val="0.21030630918659338"/>
                  <c:y val="-9.057712621285532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r>
                      <a:rPr lang="en-US" baseline="0"/>
                      <a:t>
</a:t>
                    </a:r>
                    <a:fld id="{D116BD1E-0696-4A34-8F48-98635DC4A8B4}" type="PERCENTAGE">
                      <a:rPr lang="en-US" baseline="0"/>
                      <a:pPr>
                        <a:defRPr/>
                      </a:pPr>
                      <a:t>[PERCENTAGE]</a:t>
                    </a:fld>
                    <a:endParaRPr lang="en-US" baseline="0"/>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fr-FR"/>
                </a:p>
              </c:txPr>
              <c:dLblPos val="bestFit"/>
              <c:showLegendKey val="0"/>
              <c:showVal val="0"/>
              <c:showCatName val="1"/>
              <c:showSerName val="0"/>
              <c:showPercent val="1"/>
              <c:showBubbleSize val="0"/>
              <c:extLst>
                <c:ext xmlns:c15="http://schemas.microsoft.com/office/drawing/2012/chart" uri="{CE6537A1-D6FC-4f65-9D91-7224C49458BB}">
                  <c15:layout>
                    <c:manualLayout>
                      <c:w val="0.17694147851184852"/>
                      <c:h val="0.14366524244455969"/>
                    </c:manualLayout>
                  </c15:layout>
                  <c15:dlblFieldTable/>
                  <c15:showDataLabelsRange val="0"/>
                </c:ext>
                <c:ext xmlns:c16="http://schemas.microsoft.com/office/drawing/2014/chart" uri="{C3380CC4-5D6E-409C-BE32-E72D297353CC}">
                  <c16:uniqueId val="{00000003-9F4A-4830-A1B2-CDC3676507A7}"/>
                </c:ext>
              </c:extLst>
            </c:dLbl>
            <c:dLbl>
              <c:idx val="2"/>
              <c:layout>
                <c:manualLayout>
                  <c:x val="5.8782461014328831E-2"/>
                  <c:y val="0.15042568533441283"/>
                </c:manualLayout>
              </c:layout>
              <c:tx>
                <c:rich>
                  <a:bodyPr/>
                  <a:lstStyle/>
                  <a:p>
                    <a:r>
                      <a:rPr lang="en-US" baseline="0"/>
                      <a:t>Fat
</a:t>
                    </a:r>
                    <a:fld id="{AC4586C2-9665-40F4-B967-9FB3F802DC51}"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9F4A-4830-A1B2-CDC3676507A7}"/>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D20'!$I$43:$K$43</c:f>
              <c:numCache>
                <c:formatCode>0.00</c:formatCode>
                <c:ptCount val="3"/>
                <c:pt idx="0">
                  <c:v>185.51199999999997</c:v>
                </c:pt>
                <c:pt idx="1">
                  <c:v>146.40899999999999</c:v>
                </c:pt>
                <c:pt idx="2">
                  <c:v>39.783999999999999</c:v>
                </c:pt>
              </c:numCache>
            </c:numRef>
          </c:val>
          <c:extLst>
            <c:ext xmlns:c16="http://schemas.microsoft.com/office/drawing/2014/chart" uri="{C3380CC4-5D6E-409C-BE32-E72D297353CC}">
              <c16:uniqueId val="{00000006-9F4A-4830-A1B2-CDC3676507A7}"/>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Weigth</a:t>
            </a:r>
            <a:r>
              <a:rPr lang="fr-FR" baseline="0"/>
              <a:t> loss</a:t>
            </a:r>
            <a:endParaRPr lang="fr-FR"/>
          </a:p>
        </c:rich>
      </c:tx>
      <c:layout>
        <c:manualLayout>
          <c:xMode val="edge"/>
          <c:yMode val="edge"/>
          <c:x val="0.37603082856295611"/>
          <c:y val="2.3571799515720162E-2"/>
        </c:manualLayout>
      </c:layout>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FBF-465E-88BC-7615AC7D3C3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FBF-465E-88BC-7615AC7D3C3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FBF-465E-88BC-7615AC7D3C3A}"/>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BFBF-465E-88BC-7615AC7D3C3A}"/>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BFBF-465E-88BC-7615AC7D3C3A}"/>
                </c:ext>
              </c:extLst>
            </c:dLbl>
            <c:dLbl>
              <c:idx val="2"/>
              <c:layout>
                <c:manualLayout>
                  <c:x val="4.5423741651839773E-2"/>
                  <c:y val="0.16144863742006468"/>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BFBF-465E-88BC-7615AC7D3C3A}"/>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D20'!$I$46:$K$46</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BFBF-465E-88BC-7615AC7D3C3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Recomposition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dLbl>
              <c:idx val="0"/>
              <c:layout>
                <c:manualLayout>
                  <c:x val="-0.17704711802685405"/>
                  <c:y val="9.376010160485187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a:t>
                    </a:r>
                  </a:p>
                  <a:p>
                    <a:pPr>
                      <a:defRPr sz="1000" b="1" i="0" u="none" strike="noStrike" kern="1200" baseline="0">
                        <a:solidFill>
                          <a:schemeClr val="lt1"/>
                        </a:solidFill>
                        <a:latin typeface="+mn-lt"/>
                        <a:ea typeface="+mn-ea"/>
                        <a:cs typeface="+mn-cs"/>
                      </a:defRPr>
                    </a:pPr>
                    <a:fld id="{78E0EA12-C097-4952-9027-04DC599FAC58}"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layout>
                    <c:manualLayout>
                      <c:w val="0.12064206445579412"/>
                      <c:h val="0.12943686104713192"/>
                    </c:manualLayout>
                  </c15:layout>
                  <c15:dlblFieldTable/>
                  <c15:showDataLabelsRange val="0"/>
                </c:ext>
                <c:ext xmlns:c16="http://schemas.microsoft.com/office/drawing/2014/chart" uri="{C3380CC4-5D6E-409C-BE32-E72D297353CC}">
                  <c16:uniqueId val="{00000000-0336-4132-B27F-860BA24BD680}"/>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8C2DFE6E-B98B-47DB-9170-0D3E8FF9BA89}"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0336-4132-B27F-860BA24BD680}"/>
                </c:ext>
              </c:extLst>
            </c:dLbl>
            <c:dLbl>
              <c:idx val="2"/>
              <c:layout>
                <c:manualLayout>
                  <c:x val="0.10500174409922035"/>
                  <c:y val="0.19268395802726243"/>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Fat</a:t>
                    </a:r>
                  </a:p>
                  <a:p>
                    <a:pPr>
                      <a:defRPr sz="1000" b="1" i="0" u="none" strike="noStrike" kern="1200" baseline="0">
                        <a:solidFill>
                          <a:schemeClr val="lt1"/>
                        </a:solidFill>
                        <a:latin typeface="+mn-lt"/>
                        <a:ea typeface="+mn-ea"/>
                        <a:cs typeface="+mn-cs"/>
                      </a:defRPr>
                    </a:pPr>
                    <a:fld id="{E5C9F353-E119-4B35-8DB9-979DD2E9D43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1"/>
              <c:showSerName val="0"/>
              <c:showPercent val="1"/>
              <c:showBubbleSize val="0"/>
              <c:extLst>
                <c:ext xmlns:c15="http://schemas.microsoft.com/office/drawing/2012/chart" uri="{CE6537A1-D6FC-4f65-9D91-7224C49458BB}">
                  <c15:layout>
                    <c:manualLayout>
                      <c:w val="9.6806488638956453E-2"/>
                      <c:h val="0.12943686104713192"/>
                    </c:manualLayout>
                  </c15:layout>
                  <c15:dlblFieldTable/>
                  <c15:showDataLabelsRange val="0"/>
                </c:ext>
                <c:ext xmlns:c16="http://schemas.microsoft.com/office/drawing/2014/chart" uri="{C3380CC4-5D6E-409C-BE32-E72D297353CC}">
                  <c16:uniqueId val="{00000002-0336-4132-B27F-860BA24BD680}"/>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D20'!$I$3:$K$3</c:f>
              <c:strCache>
                <c:ptCount val="3"/>
                <c:pt idx="0">
                  <c:v>Prot</c:v>
                </c:pt>
                <c:pt idx="1">
                  <c:v>Carb</c:v>
                </c:pt>
                <c:pt idx="2">
                  <c:v>Fat</c:v>
                </c:pt>
              </c:strCache>
            </c:strRef>
          </c:cat>
          <c:val>
            <c:numRef>
              <c:f>'Eaten D20'!$I$47:$K$47</c:f>
              <c:numCache>
                <c:formatCode>0.00</c:formatCode>
                <c:ptCount val="3"/>
                <c:pt idx="0">
                  <c:v>169.86597099999997</c:v>
                </c:pt>
                <c:pt idx="1">
                  <c:v>184.63692499999999</c:v>
                </c:pt>
                <c:pt idx="2">
                  <c:v>51.69833899999999</c:v>
                </c:pt>
              </c:numCache>
            </c:numRef>
          </c:val>
          <c:extLst>
            <c:ext xmlns:c16="http://schemas.microsoft.com/office/drawing/2014/chart" uri="{C3380CC4-5D6E-409C-BE32-E72D297353CC}">
              <c16:uniqueId val="{00000003-0336-4132-B27F-860BA24BD680}"/>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Muscle</a:t>
            </a:r>
            <a:r>
              <a:rPr lang="fr-FR" baseline="0"/>
              <a:t> gain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D20'!$I$3:$K$3</c:f>
              <c:strCache>
                <c:ptCount val="3"/>
                <c:pt idx="0">
                  <c:v>Prot</c:v>
                </c:pt>
                <c:pt idx="1">
                  <c:v>Carb</c:v>
                </c:pt>
                <c:pt idx="2">
                  <c:v>Fat</c:v>
                </c:pt>
              </c:strCache>
            </c:strRef>
          </c:cat>
          <c:val>
            <c:numRef>
              <c:f>'Eaten D20'!$I$48:$K$48</c:f>
              <c:numCache>
                <c:formatCode>0.00</c:formatCode>
                <c:ptCount val="3"/>
                <c:pt idx="0">
                  <c:v>162.48049400000002</c:v>
                </c:pt>
                <c:pt idx="1">
                  <c:v>295.41907999999995</c:v>
                </c:pt>
                <c:pt idx="2">
                  <c:v>73.854769999999988</c:v>
                </c:pt>
              </c:numCache>
            </c:numRef>
          </c:val>
          <c:extLst>
            <c:ext xmlns:c16="http://schemas.microsoft.com/office/drawing/2014/chart" uri="{C3380CC4-5D6E-409C-BE32-E72D297353CC}">
              <c16:uniqueId val="{00000000-0B3E-41D8-A308-6617DA21894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Fat loss</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41C-410C-A4D3-8B420E0141C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41C-410C-A4D3-8B420E0141C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41C-410C-A4D3-8B420E0141C1}"/>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541C-410C-A4D3-8B420E0141C1}"/>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541C-410C-A4D3-8B420E0141C1}"/>
                </c:ext>
              </c:extLst>
            </c:dLbl>
            <c:dLbl>
              <c:idx val="2"/>
              <c:layout>
                <c:manualLayout>
                  <c:x val="7.6125037837971171E-2"/>
                  <c:y val="0.16144853048854144"/>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541C-410C-A4D3-8B420E0141C1}"/>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D20'!$I$46:$K$46</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541C-410C-A4D3-8B420E0141C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BD0-4A1E-9D3E-2C3ECF9406A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BD0-4A1E-9D3E-2C3ECF9406A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BD0-4A1E-9D3E-2C3ECF9406A4}"/>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BD0-4A1E-9D3E-2C3ECF9406A4}"/>
                </c:ext>
              </c:extLst>
            </c:dLbl>
            <c:dLbl>
              <c:idx val="1"/>
              <c:layout>
                <c:manualLayout>
                  <c:x val="0.21030630918659338"/>
                  <c:y val="-9.057712621285532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r>
                      <a:rPr lang="en-US" baseline="0"/>
                      <a:t>
</a:t>
                    </a:r>
                    <a:fld id="{D116BD1E-0696-4A34-8F48-98635DC4A8B4}" type="PERCENTAGE">
                      <a:rPr lang="en-US" baseline="0"/>
                      <a:pPr>
                        <a:defRPr/>
                      </a:pPr>
                      <a:t>[PERCENTAGE]</a:t>
                    </a:fld>
                    <a:endParaRPr lang="en-US" baseline="0"/>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fr-FR"/>
                </a:p>
              </c:txPr>
              <c:dLblPos val="bestFit"/>
              <c:showLegendKey val="0"/>
              <c:showVal val="0"/>
              <c:showCatName val="1"/>
              <c:showSerName val="0"/>
              <c:showPercent val="1"/>
              <c:showBubbleSize val="0"/>
              <c:extLst>
                <c:ext xmlns:c15="http://schemas.microsoft.com/office/drawing/2012/chart" uri="{CE6537A1-D6FC-4f65-9D91-7224C49458BB}">
                  <c15:layout>
                    <c:manualLayout>
                      <c:w val="0.17694147851184852"/>
                      <c:h val="0.14366524244455969"/>
                    </c:manualLayout>
                  </c15:layout>
                  <c15:dlblFieldTable/>
                  <c15:showDataLabelsRange val="0"/>
                </c:ext>
                <c:ext xmlns:c16="http://schemas.microsoft.com/office/drawing/2014/chart" uri="{C3380CC4-5D6E-409C-BE32-E72D297353CC}">
                  <c16:uniqueId val="{00000003-6BD0-4A1E-9D3E-2C3ECF9406A4}"/>
                </c:ext>
              </c:extLst>
            </c:dLbl>
            <c:dLbl>
              <c:idx val="2"/>
              <c:layout>
                <c:manualLayout>
                  <c:x val="5.8782461014328831E-2"/>
                  <c:y val="0.15042568533441283"/>
                </c:manualLayout>
              </c:layout>
              <c:tx>
                <c:rich>
                  <a:bodyPr/>
                  <a:lstStyle/>
                  <a:p>
                    <a:r>
                      <a:rPr lang="en-US" baseline="0"/>
                      <a:t>Fat
</a:t>
                    </a:r>
                    <a:fld id="{AC4586C2-9665-40F4-B967-9FB3F802DC51}"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6BD0-4A1E-9D3E-2C3ECF9406A4}"/>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D21'!$I$44:$K$44</c:f>
              <c:numCache>
                <c:formatCode>0.00</c:formatCode>
                <c:ptCount val="3"/>
                <c:pt idx="0">
                  <c:v>181.10499999999999</c:v>
                </c:pt>
                <c:pt idx="1">
                  <c:v>135.465</c:v>
                </c:pt>
                <c:pt idx="2">
                  <c:v>42.564000000000007</c:v>
                </c:pt>
              </c:numCache>
            </c:numRef>
          </c:val>
          <c:extLst>
            <c:ext xmlns:c16="http://schemas.microsoft.com/office/drawing/2014/chart" uri="{C3380CC4-5D6E-409C-BE32-E72D297353CC}">
              <c16:uniqueId val="{00000006-6BD0-4A1E-9D3E-2C3ECF9406A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Weigth</a:t>
            </a:r>
            <a:r>
              <a:rPr lang="fr-FR" baseline="0"/>
              <a:t> loss</a:t>
            </a:r>
            <a:endParaRPr lang="fr-FR"/>
          </a:p>
        </c:rich>
      </c:tx>
      <c:layout>
        <c:manualLayout>
          <c:xMode val="edge"/>
          <c:yMode val="edge"/>
          <c:x val="0.37603082856295611"/>
          <c:y val="2.3571799515720162E-2"/>
        </c:manualLayout>
      </c:layout>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10A-4E89-8899-B1E8152D926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10A-4E89-8899-B1E8152D926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10A-4E89-8899-B1E8152D9265}"/>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810A-4E89-8899-B1E8152D9265}"/>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810A-4E89-8899-B1E8152D9265}"/>
                </c:ext>
              </c:extLst>
            </c:dLbl>
            <c:dLbl>
              <c:idx val="2"/>
              <c:layout>
                <c:manualLayout>
                  <c:x val="4.5423741651839773E-2"/>
                  <c:y val="0.16144863742006468"/>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810A-4E89-8899-B1E8152D9265}"/>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D21'!$I$47:$K$47</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810A-4E89-8899-B1E8152D9265}"/>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Recomposition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dLbl>
              <c:idx val="0"/>
              <c:layout>
                <c:manualLayout>
                  <c:x val="-0.17704711802685405"/>
                  <c:y val="9.376010160485187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a:t>
                    </a:r>
                  </a:p>
                  <a:p>
                    <a:pPr>
                      <a:defRPr sz="1000" b="1" i="0" u="none" strike="noStrike" kern="1200" baseline="0">
                        <a:solidFill>
                          <a:schemeClr val="lt1"/>
                        </a:solidFill>
                        <a:latin typeface="+mn-lt"/>
                        <a:ea typeface="+mn-ea"/>
                        <a:cs typeface="+mn-cs"/>
                      </a:defRPr>
                    </a:pPr>
                    <a:fld id="{78E0EA12-C097-4952-9027-04DC599FAC58}"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layout>
                    <c:manualLayout>
                      <c:w val="0.12064206445579412"/>
                      <c:h val="0.12943686104713192"/>
                    </c:manualLayout>
                  </c15:layout>
                  <c15:dlblFieldTable/>
                  <c15:showDataLabelsRange val="0"/>
                </c:ext>
                <c:ext xmlns:c16="http://schemas.microsoft.com/office/drawing/2014/chart" uri="{C3380CC4-5D6E-409C-BE32-E72D297353CC}">
                  <c16:uniqueId val="{00000000-9A7D-4D39-91B0-B4A6DDB6FA97}"/>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8C2DFE6E-B98B-47DB-9170-0D3E8FF9BA89}"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9A7D-4D39-91B0-B4A6DDB6FA97}"/>
                </c:ext>
              </c:extLst>
            </c:dLbl>
            <c:dLbl>
              <c:idx val="2"/>
              <c:layout>
                <c:manualLayout>
                  <c:x val="0.10500174409922035"/>
                  <c:y val="0.19268395802726243"/>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Fat</a:t>
                    </a:r>
                  </a:p>
                  <a:p>
                    <a:pPr>
                      <a:defRPr sz="1000" b="1" i="0" u="none" strike="noStrike" kern="1200" baseline="0">
                        <a:solidFill>
                          <a:schemeClr val="lt1"/>
                        </a:solidFill>
                        <a:latin typeface="+mn-lt"/>
                        <a:ea typeface="+mn-ea"/>
                        <a:cs typeface="+mn-cs"/>
                      </a:defRPr>
                    </a:pPr>
                    <a:fld id="{E5C9F353-E119-4B35-8DB9-979DD2E9D43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1"/>
              <c:showSerName val="0"/>
              <c:showPercent val="1"/>
              <c:showBubbleSize val="0"/>
              <c:extLst>
                <c:ext xmlns:c15="http://schemas.microsoft.com/office/drawing/2012/chart" uri="{CE6537A1-D6FC-4f65-9D91-7224C49458BB}">
                  <c15:layout>
                    <c:manualLayout>
                      <c:w val="9.6806488638956453E-2"/>
                      <c:h val="0.12943686104713192"/>
                    </c:manualLayout>
                  </c15:layout>
                  <c15:dlblFieldTable/>
                  <c15:showDataLabelsRange val="0"/>
                </c:ext>
                <c:ext xmlns:c16="http://schemas.microsoft.com/office/drawing/2014/chart" uri="{C3380CC4-5D6E-409C-BE32-E72D297353CC}">
                  <c16:uniqueId val="{00000002-9A7D-4D39-91B0-B4A6DDB6FA97}"/>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D21'!$I$3:$K$3</c:f>
              <c:strCache>
                <c:ptCount val="3"/>
                <c:pt idx="0">
                  <c:v>Prot</c:v>
                </c:pt>
                <c:pt idx="1">
                  <c:v>Carb</c:v>
                </c:pt>
                <c:pt idx="2">
                  <c:v>Fat</c:v>
                </c:pt>
              </c:strCache>
            </c:strRef>
          </c:cat>
          <c:val>
            <c:numRef>
              <c:f>'Eaten D21'!$I$48:$K$48</c:f>
              <c:numCache>
                <c:formatCode>0.00</c:formatCode>
                <c:ptCount val="3"/>
                <c:pt idx="0">
                  <c:v>169.86597099999997</c:v>
                </c:pt>
                <c:pt idx="1">
                  <c:v>184.63692499999999</c:v>
                </c:pt>
                <c:pt idx="2">
                  <c:v>51.69833899999999</c:v>
                </c:pt>
              </c:numCache>
            </c:numRef>
          </c:val>
          <c:extLst>
            <c:ext xmlns:c16="http://schemas.microsoft.com/office/drawing/2014/chart" uri="{C3380CC4-5D6E-409C-BE32-E72D297353CC}">
              <c16:uniqueId val="{00000003-9A7D-4D39-91B0-B4A6DDB6FA97}"/>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Muscle</a:t>
            </a:r>
            <a:r>
              <a:rPr lang="fr-FR" baseline="0"/>
              <a:t> gain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D21'!$I$3:$K$3</c:f>
              <c:strCache>
                <c:ptCount val="3"/>
                <c:pt idx="0">
                  <c:v>Prot</c:v>
                </c:pt>
                <c:pt idx="1">
                  <c:v>Carb</c:v>
                </c:pt>
                <c:pt idx="2">
                  <c:v>Fat</c:v>
                </c:pt>
              </c:strCache>
            </c:strRef>
          </c:cat>
          <c:val>
            <c:numRef>
              <c:f>'Eaten D21'!$I$49:$K$49</c:f>
              <c:numCache>
                <c:formatCode>0.00</c:formatCode>
                <c:ptCount val="3"/>
                <c:pt idx="0">
                  <c:v>162.48049400000002</c:v>
                </c:pt>
                <c:pt idx="1">
                  <c:v>295.41907999999995</c:v>
                </c:pt>
                <c:pt idx="2">
                  <c:v>73.854769999999988</c:v>
                </c:pt>
              </c:numCache>
            </c:numRef>
          </c:val>
          <c:extLst>
            <c:ext xmlns:c16="http://schemas.microsoft.com/office/drawing/2014/chart" uri="{C3380CC4-5D6E-409C-BE32-E72D297353CC}">
              <c16:uniqueId val="{00000000-A41D-476E-AD0C-FF5E6D6DC0E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Fat loss</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AA5-4F55-9D8F-771A172FF06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AA5-4F55-9D8F-771A172FF06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AA5-4F55-9D8F-771A172FF068}"/>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BAA5-4F55-9D8F-771A172FF068}"/>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BAA5-4F55-9D8F-771A172FF068}"/>
                </c:ext>
              </c:extLst>
            </c:dLbl>
            <c:dLbl>
              <c:idx val="2"/>
              <c:layout>
                <c:manualLayout>
                  <c:x val="7.6125037837971171E-2"/>
                  <c:y val="0.16144853048854144"/>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BAA5-4F55-9D8F-771A172FF068}"/>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D21'!$I$47:$K$47</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BAA5-4F55-9D8F-771A172FF06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Macro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829-4ABC-A489-8D29DAD8D37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829-4ABC-A489-8D29DAD8D37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829-4ABC-A489-8D29DAD8D371}"/>
              </c:ext>
            </c:extLst>
          </c:dPt>
          <c:dLbls>
            <c:dLbl>
              <c:idx val="0"/>
              <c:tx>
                <c:rich>
                  <a:bodyPr/>
                  <a:lstStyle/>
                  <a:p>
                    <a:r>
                      <a:rPr lang="en-US"/>
                      <a:t>Protein</a:t>
                    </a:r>
                    <a:r>
                      <a:rPr lang="en-US" baseline="0"/>
                      <a:t>
</a:t>
                    </a:r>
                    <a:fld id="{421EF8DC-02F1-4C6A-9152-57DE1B7A20CA}" type="PERCENTAGE">
                      <a:rPr lang="en-US" baseline="0"/>
                      <a:pPr/>
                      <a:t>[PERCENTAGE]</a:t>
                    </a:fld>
                    <a:endParaRPr lang="en-US" baseline="0"/>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8829-4ABC-A489-8D29DAD8D371}"/>
                </c:ext>
              </c:extLst>
            </c:dLbl>
            <c:dLbl>
              <c:idx val="1"/>
              <c:layout>
                <c:manualLayout>
                  <c:x val="0.21030630918659338"/>
                  <c:y val="-9.057712621285532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r>
                      <a:rPr lang="en-US" baseline="0"/>
                      <a:t>
</a:t>
                    </a:r>
                    <a:fld id="{D116BD1E-0696-4A34-8F48-98635DC4A8B4}" type="PERCENTAGE">
                      <a:rPr lang="en-US" baseline="0"/>
                      <a:pPr>
                        <a:defRPr/>
                      </a:pPr>
                      <a:t>[PERCENTAGE]</a:t>
                    </a:fld>
                    <a:endParaRPr lang="en-US" baseline="0"/>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fr-FR"/>
                </a:p>
              </c:txPr>
              <c:dLblPos val="bestFit"/>
              <c:showLegendKey val="0"/>
              <c:showVal val="0"/>
              <c:showCatName val="1"/>
              <c:showSerName val="0"/>
              <c:showPercent val="1"/>
              <c:showBubbleSize val="0"/>
              <c:extLst>
                <c:ext xmlns:c15="http://schemas.microsoft.com/office/drawing/2012/chart" uri="{CE6537A1-D6FC-4f65-9D91-7224C49458BB}">
                  <c15:layout>
                    <c:manualLayout>
                      <c:w val="0.17694147851184852"/>
                      <c:h val="0.14366524244455969"/>
                    </c:manualLayout>
                  </c15:layout>
                  <c15:dlblFieldTable/>
                  <c15:showDataLabelsRange val="0"/>
                </c:ext>
                <c:ext xmlns:c16="http://schemas.microsoft.com/office/drawing/2014/chart" uri="{C3380CC4-5D6E-409C-BE32-E72D297353CC}">
                  <c16:uniqueId val="{00000003-8829-4ABC-A489-8D29DAD8D371}"/>
                </c:ext>
              </c:extLst>
            </c:dLbl>
            <c:dLbl>
              <c:idx val="2"/>
              <c:layout>
                <c:manualLayout>
                  <c:x val="5.8782461014328831E-2"/>
                  <c:y val="0.15042568533441283"/>
                </c:manualLayout>
              </c:layout>
              <c:tx>
                <c:rich>
                  <a:bodyPr/>
                  <a:lstStyle/>
                  <a:p>
                    <a:r>
                      <a:rPr lang="en-US" baseline="0"/>
                      <a:t>Fat
</a:t>
                    </a:r>
                    <a:fld id="{AC4586C2-9665-40F4-B967-9FB3F802DC51}"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8829-4ABC-A489-8D29DAD8D371}"/>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D22'!$I$44:$K$44</c:f>
              <c:numCache>
                <c:formatCode>0.00</c:formatCode>
                <c:ptCount val="3"/>
                <c:pt idx="0">
                  <c:v>190.28899999999999</c:v>
                </c:pt>
                <c:pt idx="1">
                  <c:v>128.029</c:v>
                </c:pt>
                <c:pt idx="2">
                  <c:v>40.862000000000002</c:v>
                </c:pt>
              </c:numCache>
            </c:numRef>
          </c:val>
          <c:extLst>
            <c:ext xmlns:c16="http://schemas.microsoft.com/office/drawing/2014/chart" uri="{C3380CC4-5D6E-409C-BE32-E72D297353CC}">
              <c16:uniqueId val="{00000006-8829-4ABC-A489-8D29DAD8D37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Weigth</a:t>
            </a:r>
            <a:r>
              <a:rPr lang="fr-FR" baseline="0"/>
              <a:t> loss</a:t>
            </a:r>
            <a:endParaRPr lang="fr-FR"/>
          </a:p>
        </c:rich>
      </c:tx>
      <c:layout>
        <c:manualLayout>
          <c:xMode val="edge"/>
          <c:yMode val="edge"/>
          <c:x val="0.37603082856295611"/>
          <c:y val="2.3571799515720162E-2"/>
        </c:manualLayout>
      </c:layout>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EBF-4103-9938-D856A6C2221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EBF-4103-9938-D856A6C2221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EBF-4103-9938-D856A6C2221D}"/>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0EBF-4103-9938-D856A6C2221D}"/>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0EBF-4103-9938-D856A6C2221D}"/>
                </c:ext>
              </c:extLst>
            </c:dLbl>
            <c:dLbl>
              <c:idx val="2"/>
              <c:layout>
                <c:manualLayout>
                  <c:x val="4.5423741651839773E-2"/>
                  <c:y val="0.16144863742006468"/>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0EBF-4103-9938-D856A6C2221D}"/>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D22'!$I$47:$K$47</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0EBF-4103-9938-D856A6C2221D}"/>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Recomposition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dLbl>
              <c:idx val="0"/>
              <c:layout>
                <c:manualLayout>
                  <c:x val="-0.17704711802685405"/>
                  <c:y val="9.3760101604851875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a:t>
                    </a:r>
                  </a:p>
                  <a:p>
                    <a:pPr>
                      <a:defRPr sz="1000" b="1" i="0" u="none" strike="noStrike" kern="1200" baseline="0">
                        <a:solidFill>
                          <a:schemeClr val="lt1"/>
                        </a:solidFill>
                        <a:latin typeface="+mn-lt"/>
                        <a:ea typeface="+mn-ea"/>
                        <a:cs typeface="+mn-cs"/>
                      </a:defRPr>
                    </a:pPr>
                    <a:fld id="{78E0EA12-C097-4952-9027-04DC599FAC58}"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layout>
                    <c:manualLayout>
                      <c:w val="0.12064206445579412"/>
                      <c:h val="0.12943686104713192"/>
                    </c:manualLayout>
                  </c15:layout>
                  <c15:dlblFieldTable/>
                  <c15:showDataLabelsRange val="0"/>
                </c:ext>
                <c:ext xmlns:c16="http://schemas.microsoft.com/office/drawing/2014/chart" uri="{C3380CC4-5D6E-409C-BE32-E72D297353CC}">
                  <c16:uniqueId val="{00000000-9E44-419C-A0EC-2CCD519F6D19}"/>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8C2DFE6E-B98B-47DB-9170-0D3E8FF9BA89}"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9E44-419C-A0EC-2CCD519F6D19}"/>
                </c:ext>
              </c:extLst>
            </c:dLbl>
            <c:dLbl>
              <c:idx val="2"/>
              <c:layout>
                <c:manualLayout>
                  <c:x val="0.10500174409922035"/>
                  <c:y val="0.19268395802726243"/>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Fat</a:t>
                    </a:r>
                  </a:p>
                  <a:p>
                    <a:pPr>
                      <a:defRPr sz="1000" b="1" i="0" u="none" strike="noStrike" kern="1200" baseline="0">
                        <a:solidFill>
                          <a:schemeClr val="lt1"/>
                        </a:solidFill>
                        <a:latin typeface="+mn-lt"/>
                        <a:ea typeface="+mn-ea"/>
                        <a:cs typeface="+mn-cs"/>
                      </a:defRPr>
                    </a:pPr>
                    <a:fld id="{E5C9F353-E119-4B35-8DB9-979DD2E9D43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1"/>
              <c:showSerName val="0"/>
              <c:showPercent val="1"/>
              <c:showBubbleSize val="0"/>
              <c:extLst>
                <c:ext xmlns:c15="http://schemas.microsoft.com/office/drawing/2012/chart" uri="{CE6537A1-D6FC-4f65-9D91-7224C49458BB}">
                  <c15:layout>
                    <c:manualLayout>
                      <c:w val="9.6806488638956453E-2"/>
                      <c:h val="0.12943686104713192"/>
                    </c:manualLayout>
                  </c15:layout>
                  <c15:dlblFieldTable/>
                  <c15:showDataLabelsRange val="0"/>
                </c:ext>
                <c:ext xmlns:c16="http://schemas.microsoft.com/office/drawing/2014/chart" uri="{C3380CC4-5D6E-409C-BE32-E72D297353CC}">
                  <c16:uniqueId val="{00000002-9E44-419C-A0EC-2CCD519F6D19}"/>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D22'!$I$3:$K$3</c:f>
              <c:strCache>
                <c:ptCount val="3"/>
                <c:pt idx="0">
                  <c:v>Prot</c:v>
                </c:pt>
                <c:pt idx="1">
                  <c:v>Carb</c:v>
                </c:pt>
                <c:pt idx="2">
                  <c:v>Fat</c:v>
                </c:pt>
              </c:strCache>
            </c:strRef>
          </c:cat>
          <c:val>
            <c:numRef>
              <c:f>'Eaten D22'!$I$48:$K$48</c:f>
              <c:numCache>
                <c:formatCode>0.00</c:formatCode>
                <c:ptCount val="3"/>
                <c:pt idx="0">
                  <c:v>169.86597099999997</c:v>
                </c:pt>
                <c:pt idx="1">
                  <c:v>184.63692499999999</c:v>
                </c:pt>
                <c:pt idx="2">
                  <c:v>51.69833899999999</c:v>
                </c:pt>
              </c:numCache>
            </c:numRef>
          </c:val>
          <c:extLst>
            <c:ext xmlns:c16="http://schemas.microsoft.com/office/drawing/2014/chart" uri="{C3380CC4-5D6E-409C-BE32-E72D297353CC}">
              <c16:uniqueId val="{00000003-9E44-419C-A0EC-2CCD519F6D1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Muscle</a:t>
            </a:r>
            <a:r>
              <a:rPr lang="fr-FR" baseline="0"/>
              <a:t> gain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'Eaten D22'!$I$3:$K$3</c:f>
              <c:strCache>
                <c:ptCount val="3"/>
                <c:pt idx="0">
                  <c:v>Prot</c:v>
                </c:pt>
                <c:pt idx="1">
                  <c:v>Carb</c:v>
                </c:pt>
                <c:pt idx="2">
                  <c:v>Fat</c:v>
                </c:pt>
              </c:strCache>
            </c:strRef>
          </c:cat>
          <c:val>
            <c:numRef>
              <c:f>'Eaten D22'!$I$49:$K$49</c:f>
              <c:numCache>
                <c:formatCode>0.00</c:formatCode>
                <c:ptCount val="3"/>
                <c:pt idx="0">
                  <c:v>162.48049400000002</c:v>
                </c:pt>
                <c:pt idx="1">
                  <c:v>295.41907999999995</c:v>
                </c:pt>
                <c:pt idx="2">
                  <c:v>73.854769999999988</c:v>
                </c:pt>
              </c:numCache>
            </c:numRef>
          </c:val>
          <c:extLst>
            <c:ext xmlns:c16="http://schemas.microsoft.com/office/drawing/2014/chart" uri="{C3380CC4-5D6E-409C-BE32-E72D297353CC}">
              <c16:uniqueId val="{00000000-E1DA-437A-BD35-7476123ABCB0}"/>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Fat loss</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65B-4777-B317-6F665CABCA7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65B-4777-B317-6F665CABCA7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65B-4777-B317-6F665CABCA73}"/>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Protein</a:t>
                    </a:r>
                  </a:p>
                  <a:p>
                    <a:pPr>
                      <a:defRPr sz="1000" b="1" i="0" u="none" strike="noStrike" kern="1200" baseline="0">
                        <a:solidFill>
                          <a:schemeClr val="lt1"/>
                        </a:solidFill>
                        <a:latin typeface="+mn-lt"/>
                        <a:ea typeface="+mn-ea"/>
                        <a:cs typeface="+mn-cs"/>
                      </a:defRPr>
                    </a:pPr>
                    <a:fld id="{E542E121-4435-4E83-8425-7C39A9EE2FF4}"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965B-4777-B317-6F665CABCA73}"/>
                </c:ext>
              </c:extLst>
            </c:dLbl>
            <c:dLbl>
              <c:idx val="1"/>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Carb</a:t>
                    </a:r>
                  </a:p>
                  <a:p>
                    <a:pPr>
                      <a:defRPr sz="1000" b="1" i="0" u="none" strike="noStrike" kern="1200" baseline="0">
                        <a:solidFill>
                          <a:schemeClr val="lt1"/>
                        </a:solidFill>
                        <a:latin typeface="+mn-lt"/>
                        <a:ea typeface="+mn-ea"/>
                        <a:cs typeface="+mn-cs"/>
                      </a:defRPr>
                    </a:pPr>
                    <a:fld id="{BDF9A0B2-8E2D-405D-93AF-93033D86A3F5}"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965B-4777-B317-6F665CABCA73}"/>
                </c:ext>
              </c:extLst>
            </c:dLbl>
            <c:dLbl>
              <c:idx val="2"/>
              <c:layout>
                <c:manualLayout>
                  <c:x val="7.6125037837971171E-2"/>
                  <c:y val="0.16144853048854144"/>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r>
                      <a:rPr lang="en-US"/>
                      <a:t>Far</a:t>
                    </a:r>
                  </a:p>
                  <a:p>
                    <a:pPr>
                      <a:defRPr sz="1000" b="1" i="0" u="none" strike="noStrike" kern="1200" baseline="0">
                        <a:solidFill>
                          <a:schemeClr val="lt1"/>
                        </a:solidFill>
                        <a:latin typeface="+mn-lt"/>
                        <a:ea typeface="+mn-ea"/>
                        <a:cs typeface="+mn-cs"/>
                      </a:defRPr>
                    </a:pPr>
                    <a:fld id="{11C5036B-B900-4057-8569-21BC9BEB73E2}" type="PERCENTAGE">
                      <a:rPr lang="en-US"/>
                      <a:pPr>
                        <a:defRPr sz="1000" b="1" i="0" u="none" strike="noStrike" kern="1200" baseline="0">
                          <a:solidFill>
                            <a:schemeClr val="lt1"/>
                          </a:solidFill>
                          <a:latin typeface="+mn-lt"/>
                          <a:ea typeface="+mn-ea"/>
                          <a:cs typeface="+mn-cs"/>
                        </a:defRPr>
                      </a:pPr>
                      <a:t>[PERCENTAGE]</a:t>
                    </a:fld>
                    <a:endParaRPr lang="fr-FR"/>
                  </a:p>
                </c:rich>
              </c:tx>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5-965B-4777-B317-6F665CABCA73}"/>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'Eaten D22'!$I$47:$K$47</c:f>
              <c:numCache>
                <c:formatCode>0.00</c:formatCode>
                <c:ptCount val="3"/>
                <c:pt idx="0">
                  <c:v>184.63692499999999</c:v>
                </c:pt>
                <c:pt idx="1">
                  <c:v>147.70953999999998</c:v>
                </c:pt>
                <c:pt idx="2">
                  <c:v>39.8815758</c:v>
                </c:pt>
              </c:numCache>
            </c:numRef>
          </c:val>
          <c:extLst>
            <c:ext xmlns:c16="http://schemas.microsoft.com/office/drawing/2014/chart" uri="{C3380CC4-5D6E-409C-BE32-E72D297353CC}">
              <c16:uniqueId val="{00000006-965B-4777-B317-6F665CABCA7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Recomposition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C538-42EC-B151-5D367384D44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Muscle</a:t>
            </a:r>
            <a:r>
              <a:rPr lang="fr-FR" baseline="0"/>
              <a:t> gain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21AF-4A19-AAB4-A5F251498BF2}"/>
            </c:ext>
          </c:extLst>
        </c:ser>
        <c:dLbls>
          <c:dLblPos val="ctr"/>
          <c:showLegendKey val="0"/>
          <c:showVal val="0"/>
          <c:showCatName val="0"/>
          <c:showSerName val="0"/>
          <c:showPercent val="1"/>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Fat loss</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#REF!</c:f>
              <c:numCache>
                <c:formatCode>General</c:formatCode>
                <c:ptCount val="1"/>
                <c:pt idx="0">
                  <c:v>1</c:v>
                </c:pt>
              </c:numCache>
            </c:numRef>
          </c:val>
          <c:extLst>
            <c:ext xmlns:c16="http://schemas.microsoft.com/office/drawing/2014/chart" uri="{C3380CC4-5D6E-409C-BE32-E72D297353CC}">
              <c16:uniqueId val="{00000006-3BA9-4085-BC6A-FE8D041DC5B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Today's</a:t>
            </a:r>
            <a:r>
              <a:rPr lang="fr-FR" baseline="0"/>
              <a:t> macro intake</a:t>
            </a:r>
            <a:endParaRPr lang="fr-F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tx>
            <c:v>Todays macro</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BE1-46C3-AA8C-01BEBAA7274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BE1-46C3-AA8C-01BEBAA7274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BE1-46C3-AA8C-01BEBAA7274B}"/>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Food_Log!$L$39:$N$39</c:f>
              <c:strCache>
                <c:ptCount val="3"/>
                <c:pt idx="0">
                  <c:v>Prot</c:v>
                </c:pt>
                <c:pt idx="1">
                  <c:v>Carb</c:v>
                </c:pt>
                <c:pt idx="2">
                  <c:v>Fat</c:v>
                </c:pt>
              </c:strCache>
            </c:strRef>
          </c:cat>
          <c:val>
            <c:numRef>
              <c:f>Food_Log!$L$40:$N$40</c:f>
              <c:numCache>
                <c:formatCode>General</c:formatCode>
                <c:ptCount val="3"/>
                <c:pt idx="0">
                  <c:v>159.41</c:v>
                </c:pt>
                <c:pt idx="1">
                  <c:v>411.17899999999997</c:v>
                </c:pt>
                <c:pt idx="2">
                  <c:v>108.117</c:v>
                </c:pt>
              </c:numCache>
            </c:numRef>
          </c:val>
          <c:extLst>
            <c:ext xmlns:c16="http://schemas.microsoft.com/office/drawing/2014/chart" uri="{C3380CC4-5D6E-409C-BE32-E72D297353CC}">
              <c16:uniqueId val="{00000006-1BE1-46C3-AA8C-01BEBAA7274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Today's</a:t>
            </a:r>
            <a:r>
              <a:rPr lang="fr-FR" baseline="0"/>
              <a:t> macro goal</a:t>
            </a:r>
            <a:endParaRPr lang="fr-F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8F8-4013-B69D-4D666FEF2E4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8F8-4013-B69D-4D666FEF2E4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8F8-4013-B69D-4D666FEF2E4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Food_Log!$L$39:$N$39</c:f>
              <c:strCache>
                <c:ptCount val="3"/>
                <c:pt idx="0">
                  <c:v>Prot</c:v>
                </c:pt>
                <c:pt idx="1">
                  <c:v>Carb</c:v>
                </c:pt>
                <c:pt idx="2">
                  <c:v>Fat</c:v>
                </c:pt>
              </c:strCache>
            </c:strRef>
          </c:cat>
          <c:val>
            <c:numRef>
              <c:f>Food_Log!$L$41:$N$41</c:f>
              <c:numCache>
                <c:formatCode>General</c:formatCode>
                <c:ptCount val="3"/>
                <c:pt idx="0">
                  <c:v>157.4</c:v>
                </c:pt>
                <c:pt idx="1">
                  <c:v>409.63692500000002</c:v>
                </c:pt>
                <c:pt idx="2">
                  <c:v>107.69833899999999</c:v>
                </c:pt>
              </c:numCache>
            </c:numRef>
          </c:val>
          <c:extLst>
            <c:ext xmlns:c16="http://schemas.microsoft.com/office/drawing/2014/chart" uri="{C3380CC4-5D6E-409C-BE32-E72D297353CC}">
              <c16:uniqueId val="{00000006-88F8-4013-B69D-4D666FEF2E42}"/>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Recomposition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C538-42EC-B151-5D367384D44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Muscle</a:t>
            </a:r>
            <a:r>
              <a:rPr lang="fr-FR" baseline="0"/>
              <a:t> gain</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21AF-4A19-AAB4-A5F251498BF2}"/>
            </c:ext>
          </c:extLst>
        </c:ser>
        <c:dLbls>
          <c:dLblPos val="ctr"/>
          <c:showLegendKey val="0"/>
          <c:showVal val="0"/>
          <c:showCatName val="0"/>
          <c:showSerName val="0"/>
          <c:showPercent val="1"/>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Fat loss</a:t>
            </a:r>
          </a:p>
        </c:rich>
      </c:tx>
      <c:overlay val="0"/>
      <c:spPr>
        <a:noFill/>
        <a:ln>
          <a:noFill/>
        </a:ln>
        <a:effectLst/>
      </c:spPr>
    </c:title>
    <c:autoTitleDeleted val="0"/>
    <c:plotArea>
      <c:layout>
        <c:manualLayout>
          <c:layoutTarget val="inner"/>
          <c:xMode val="edge"/>
          <c:yMode val="edge"/>
          <c:x val="0.19894179695574918"/>
          <c:y val="0.13702179550943805"/>
          <c:w val="0.61421651336199856"/>
          <c:h val="0.77298745663269264"/>
        </c:manualLayout>
      </c:layout>
      <c:pieChart>
        <c:varyColors val="1"/>
        <c:ser>
          <c:idx val="0"/>
          <c:order val="0"/>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#REF!</c:f>
              <c:numCache>
                <c:formatCode>General</c:formatCode>
                <c:ptCount val="1"/>
                <c:pt idx="0">
                  <c:v>1</c:v>
                </c:pt>
              </c:numCache>
            </c:numRef>
          </c:val>
          <c:extLst>
            <c:ext xmlns:c16="http://schemas.microsoft.com/office/drawing/2014/chart" uri="{C3380CC4-5D6E-409C-BE32-E72D297353CC}">
              <c16:uniqueId val="{00000006-3BA9-4085-BC6A-FE8D041DC5B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Today's</a:t>
            </a:r>
            <a:r>
              <a:rPr lang="fr-FR" baseline="0"/>
              <a:t> macro intake</a:t>
            </a:r>
            <a:endParaRPr lang="fr-F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tx>
            <c:v>Todays macro</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BE1-46C3-AA8C-01BEBAA7274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BE1-46C3-AA8C-01BEBAA7274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BE1-46C3-AA8C-01BEBAA7274B}"/>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'Food_Log (1)'!$L$39:$N$39</c:f>
              <c:strCache>
                <c:ptCount val="3"/>
                <c:pt idx="0">
                  <c:v>Prot</c:v>
                </c:pt>
                <c:pt idx="1">
                  <c:v>Carb</c:v>
                </c:pt>
                <c:pt idx="2">
                  <c:v>Fat</c:v>
                </c:pt>
              </c:strCache>
            </c:strRef>
          </c:cat>
          <c:val>
            <c:numRef>
              <c:f>'Food_Log (1)'!$L$40:$N$40</c:f>
              <c:numCache>
                <c:formatCode>General</c:formatCode>
                <c:ptCount val="3"/>
                <c:pt idx="0">
                  <c:v>158.96199999999999</c:v>
                </c:pt>
                <c:pt idx="1">
                  <c:v>410.50699999999995</c:v>
                </c:pt>
                <c:pt idx="2">
                  <c:v>107.89299999999999</c:v>
                </c:pt>
              </c:numCache>
            </c:numRef>
          </c:val>
          <c:extLst>
            <c:ext xmlns:c16="http://schemas.microsoft.com/office/drawing/2014/chart" uri="{C3380CC4-5D6E-409C-BE32-E72D297353CC}">
              <c16:uniqueId val="{00000006-1BE1-46C3-AA8C-01BEBAA7274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Today's</a:t>
            </a:r>
            <a:r>
              <a:rPr lang="fr-FR" baseline="0"/>
              <a:t> macro goal</a:t>
            </a:r>
            <a:endParaRPr lang="fr-F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8F8-4013-B69D-4D666FEF2E4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8F8-4013-B69D-4D666FEF2E4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8F8-4013-B69D-4D666FEF2E4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'Food_Log (1)'!$L$39:$N$39</c:f>
              <c:strCache>
                <c:ptCount val="3"/>
                <c:pt idx="0">
                  <c:v>Prot</c:v>
                </c:pt>
                <c:pt idx="1">
                  <c:v>Carb</c:v>
                </c:pt>
                <c:pt idx="2">
                  <c:v>Fat</c:v>
                </c:pt>
              </c:strCache>
            </c:strRef>
          </c:cat>
          <c:val>
            <c:numRef>
              <c:f>'Food_Log (1)'!$L$41:$N$41</c:f>
              <c:numCache>
                <c:formatCode>General</c:formatCode>
                <c:ptCount val="3"/>
                <c:pt idx="0">
                  <c:v>157.4</c:v>
                </c:pt>
                <c:pt idx="1">
                  <c:v>409.63692500000002</c:v>
                </c:pt>
                <c:pt idx="2">
                  <c:v>107.69833899999999</c:v>
                </c:pt>
              </c:numCache>
            </c:numRef>
          </c:val>
          <c:extLst>
            <c:ext xmlns:c16="http://schemas.microsoft.com/office/drawing/2014/chart" uri="{C3380CC4-5D6E-409C-BE32-E72D297353CC}">
              <c16:uniqueId val="{00000006-88F8-4013-B69D-4D666FEF2E42}"/>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M$4" lockText="1" noThreeD="1"/>
</file>

<file path=xl/ctrlProps/ctrlProp2.xml><?xml version="1.0" encoding="utf-8"?>
<formControlPr xmlns="http://schemas.microsoft.com/office/spreadsheetml/2009/9/main" objectType="CheckBox" checked="Checked" fmlaLink="$M$5" lockText="1" noThreeD="1"/>
</file>

<file path=xl/ctrlProps/ctrlProp3.xml><?xml version="1.0" encoding="utf-8"?>
<formControlPr xmlns="http://schemas.microsoft.com/office/spreadsheetml/2009/9/main" objectType="CheckBox" fmlaLink="$M$6" lockText="1" noThreeD="1"/>
</file>

<file path=xl/ctrlProps/ctrlProp4.xml><?xml version="1.0" encoding="utf-8"?>
<formControlPr xmlns="http://schemas.microsoft.com/office/spreadsheetml/2009/9/main" objectType="CheckBox" fmlaLink="$M$8" lockText="1" noThreeD="1"/>
</file>

<file path=xl/ctrlProps/ctrlProp5.xml><?xml version="1.0" encoding="utf-8"?>
<formControlPr xmlns="http://schemas.microsoft.com/office/spreadsheetml/2009/9/main" objectType="CheckBox" checked="Checked" fmlaLink="$M$7" lockText="1" noThreeD="1"/>
</file>

<file path=xl/ctrlProps/ctrlProp6.xml><?xml version="1.0" encoding="utf-8"?>
<formControlPr xmlns="http://schemas.microsoft.com/office/spreadsheetml/2009/9/main" objectType="CheckBox" fmlaLink="$M$9" lockText="1" noThreeD="1"/>
</file>

<file path=xl/ctrlProps/ctrlProp7.xml><?xml version="1.0" encoding="utf-8"?>
<formControlPr xmlns="http://schemas.microsoft.com/office/spreadsheetml/2009/9/main" objectType="CheckBox" checked="Checked" fmlaLink="$M$10" lockText="1" noThreeD="1"/>
</file>

<file path=xl/ctrlProps/ctrlProp8.xml><?xml version="1.0" encoding="utf-8"?>
<formControlPr xmlns="http://schemas.microsoft.com/office/spreadsheetml/2009/9/main" objectType="CheckBox" checked="Checked" fmlaLink="$M$11" lockText="1" noThreeD="1"/>
</file>

<file path=xl/ctrlProps/ctrlProp9.xml><?xml version="1.0" encoding="utf-8"?>
<formControlPr xmlns="http://schemas.microsoft.com/office/spreadsheetml/2009/9/main" objectType="CheckBox" fmlaLink="$M$12" lockText="1" noThreeD="1"/>
</file>

<file path=xl/ctrlProps/ctrlProp10.xml><?xml version="1.0" encoding="utf-8"?>
<formControlPr xmlns="http://schemas.microsoft.com/office/spreadsheetml/2009/9/main" objectType="CheckBox" checked="Checked" fmlaLink="$M$13" lockText="1" noThreeD="1"/>
</file>

<file path=xl/ctrlProps/ctrlProp11.xml><?xml version="1.0" encoding="utf-8"?>
<formControlPr xmlns="http://schemas.microsoft.com/office/spreadsheetml/2009/9/main" objectType="CheckBox" fmlaLink="$M$14" lockText="1" noThreeD="1"/>
</file>

<file path=xl/ctrlProps/ctrlProp12.xml><?xml version="1.0" encoding="utf-8"?>
<formControlPr xmlns="http://schemas.microsoft.com/office/spreadsheetml/2009/9/main" objectType="CheckBox" checked="Checked" fmlaLink="$M$15" lockText="1" noThreeD="1"/>
</file>

<file path=xl/ctrlProps/ctrlProp13.xml><?xml version="1.0" encoding="utf-8"?>
<formControlPr xmlns="http://schemas.microsoft.com/office/spreadsheetml/2009/9/main" objectType="CheckBox" checked="Checked" fmlaLink="$M$16" lockText="1" noThreeD="1"/>
</file>

<file path=xl/ctrlProps/ctrlProp14.xml><?xml version="1.0" encoding="utf-8"?>
<formControlPr xmlns="http://schemas.microsoft.com/office/spreadsheetml/2009/9/main" objectType="CheckBox" checked="Checked" fmlaLink="$M$17" lockText="1" noThreeD="1"/>
</file>

<file path=xl/ctrlProps/ctrlProp15.xml><?xml version="1.0" encoding="utf-8"?>
<formControlPr xmlns="http://schemas.microsoft.com/office/spreadsheetml/2009/9/main" objectType="CheckBox" fmlaLink="$M$18" lockText="1" noThreeD="1"/>
</file>

<file path=xl/ctrlProps/ctrlProp16.xml><?xml version="1.0" encoding="utf-8"?>
<formControlPr xmlns="http://schemas.microsoft.com/office/spreadsheetml/2009/9/main" objectType="CheckBox" checked="Checked" fmlaLink="$M$19" lockText="1" noThreeD="1"/>
</file>

<file path=xl/ctrlProps/ctrlProp17.xml><?xml version="1.0" encoding="utf-8"?>
<formControlPr xmlns="http://schemas.microsoft.com/office/spreadsheetml/2009/9/main" objectType="CheckBox" fmlaLink="$M$20" lockText="1" noThreeD="1"/>
</file>

<file path=xl/ctrlProps/ctrlProp18.xml><?xml version="1.0" encoding="utf-8"?>
<formControlPr xmlns="http://schemas.microsoft.com/office/spreadsheetml/2009/9/main" objectType="CheckBox" fmlaLink="$M$21" lockText="1" noThreeD="1"/>
</file>

<file path=xl/ctrlProps/ctrlProp19.xml><?xml version="1.0" encoding="utf-8"?>
<formControlPr xmlns="http://schemas.microsoft.com/office/spreadsheetml/2009/9/main" objectType="CheckBox" checked="Checked" fmlaLink="$M$22" lockText="1" noThreeD="1"/>
</file>

<file path=xl/ctrlProps/ctrlProp20.xml><?xml version="1.0" encoding="utf-8"?>
<formControlPr xmlns="http://schemas.microsoft.com/office/spreadsheetml/2009/9/main" objectType="CheckBox" checked="Checked" fmlaLink="$M$23" lockText="1" noThreeD="1"/>
</file>

<file path=xl/ctrlProps/ctrlProp21.xml><?xml version="1.0" encoding="utf-8"?>
<formControlPr xmlns="http://schemas.microsoft.com/office/spreadsheetml/2009/9/main" objectType="CheckBox" fmlaLink="$M24" lockText="1" noThreeD="1"/>
</file>

<file path=xl/ctrlProps/ctrlProp22.xml><?xml version="1.0" encoding="utf-8"?>
<formControlPr xmlns="http://schemas.microsoft.com/office/spreadsheetml/2009/9/main" objectType="CheckBox" checked="Checked" fmlaLink="$M$4" lockText="1" noThreeD="1"/>
</file>

<file path=xl/ctrlProps/ctrlProp23.xml><?xml version="1.0" encoding="utf-8"?>
<formControlPr xmlns="http://schemas.microsoft.com/office/spreadsheetml/2009/9/main" objectType="CheckBox" checked="Checked" fmlaLink="$M$5" lockText="1" noThreeD="1"/>
</file>

<file path=xl/ctrlProps/ctrlProp24.xml><?xml version="1.0" encoding="utf-8"?>
<formControlPr xmlns="http://schemas.microsoft.com/office/spreadsheetml/2009/9/main" objectType="CheckBox" fmlaLink="$M$6" lockText="1" noThreeD="1"/>
</file>

<file path=xl/ctrlProps/ctrlProp25.xml><?xml version="1.0" encoding="utf-8"?>
<formControlPr xmlns="http://schemas.microsoft.com/office/spreadsheetml/2009/9/main" objectType="CheckBox" checked="Checked" fmlaLink="$M$8" lockText="1" noThreeD="1"/>
</file>

<file path=xl/ctrlProps/ctrlProp26.xml><?xml version="1.0" encoding="utf-8"?>
<formControlPr xmlns="http://schemas.microsoft.com/office/spreadsheetml/2009/9/main" objectType="CheckBox" checked="Checked" fmlaLink="$M$7" lockText="1" noThreeD="1"/>
</file>

<file path=xl/ctrlProps/ctrlProp27.xml><?xml version="1.0" encoding="utf-8"?>
<formControlPr xmlns="http://schemas.microsoft.com/office/spreadsheetml/2009/9/main" objectType="CheckBox" fmlaLink="$M$9" lockText="1" noThreeD="1"/>
</file>

<file path=xl/ctrlProps/ctrlProp28.xml><?xml version="1.0" encoding="utf-8"?>
<formControlPr xmlns="http://schemas.microsoft.com/office/spreadsheetml/2009/9/main" objectType="CheckBox" checked="Checked" fmlaLink="$M$10" lockText="1" noThreeD="1"/>
</file>

<file path=xl/ctrlProps/ctrlProp29.xml><?xml version="1.0" encoding="utf-8"?>
<formControlPr xmlns="http://schemas.microsoft.com/office/spreadsheetml/2009/9/main" objectType="CheckBox" checked="Checked" fmlaLink="$M$11" lockText="1" noThreeD="1"/>
</file>

<file path=xl/ctrlProps/ctrlProp30.xml><?xml version="1.0" encoding="utf-8"?>
<formControlPr xmlns="http://schemas.microsoft.com/office/spreadsheetml/2009/9/main" objectType="CheckBox" fmlaLink="$M$12" lockText="1" noThreeD="1"/>
</file>

<file path=xl/ctrlProps/ctrlProp31.xml><?xml version="1.0" encoding="utf-8"?>
<formControlPr xmlns="http://schemas.microsoft.com/office/spreadsheetml/2009/9/main" objectType="CheckBox" checked="Checked" fmlaLink="$M$13" lockText="1" noThreeD="1"/>
</file>

<file path=xl/ctrlProps/ctrlProp32.xml><?xml version="1.0" encoding="utf-8"?>
<formControlPr xmlns="http://schemas.microsoft.com/office/spreadsheetml/2009/9/main" objectType="CheckBox" fmlaLink="$M$14" lockText="1" noThreeD="1"/>
</file>

<file path=xl/ctrlProps/ctrlProp33.xml><?xml version="1.0" encoding="utf-8"?>
<formControlPr xmlns="http://schemas.microsoft.com/office/spreadsheetml/2009/9/main" objectType="CheckBox" fmlaLink="$M$15" lockText="1" noThreeD="1"/>
</file>

<file path=xl/ctrlProps/ctrlProp34.xml><?xml version="1.0" encoding="utf-8"?>
<formControlPr xmlns="http://schemas.microsoft.com/office/spreadsheetml/2009/9/main" objectType="CheckBox" checked="Checked" fmlaLink="$M$16" lockText="1" noThreeD="1"/>
</file>

<file path=xl/ctrlProps/ctrlProp35.xml><?xml version="1.0" encoding="utf-8"?>
<formControlPr xmlns="http://schemas.microsoft.com/office/spreadsheetml/2009/9/main" objectType="CheckBox" checked="Checked" fmlaLink="$M$17" lockText="1" noThreeD="1"/>
</file>

<file path=xl/ctrlProps/ctrlProp36.xml><?xml version="1.0" encoding="utf-8"?>
<formControlPr xmlns="http://schemas.microsoft.com/office/spreadsheetml/2009/9/main" objectType="CheckBox" checked="Checked" fmlaLink="$M$18" lockText="1" noThreeD="1"/>
</file>

<file path=xl/ctrlProps/ctrlProp37.xml><?xml version="1.0" encoding="utf-8"?>
<formControlPr xmlns="http://schemas.microsoft.com/office/spreadsheetml/2009/9/main" objectType="CheckBox" checked="Checked" fmlaLink="$M$19" lockText="1" noThreeD="1"/>
</file>

<file path=xl/ctrlProps/ctrlProp38.xml><?xml version="1.0" encoding="utf-8"?>
<formControlPr xmlns="http://schemas.microsoft.com/office/spreadsheetml/2009/9/main" objectType="CheckBox" fmlaLink="$M$20" lockText="1" noThreeD="1"/>
</file>

<file path=xl/ctrlProps/ctrlProp39.xml><?xml version="1.0" encoding="utf-8"?>
<formControlPr xmlns="http://schemas.microsoft.com/office/spreadsheetml/2009/9/main" objectType="CheckBox" fmlaLink="$M$21" lockText="1" noThreeD="1"/>
</file>

<file path=xl/ctrlProps/ctrlProp40.xml><?xml version="1.0" encoding="utf-8"?>
<formControlPr xmlns="http://schemas.microsoft.com/office/spreadsheetml/2009/9/main" objectType="CheckBox" checked="Checked" fmlaLink="$M$22" lockText="1" noThreeD="1"/>
</file>

<file path=xl/ctrlProps/ctrlProp41.xml><?xml version="1.0" encoding="utf-8"?>
<formControlPr xmlns="http://schemas.microsoft.com/office/spreadsheetml/2009/9/main" objectType="CheckBox" fmlaLink="$M$23" lockText="1" noThreeD="1"/>
</file>

<file path=xl/ctrlProps/ctrlProp42.xml><?xml version="1.0" encoding="utf-8"?>
<formControlPr xmlns="http://schemas.microsoft.com/office/spreadsheetml/2009/9/main" objectType="CheckBox" fmlaLink="$M24" lockText="1" noThreeD="1"/>
</file>

<file path=xl/ctrlProps/ctrlProp43.xml><?xml version="1.0" encoding="utf-8"?>
<formControlPr xmlns="http://schemas.microsoft.com/office/spreadsheetml/2009/9/main" objectType="CheckBox" checked="Checked" fmlaLink="$M$25" lockText="1" noThreeD="1"/>
</file>

<file path=xl/ctrlProps/ctrlProp44.xml><?xml version="1.0" encoding="utf-8"?>
<formControlPr xmlns="http://schemas.microsoft.com/office/spreadsheetml/2009/9/main" objectType="CheckBox" checked="Checked" fmlaLink="$M$4" lockText="1" noThreeD="1"/>
</file>

<file path=xl/ctrlProps/ctrlProp45.xml><?xml version="1.0" encoding="utf-8"?>
<formControlPr xmlns="http://schemas.microsoft.com/office/spreadsheetml/2009/9/main" objectType="CheckBox" checked="Checked" fmlaLink="$M$5" lockText="1" noThreeD="1"/>
</file>

<file path=xl/ctrlProps/ctrlProp46.xml><?xml version="1.0" encoding="utf-8"?>
<formControlPr xmlns="http://schemas.microsoft.com/office/spreadsheetml/2009/9/main" objectType="CheckBox" fmlaLink="$M$6" lockText="1" noThreeD="1"/>
</file>

<file path=xl/ctrlProps/ctrlProp47.xml><?xml version="1.0" encoding="utf-8"?>
<formControlPr xmlns="http://schemas.microsoft.com/office/spreadsheetml/2009/9/main" objectType="CheckBox" fmlaLink="$M$8" lockText="1" noThreeD="1"/>
</file>

<file path=xl/ctrlProps/ctrlProp48.xml><?xml version="1.0" encoding="utf-8"?>
<formControlPr xmlns="http://schemas.microsoft.com/office/spreadsheetml/2009/9/main" objectType="CheckBox" checked="Checked" fmlaLink="$M$7" lockText="1" noThreeD="1"/>
</file>

<file path=xl/ctrlProps/ctrlProp49.xml><?xml version="1.0" encoding="utf-8"?>
<formControlPr xmlns="http://schemas.microsoft.com/office/spreadsheetml/2009/9/main" objectType="CheckBox" fmlaLink="$M$9" lockText="1" noThreeD="1"/>
</file>

<file path=xl/ctrlProps/ctrlProp50.xml><?xml version="1.0" encoding="utf-8"?>
<formControlPr xmlns="http://schemas.microsoft.com/office/spreadsheetml/2009/9/main" objectType="CheckBox" fmlaLink="$M$10" lockText="1" noThreeD="1"/>
</file>

<file path=xl/ctrlProps/ctrlProp51.xml><?xml version="1.0" encoding="utf-8"?>
<formControlPr xmlns="http://schemas.microsoft.com/office/spreadsheetml/2009/9/main" objectType="CheckBox" checked="Checked" fmlaLink="$M$11" lockText="1" noThreeD="1"/>
</file>

<file path=xl/ctrlProps/ctrlProp52.xml><?xml version="1.0" encoding="utf-8"?>
<formControlPr xmlns="http://schemas.microsoft.com/office/spreadsheetml/2009/9/main" objectType="CheckBox" checked="Checked" fmlaLink="$M$12" lockText="1" noThreeD="1"/>
</file>

<file path=xl/ctrlProps/ctrlProp53.xml><?xml version="1.0" encoding="utf-8"?>
<formControlPr xmlns="http://schemas.microsoft.com/office/spreadsheetml/2009/9/main" objectType="CheckBox" fmlaLink="$M$13" lockText="1" noThreeD="1"/>
</file>

<file path=xl/ctrlProps/ctrlProp54.xml><?xml version="1.0" encoding="utf-8"?>
<formControlPr xmlns="http://schemas.microsoft.com/office/spreadsheetml/2009/9/main" objectType="CheckBox" fmlaLink="$M$14" lockText="1" noThreeD="1"/>
</file>

<file path=xl/ctrlProps/ctrlProp55.xml><?xml version="1.0" encoding="utf-8"?>
<formControlPr xmlns="http://schemas.microsoft.com/office/spreadsheetml/2009/9/main" objectType="CheckBox" checked="Checked" fmlaLink="$M$15" lockText="1" noThreeD="1"/>
</file>

<file path=xl/ctrlProps/ctrlProp56.xml><?xml version="1.0" encoding="utf-8"?>
<formControlPr xmlns="http://schemas.microsoft.com/office/spreadsheetml/2009/9/main" objectType="CheckBox" fmlaLink="$M$16" lockText="1" noThreeD="1"/>
</file>

<file path=xl/ctrlProps/ctrlProp57.xml><?xml version="1.0" encoding="utf-8"?>
<formControlPr xmlns="http://schemas.microsoft.com/office/spreadsheetml/2009/9/main" objectType="CheckBox" checked="Checked" fmlaLink="$M$17" lockText="1" noThreeD="1"/>
</file>

<file path=xl/ctrlProps/ctrlProp58.xml><?xml version="1.0" encoding="utf-8"?>
<formControlPr xmlns="http://schemas.microsoft.com/office/spreadsheetml/2009/9/main" objectType="CheckBox" fmlaLink="$M$18" lockText="1" noThreeD="1"/>
</file>

<file path=xl/ctrlProps/ctrlProp59.xml><?xml version="1.0" encoding="utf-8"?>
<formControlPr xmlns="http://schemas.microsoft.com/office/spreadsheetml/2009/9/main" objectType="CheckBox" checked="Checked" fmlaLink="$M$19" lockText="1" noThreeD="1"/>
</file>

<file path=xl/ctrlProps/ctrlProp60.xml><?xml version="1.0" encoding="utf-8"?>
<formControlPr xmlns="http://schemas.microsoft.com/office/spreadsheetml/2009/9/main" objectType="CheckBox" fmlaLink="$M$20" lockText="1" noThreeD="1"/>
</file>

<file path=xl/ctrlProps/ctrlProp61.xml><?xml version="1.0" encoding="utf-8"?>
<formControlPr xmlns="http://schemas.microsoft.com/office/spreadsheetml/2009/9/main" objectType="CheckBox" fmlaLink="$M$21" lockText="1" noThreeD="1"/>
</file>

<file path=xl/ctrlProps/ctrlProp62.xml><?xml version="1.0" encoding="utf-8"?>
<formControlPr xmlns="http://schemas.microsoft.com/office/spreadsheetml/2009/9/main" objectType="CheckBox" checked="Checked" fmlaLink="$M$22" lockText="1" noThreeD="1"/>
</file>

<file path=xl/ctrlProps/ctrlProp63.xml><?xml version="1.0" encoding="utf-8"?>
<formControlPr xmlns="http://schemas.microsoft.com/office/spreadsheetml/2009/9/main" objectType="CheckBox" fmlaLink="$M$23" lockText="1" noThreeD="1"/>
</file>

<file path=xl/ctrlProps/ctrlProp64.xml><?xml version="1.0" encoding="utf-8"?>
<formControlPr xmlns="http://schemas.microsoft.com/office/spreadsheetml/2009/9/main" objectType="CheckBox" fmlaLink="$M24" lockText="1" noThreeD="1"/>
</file>

<file path=xl/ctrlProps/ctrlProp65.xml><?xml version="1.0" encoding="utf-8"?>
<formControlPr xmlns="http://schemas.microsoft.com/office/spreadsheetml/2009/9/main" objectType="CheckBox" checked="Checked" fmlaLink="$M$25" lockText="1" noThreeD="1"/>
</file>

<file path=xl/ctrlProps/ctrlProp66.xml><?xml version="1.0" encoding="utf-8"?>
<formControlPr xmlns="http://schemas.microsoft.com/office/spreadsheetml/2009/9/main" objectType="CheckBox" checked="Checked" fmlaLink="$M$27" lockText="1" noThreeD="1"/>
</file>

<file path=xl/ctrlProps/ctrlProp67.xml><?xml version="1.0" encoding="utf-8"?>
<formControlPr xmlns="http://schemas.microsoft.com/office/spreadsheetml/2009/9/main" objectType="CheckBox" checked="Checked" fmlaLink="$M$28" lockText="1" noThreeD="1"/>
</file>

<file path=xl/ctrlProps/ctrlProp68.xml><?xml version="1.0" encoding="utf-8"?>
<formControlPr xmlns="http://schemas.microsoft.com/office/spreadsheetml/2009/9/main" objectType="CheckBox" fmlaLink="$M$29" lockText="1" noThreeD="1"/>
</file>

<file path=xl/ctrlProps/ctrlProp69.xml><?xml version="1.0" encoding="utf-8"?>
<formControlPr xmlns="http://schemas.microsoft.com/office/spreadsheetml/2009/9/main" objectType="CheckBox" checked="Checked" fmlaLink="$M$30" lockText="1" noThreeD="1"/>
</file>

<file path=xl/ctrlProps/ctrlProp70.xml><?xml version="1.0" encoding="utf-8"?>
<formControlPr xmlns="http://schemas.microsoft.com/office/spreadsheetml/2009/9/main" objectType="CheckBox" checked="Checked" fmlaLink="$M$4" lockText="1" noThreeD="1"/>
</file>

<file path=xl/ctrlProps/ctrlProp71.xml><?xml version="1.0" encoding="utf-8"?>
<formControlPr xmlns="http://schemas.microsoft.com/office/spreadsheetml/2009/9/main" objectType="CheckBox" checked="Checked" fmlaLink="$M$5" lockText="1" noThreeD="1"/>
</file>

<file path=xl/ctrlProps/ctrlProp72.xml><?xml version="1.0" encoding="utf-8"?>
<formControlPr xmlns="http://schemas.microsoft.com/office/spreadsheetml/2009/9/main" objectType="CheckBox" fmlaLink="$M$6" lockText="1" noThreeD="1"/>
</file>

<file path=xl/ctrlProps/ctrlProp73.xml><?xml version="1.0" encoding="utf-8"?>
<formControlPr xmlns="http://schemas.microsoft.com/office/spreadsheetml/2009/9/main" objectType="CheckBox" fmlaLink="$M$8" lockText="1" noThreeD="1"/>
</file>

<file path=xl/ctrlProps/ctrlProp74.xml><?xml version="1.0" encoding="utf-8"?>
<formControlPr xmlns="http://schemas.microsoft.com/office/spreadsheetml/2009/9/main" objectType="CheckBox" checked="Checked" fmlaLink="$M$7" lockText="1" noThreeD="1"/>
</file>

<file path=xl/ctrlProps/ctrlProp75.xml><?xml version="1.0" encoding="utf-8"?>
<formControlPr xmlns="http://schemas.microsoft.com/office/spreadsheetml/2009/9/main" objectType="CheckBox" fmlaLink="$M$9" lockText="1" noThreeD="1"/>
</file>

<file path=xl/ctrlProps/ctrlProp76.xml><?xml version="1.0" encoding="utf-8"?>
<formControlPr xmlns="http://schemas.microsoft.com/office/spreadsheetml/2009/9/main" objectType="CheckBox" fmlaLink="$M$10" lockText="1" noThreeD="1"/>
</file>

<file path=xl/ctrlProps/ctrlProp77.xml><?xml version="1.0" encoding="utf-8"?>
<formControlPr xmlns="http://schemas.microsoft.com/office/spreadsheetml/2009/9/main" objectType="CheckBox" fmlaLink="$M$11" lockText="1" noThreeD="1"/>
</file>

<file path=xl/ctrlProps/ctrlProp78.xml><?xml version="1.0" encoding="utf-8"?>
<formControlPr xmlns="http://schemas.microsoft.com/office/spreadsheetml/2009/9/main" objectType="CheckBox" checked="Checked" fmlaLink="$M$12" lockText="1" noThreeD="1"/>
</file>

<file path=xl/ctrlProps/ctrlProp79.xml><?xml version="1.0" encoding="utf-8"?>
<formControlPr xmlns="http://schemas.microsoft.com/office/spreadsheetml/2009/9/main" objectType="CheckBox" checked="Checked" fmlaLink="$M$13" lockText="1" noThreeD="1"/>
</file>

<file path=xl/ctrlProps/ctrlProp80.xml><?xml version="1.0" encoding="utf-8"?>
<formControlPr xmlns="http://schemas.microsoft.com/office/spreadsheetml/2009/9/main" objectType="CheckBox" fmlaLink="$M$14" lockText="1" noThreeD="1"/>
</file>

<file path=xl/ctrlProps/ctrlProp81.xml><?xml version="1.0" encoding="utf-8"?>
<formControlPr xmlns="http://schemas.microsoft.com/office/spreadsheetml/2009/9/main" objectType="CheckBox" fmlaLink="$M$15" lockText="1" noThreeD="1"/>
</file>

<file path=xl/ctrlProps/ctrlProp82.xml><?xml version="1.0" encoding="utf-8"?>
<formControlPr xmlns="http://schemas.microsoft.com/office/spreadsheetml/2009/9/main" objectType="CheckBox" fmlaLink="$M$16" lockText="1" noThreeD="1"/>
</file>

<file path=xl/ctrlProps/ctrlProp83.xml><?xml version="1.0" encoding="utf-8"?>
<formControlPr xmlns="http://schemas.microsoft.com/office/spreadsheetml/2009/9/main" objectType="CheckBox" checked="Checked" fmlaLink="$M$17" lockText="1" noThreeD="1"/>
</file>

<file path=xl/ctrlProps/ctrlProp84.xml><?xml version="1.0" encoding="utf-8"?>
<formControlPr xmlns="http://schemas.microsoft.com/office/spreadsheetml/2009/9/main" objectType="CheckBox" fmlaLink="$M$18" lockText="1" noThreeD="1"/>
</file>

<file path=xl/ctrlProps/ctrlProp85.xml><?xml version="1.0" encoding="utf-8"?>
<formControlPr xmlns="http://schemas.microsoft.com/office/spreadsheetml/2009/9/main" objectType="CheckBox" fmlaLink="$M$19" lockText="1" noThreeD="1"/>
</file>

<file path=xl/ctrlProps/ctrlProp86.xml><?xml version="1.0" encoding="utf-8"?>
<formControlPr xmlns="http://schemas.microsoft.com/office/spreadsheetml/2009/9/main" objectType="CheckBox" fmlaLink="$M$20" lockText="1" noThreeD="1"/>
</file>

<file path=xl/ctrlProps/ctrlProp87.xml><?xml version="1.0" encoding="utf-8"?>
<formControlPr xmlns="http://schemas.microsoft.com/office/spreadsheetml/2009/9/main" objectType="CheckBox" fmlaLink="$M$21" lockText="1" noThreeD="1"/>
</file>

<file path=xl/ctrlProps/ctrlProp88.xml><?xml version="1.0" encoding="utf-8"?>
<formControlPr xmlns="http://schemas.microsoft.com/office/spreadsheetml/2009/9/main" objectType="CheckBox" fmlaLink="$M$22" lockText="1" noThreeD="1"/>
</file>

<file path=xl/ctrlProps/ctrlProp89.xml><?xml version="1.0" encoding="utf-8"?>
<formControlPr xmlns="http://schemas.microsoft.com/office/spreadsheetml/2009/9/main" objectType="CheckBox" fmlaLink="$M$23" lockText="1" noThreeD="1"/>
</file>

<file path=xl/ctrlProps/ctrlProp90.xml><?xml version="1.0" encoding="utf-8"?>
<formControlPr xmlns="http://schemas.microsoft.com/office/spreadsheetml/2009/9/main" objectType="CheckBox" fmlaLink="$M24" lockText="1" noThreeD="1"/>
</file>

<file path=xl/ctrlProps/ctrlProp91.xml><?xml version="1.0" encoding="utf-8"?>
<formControlPr xmlns="http://schemas.microsoft.com/office/spreadsheetml/2009/9/main" objectType="CheckBox" checked="Checked" fmlaLink="$M$25" lockText="1" noThreeD="1"/>
</file>

<file path=xl/ctrlProps/ctrlProp92.xml><?xml version="1.0" encoding="utf-8"?>
<formControlPr xmlns="http://schemas.microsoft.com/office/spreadsheetml/2009/9/main" objectType="CheckBox" checked="Checked" fmlaLink="$M$27" lockText="1" noThreeD="1"/>
</file>

<file path=xl/ctrlProps/ctrlProp93.xml><?xml version="1.0" encoding="utf-8"?>
<formControlPr xmlns="http://schemas.microsoft.com/office/spreadsheetml/2009/9/main" objectType="CheckBox" checked="Checked" fmlaLink="$M$28" lockText="1" noThreeD="1"/>
</file>

<file path=xl/ctrlProps/ctrlProp94.xml><?xml version="1.0" encoding="utf-8"?>
<formControlPr xmlns="http://schemas.microsoft.com/office/spreadsheetml/2009/9/main" objectType="CheckBox" checked="Checked" fmlaLink="$M$29" lockText="1" noThreeD="1"/>
</file>

<file path=xl/ctrlProps/ctrlProp95.xml><?xml version="1.0" encoding="utf-8"?>
<formControlPr xmlns="http://schemas.microsoft.com/office/spreadsheetml/2009/9/main" objectType="CheckBox" fmlaLink="$M$30" lockText="1" noThreeD="1"/>
</file>

<file path=xl/ctrlProps/ctrlProp96.xml><?xml version="1.0" encoding="utf-8"?>
<formControlPr xmlns="http://schemas.microsoft.com/office/spreadsheetml/2009/9/main" objectType="CheckBox" checked="Checked" fmlaLink="$M$31" lockText="1" noThreeD="1"/>
</file>

<file path=xl/ctrlProps/ctrlProp97.xml><?xml version="1.0" encoding="utf-8"?>
<formControlPr xmlns="http://schemas.microsoft.com/office/spreadsheetml/2009/9/main" objectType="CheckBox" checked="Checked" fmlaLink="$M$32" lockText="1" noThreeD="1"/>
</file>

<file path=xl/ctrlProps/ctrlProp98.xml><?xml version="1.0" encoding="utf-8"?>
<formControlPr xmlns="http://schemas.microsoft.com/office/spreadsheetml/2009/9/main" objectType="CheckBox" checked="Checked" fmlaLink="$M$33" lockText="1" noThreeD="1"/>
</file>

<file path=xl/ctrlProps/ctrlProp99.xml><?xml version="1.0" encoding="utf-8"?>
<formControlPr xmlns="http://schemas.microsoft.com/office/spreadsheetml/2009/9/main" objectType="CheckBox" fmlaLink="$M$4" lockText="1" noThreeD="1"/>
</file>

<file path=xl/ctrlProps/ctrlProp100.xml><?xml version="1.0" encoding="utf-8"?>
<formControlPr xmlns="http://schemas.microsoft.com/office/spreadsheetml/2009/9/main" objectType="CheckBox" checked="Checked" fmlaLink="$M$5" lockText="1" noThreeD="1"/>
</file>

<file path=xl/ctrlProps/ctrlProp101.xml><?xml version="1.0" encoding="utf-8"?>
<formControlPr xmlns="http://schemas.microsoft.com/office/spreadsheetml/2009/9/main" objectType="CheckBox" fmlaLink="$M$6" lockText="1" noThreeD="1"/>
</file>

<file path=xl/ctrlProps/ctrlProp102.xml><?xml version="1.0" encoding="utf-8"?>
<formControlPr xmlns="http://schemas.microsoft.com/office/spreadsheetml/2009/9/main" objectType="CheckBox" checked="Checked" fmlaLink="$M$8" lockText="1" noThreeD="1"/>
</file>

<file path=xl/ctrlProps/ctrlProp103.xml><?xml version="1.0" encoding="utf-8"?>
<formControlPr xmlns="http://schemas.microsoft.com/office/spreadsheetml/2009/9/main" objectType="CheckBox" checked="Checked" fmlaLink="$M$7" lockText="1" noThreeD="1"/>
</file>

<file path=xl/ctrlProps/ctrlProp104.xml><?xml version="1.0" encoding="utf-8"?>
<formControlPr xmlns="http://schemas.microsoft.com/office/spreadsheetml/2009/9/main" objectType="CheckBox" fmlaLink="$M$9" lockText="1" noThreeD="1"/>
</file>

<file path=xl/ctrlProps/ctrlProp105.xml><?xml version="1.0" encoding="utf-8"?>
<formControlPr xmlns="http://schemas.microsoft.com/office/spreadsheetml/2009/9/main" objectType="CheckBox" fmlaLink="$M$10" lockText="1" noThreeD="1"/>
</file>

<file path=xl/ctrlProps/ctrlProp106.xml><?xml version="1.0" encoding="utf-8"?>
<formControlPr xmlns="http://schemas.microsoft.com/office/spreadsheetml/2009/9/main" objectType="CheckBox" checked="Checked" fmlaLink="$M$11" lockText="1" noThreeD="1"/>
</file>

<file path=xl/ctrlProps/ctrlProp107.xml><?xml version="1.0" encoding="utf-8"?>
<formControlPr xmlns="http://schemas.microsoft.com/office/spreadsheetml/2009/9/main" objectType="CheckBox" fmlaLink="$M$12" lockText="1" noThreeD="1"/>
</file>

<file path=xl/ctrlProps/ctrlProp108.xml><?xml version="1.0" encoding="utf-8"?>
<formControlPr xmlns="http://schemas.microsoft.com/office/spreadsheetml/2009/9/main" objectType="CheckBox" checked="Checked" fmlaLink="$M$13" lockText="1" noThreeD="1"/>
</file>

<file path=xl/ctrlProps/ctrlProp109.xml><?xml version="1.0" encoding="utf-8"?>
<formControlPr xmlns="http://schemas.microsoft.com/office/spreadsheetml/2009/9/main" objectType="CheckBox" fmlaLink="$M$14" lockText="1" noThreeD="1"/>
</file>

<file path=xl/ctrlProps/ctrlProp110.xml><?xml version="1.0" encoding="utf-8"?>
<formControlPr xmlns="http://schemas.microsoft.com/office/spreadsheetml/2009/9/main" objectType="CheckBox" checked="Checked" fmlaLink="$M$15" lockText="1" noThreeD="1"/>
</file>

<file path=xl/ctrlProps/ctrlProp111.xml><?xml version="1.0" encoding="utf-8"?>
<formControlPr xmlns="http://schemas.microsoft.com/office/spreadsheetml/2009/9/main" objectType="CheckBox" fmlaLink="$M$16" lockText="1" noThreeD="1"/>
</file>

<file path=xl/ctrlProps/ctrlProp112.xml><?xml version="1.0" encoding="utf-8"?>
<formControlPr xmlns="http://schemas.microsoft.com/office/spreadsheetml/2009/9/main" objectType="CheckBox" checked="Checked" fmlaLink="$M$17" lockText="1" noThreeD="1"/>
</file>

<file path=xl/ctrlProps/ctrlProp113.xml><?xml version="1.0" encoding="utf-8"?>
<formControlPr xmlns="http://schemas.microsoft.com/office/spreadsheetml/2009/9/main" objectType="CheckBox" fmlaLink="$M$18" lockText="1" noThreeD="1"/>
</file>

<file path=xl/ctrlProps/ctrlProp114.xml><?xml version="1.0" encoding="utf-8"?>
<formControlPr xmlns="http://schemas.microsoft.com/office/spreadsheetml/2009/9/main" objectType="CheckBox" fmlaLink="$M$19" lockText="1" noThreeD="1"/>
</file>

<file path=xl/ctrlProps/ctrlProp115.xml><?xml version="1.0" encoding="utf-8"?>
<formControlPr xmlns="http://schemas.microsoft.com/office/spreadsheetml/2009/9/main" objectType="CheckBox" fmlaLink="$M$20" lockText="1" noThreeD="1"/>
</file>

<file path=xl/ctrlProps/ctrlProp116.xml><?xml version="1.0" encoding="utf-8"?>
<formControlPr xmlns="http://schemas.microsoft.com/office/spreadsheetml/2009/9/main" objectType="CheckBox" fmlaLink="$M$21" lockText="1" noThreeD="1"/>
</file>

<file path=xl/ctrlProps/ctrlProp117.xml><?xml version="1.0" encoding="utf-8"?>
<formControlPr xmlns="http://schemas.microsoft.com/office/spreadsheetml/2009/9/main" objectType="CheckBox" checked="Checked" fmlaLink="$M$22" lockText="1" noThreeD="1"/>
</file>

<file path=xl/ctrlProps/ctrlProp118.xml><?xml version="1.0" encoding="utf-8"?>
<formControlPr xmlns="http://schemas.microsoft.com/office/spreadsheetml/2009/9/main" objectType="CheckBox" fmlaLink="$M$23" lockText="1" noThreeD="1"/>
</file>

<file path=xl/ctrlProps/ctrlProp119.xml><?xml version="1.0" encoding="utf-8"?>
<formControlPr xmlns="http://schemas.microsoft.com/office/spreadsheetml/2009/9/main" objectType="CheckBox" fmlaLink="$M24" lockText="1" noThreeD="1"/>
</file>

<file path=xl/ctrlProps/ctrlProp120.xml><?xml version="1.0" encoding="utf-8"?>
<formControlPr xmlns="http://schemas.microsoft.com/office/spreadsheetml/2009/9/main" objectType="CheckBox" checked="Checked" fmlaLink="$M$25" lockText="1" noThreeD="1"/>
</file>

<file path=xl/ctrlProps/ctrlProp121.xml><?xml version="1.0" encoding="utf-8"?>
<formControlPr xmlns="http://schemas.microsoft.com/office/spreadsheetml/2009/9/main" objectType="CheckBox" fmlaLink="$M$27" lockText="1" noThreeD="1"/>
</file>

<file path=xl/ctrlProps/ctrlProp122.xml><?xml version="1.0" encoding="utf-8"?>
<formControlPr xmlns="http://schemas.microsoft.com/office/spreadsheetml/2009/9/main" objectType="CheckBox" fmlaLink="$M$28" lockText="1" noThreeD="1"/>
</file>

<file path=xl/ctrlProps/ctrlProp123.xml><?xml version="1.0" encoding="utf-8"?>
<formControlPr xmlns="http://schemas.microsoft.com/office/spreadsheetml/2009/9/main" objectType="CheckBox" fmlaLink="$M$29" lockText="1" noThreeD="1"/>
</file>

<file path=xl/ctrlProps/ctrlProp124.xml><?xml version="1.0" encoding="utf-8"?>
<formControlPr xmlns="http://schemas.microsoft.com/office/spreadsheetml/2009/9/main" objectType="CheckBox" checked="Checked" fmlaLink="$M$30" lockText="1" noThreeD="1"/>
</file>

<file path=xl/ctrlProps/ctrlProp125.xml><?xml version="1.0" encoding="utf-8"?>
<formControlPr xmlns="http://schemas.microsoft.com/office/spreadsheetml/2009/9/main" objectType="CheckBox" checked="Checked" fmlaLink="$M$31" lockText="1" noThreeD="1"/>
</file>

<file path=xl/ctrlProps/ctrlProp126.xml><?xml version="1.0" encoding="utf-8"?>
<formControlPr xmlns="http://schemas.microsoft.com/office/spreadsheetml/2009/9/main" objectType="CheckBox" fmlaLink="$M$32" lockText="1" noThreeD="1"/>
</file>

<file path=xl/ctrlProps/ctrlProp127.xml><?xml version="1.0" encoding="utf-8"?>
<formControlPr xmlns="http://schemas.microsoft.com/office/spreadsheetml/2009/9/main" objectType="CheckBox" fmlaLink="$M$33" lockText="1" noThreeD="1"/>
</file>

<file path=xl/ctrlProps/ctrlProp128.xml><?xml version="1.0" encoding="utf-8"?>
<formControlPr xmlns="http://schemas.microsoft.com/office/spreadsheetml/2009/9/main" objectType="CheckBox" checked="Checked" fmlaLink="$M$34" lockText="1" noThreeD="1"/>
</file>

<file path=xl/ctrlProps/ctrlProp129.xml><?xml version="1.0" encoding="utf-8"?>
<formControlPr xmlns="http://schemas.microsoft.com/office/spreadsheetml/2009/9/main" objectType="CheckBox" fmlaLink="$M$4" lockText="1" noThreeD="1"/>
</file>

<file path=xl/ctrlProps/ctrlProp130.xml><?xml version="1.0" encoding="utf-8"?>
<formControlPr xmlns="http://schemas.microsoft.com/office/spreadsheetml/2009/9/main" objectType="CheckBox" checked="Checked" fmlaLink="$M$5" lockText="1" noThreeD="1"/>
</file>

<file path=xl/ctrlProps/ctrlProp131.xml><?xml version="1.0" encoding="utf-8"?>
<formControlPr xmlns="http://schemas.microsoft.com/office/spreadsheetml/2009/9/main" objectType="CheckBox" fmlaLink="$M$6" lockText="1" noThreeD="1"/>
</file>

<file path=xl/ctrlProps/ctrlProp132.xml><?xml version="1.0" encoding="utf-8"?>
<formControlPr xmlns="http://schemas.microsoft.com/office/spreadsheetml/2009/9/main" objectType="CheckBox" fmlaLink="$M$8" lockText="1" noThreeD="1"/>
</file>

<file path=xl/ctrlProps/ctrlProp133.xml><?xml version="1.0" encoding="utf-8"?>
<formControlPr xmlns="http://schemas.microsoft.com/office/spreadsheetml/2009/9/main" objectType="CheckBox" checked="Checked" fmlaLink="$M$7" lockText="1" noThreeD="1"/>
</file>

<file path=xl/ctrlProps/ctrlProp134.xml><?xml version="1.0" encoding="utf-8"?>
<formControlPr xmlns="http://schemas.microsoft.com/office/spreadsheetml/2009/9/main" objectType="CheckBox" fmlaLink="$M$9" lockText="1" noThreeD="1"/>
</file>

<file path=xl/ctrlProps/ctrlProp135.xml><?xml version="1.0" encoding="utf-8"?>
<formControlPr xmlns="http://schemas.microsoft.com/office/spreadsheetml/2009/9/main" objectType="CheckBox" fmlaLink="$M$10" lockText="1" noThreeD="1"/>
</file>

<file path=xl/ctrlProps/ctrlProp136.xml><?xml version="1.0" encoding="utf-8"?>
<formControlPr xmlns="http://schemas.microsoft.com/office/spreadsheetml/2009/9/main" objectType="CheckBox" checked="Checked" fmlaLink="$M$11" lockText="1" noThreeD="1"/>
</file>

<file path=xl/ctrlProps/ctrlProp137.xml><?xml version="1.0" encoding="utf-8"?>
<formControlPr xmlns="http://schemas.microsoft.com/office/spreadsheetml/2009/9/main" objectType="CheckBox" fmlaLink="$M$12" lockText="1" noThreeD="1"/>
</file>

<file path=xl/ctrlProps/ctrlProp138.xml><?xml version="1.0" encoding="utf-8"?>
<formControlPr xmlns="http://schemas.microsoft.com/office/spreadsheetml/2009/9/main" objectType="CheckBox" checked="Checked" fmlaLink="$M$13" lockText="1" noThreeD="1"/>
</file>

<file path=xl/ctrlProps/ctrlProp139.xml><?xml version="1.0" encoding="utf-8"?>
<formControlPr xmlns="http://schemas.microsoft.com/office/spreadsheetml/2009/9/main" objectType="CheckBox" fmlaLink="$M$14" lockText="1" noThreeD="1"/>
</file>

<file path=xl/ctrlProps/ctrlProp140.xml><?xml version="1.0" encoding="utf-8"?>
<formControlPr xmlns="http://schemas.microsoft.com/office/spreadsheetml/2009/9/main" objectType="CheckBox" checked="Checked" fmlaLink="$M$15" lockText="1" noThreeD="1"/>
</file>

<file path=xl/ctrlProps/ctrlProp141.xml><?xml version="1.0" encoding="utf-8"?>
<formControlPr xmlns="http://schemas.microsoft.com/office/spreadsheetml/2009/9/main" objectType="CheckBox" fmlaLink="$M$16" lockText="1" noThreeD="1"/>
</file>

<file path=xl/ctrlProps/ctrlProp142.xml><?xml version="1.0" encoding="utf-8"?>
<formControlPr xmlns="http://schemas.microsoft.com/office/spreadsheetml/2009/9/main" objectType="CheckBox" checked="Checked" fmlaLink="$M$17" lockText="1" noThreeD="1"/>
</file>

<file path=xl/ctrlProps/ctrlProp143.xml><?xml version="1.0" encoding="utf-8"?>
<formControlPr xmlns="http://schemas.microsoft.com/office/spreadsheetml/2009/9/main" objectType="CheckBox" fmlaLink="$M$18" lockText="1" noThreeD="1"/>
</file>

<file path=xl/ctrlProps/ctrlProp144.xml><?xml version="1.0" encoding="utf-8"?>
<formControlPr xmlns="http://schemas.microsoft.com/office/spreadsheetml/2009/9/main" objectType="CheckBox" checked="Checked" fmlaLink="$M$19" lockText="1" noThreeD="1"/>
</file>

<file path=xl/ctrlProps/ctrlProp145.xml><?xml version="1.0" encoding="utf-8"?>
<formControlPr xmlns="http://schemas.microsoft.com/office/spreadsheetml/2009/9/main" objectType="CheckBox" fmlaLink="$M$20" lockText="1" noThreeD="1"/>
</file>

<file path=xl/ctrlProps/ctrlProp146.xml><?xml version="1.0" encoding="utf-8"?>
<formControlPr xmlns="http://schemas.microsoft.com/office/spreadsheetml/2009/9/main" objectType="CheckBox" fmlaLink="$M$21" lockText="1" noThreeD="1"/>
</file>

<file path=xl/ctrlProps/ctrlProp147.xml><?xml version="1.0" encoding="utf-8"?>
<formControlPr xmlns="http://schemas.microsoft.com/office/spreadsheetml/2009/9/main" objectType="CheckBox" fmlaLink="$M$22" lockText="1" noThreeD="1"/>
</file>

<file path=xl/ctrlProps/ctrlProp148.xml><?xml version="1.0" encoding="utf-8"?>
<formControlPr xmlns="http://schemas.microsoft.com/office/spreadsheetml/2009/9/main" objectType="CheckBox" fmlaLink="$M$23" lockText="1" noThreeD="1"/>
</file>

<file path=xl/ctrlProps/ctrlProp149.xml><?xml version="1.0" encoding="utf-8"?>
<formControlPr xmlns="http://schemas.microsoft.com/office/spreadsheetml/2009/9/main" objectType="CheckBox" fmlaLink="$M24" lockText="1" noThreeD="1"/>
</file>

<file path=xl/ctrlProps/ctrlProp150.xml><?xml version="1.0" encoding="utf-8"?>
<formControlPr xmlns="http://schemas.microsoft.com/office/spreadsheetml/2009/9/main" objectType="CheckBox" checked="Checked" fmlaLink="$M$25" lockText="1" noThreeD="1"/>
</file>

<file path=xl/ctrlProps/ctrlProp151.xml><?xml version="1.0" encoding="utf-8"?>
<formControlPr xmlns="http://schemas.microsoft.com/office/spreadsheetml/2009/9/main" objectType="CheckBox" fmlaLink="$M$27" lockText="1" noThreeD="1"/>
</file>

<file path=xl/ctrlProps/ctrlProp152.xml><?xml version="1.0" encoding="utf-8"?>
<formControlPr xmlns="http://schemas.microsoft.com/office/spreadsheetml/2009/9/main" objectType="CheckBox" checked="Checked" fmlaLink="$M$28" lockText="1" noThreeD="1"/>
</file>

<file path=xl/ctrlProps/ctrlProp153.xml><?xml version="1.0" encoding="utf-8"?>
<formControlPr xmlns="http://schemas.microsoft.com/office/spreadsheetml/2009/9/main" objectType="CheckBox" checked="Checked" fmlaLink="$M$29" lockText="1" noThreeD="1"/>
</file>

<file path=xl/ctrlProps/ctrlProp154.xml><?xml version="1.0" encoding="utf-8"?>
<formControlPr xmlns="http://schemas.microsoft.com/office/spreadsheetml/2009/9/main" objectType="CheckBox" fmlaLink="$M$30" lockText="1" noThreeD="1"/>
</file>

<file path=xl/ctrlProps/ctrlProp155.xml><?xml version="1.0" encoding="utf-8"?>
<formControlPr xmlns="http://schemas.microsoft.com/office/spreadsheetml/2009/9/main" objectType="CheckBox" checked="Checked" fmlaLink="$M$31" lockText="1" noThreeD="1"/>
</file>

<file path=xl/ctrlProps/ctrlProp156.xml><?xml version="1.0" encoding="utf-8"?>
<formControlPr xmlns="http://schemas.microsoft.com/office/spreadsheetml/2009/9/main" objectType="CheckBox" fmlaLink="$M$32" lockText="1" noThreeD="1"/>
</file>

<file path=xl/ctrlProps/ctrlProp157.xml><?xml version="1.0" encoding="utf-8"?>
<formControlPr xmlns="http://schemas.microsoft.com/office/spreadsheetml/2009/9/main" objectType="CheckBox" fmlaLink="$M$33" lockText="1" noThreeD="1"/>
</file>

<file path=xl/ctrlProps/ctrlProp158.xml><?xml version="1.0" encoding="utf-8"?>
<formControlPr xmlns="http://schemas.microsoft.com/office/spreadsheetml/2009/9/main" objectType="CheckBox" checked="Checked" fmlaLink="$M$34" lockText="1" noThreeD="1"/>
</file>

<file path=xl/ctrlProps/ctrlProp159.xml><?xml version="1.0" encoding="utf-8"?>
<formControlPr xmlns="http://schemas.microsoft.com/office/spreadsheetml/2009/9/main" objectType="CheckBox" fmlaLink="$M$4" lockText="1" noThreeD="1"/>
</file>

<file path=xl/ctrlProps/ctrlProp160.xml><?xml version="1.0" encoding="utf-8"?>
<formControlPr xmlns="http://schemas.microsoft.com/office/spreadsheetml/2009/9/main" objectType="CheckBox" checked="Checked" fmlaLink="$M$5" lockText="1" noThreeD="1"/>
</file>

<file path=xl/ctrlProps/ctrlProp161.xml><?xml version="1.0" encoding="utf-8"?>
<formControlPr xmlns="http://schemas.microsoft.com/office/spreadsheetml/2009/9/main" objectType="CheckBox" fmlaLink="$M$6" lockText="1" noThreeD="1"/>
</file>

<file path=xl/ctrlProps/ctrlProp162.xml><?xml version="1.0" encoding="utf-8"?>
<formControlPr xmlns="http://schemas.microsoft.com/office/spreadsheetml/2009/9/main" objectType="CheckBox" checked="Checked" fmlaLink="$M$8" lockText="1" noThreeD="1"/>
</file>

<file path=xl/ctrlProps/ctrlProp163.xml><?xml version="1.0" encoding="utf-8"?>
<formControlPr xmlns="http://schemas.microsoft.com/office/spreadsheetml/2009/9/main" objectType="CheckBox" checked="Checked" fmlaLink="$M$7" lockText="1" noThreeD="1"/>
</file>

<file path=xl/ctrlProps/ctrlProp164.xml><?xml version="1.0" encoding="utf-8"?>
<formControlPr xmlns="http://schemas.microsoft.com/office/spreadsheetml/2009/9/main" objectType="CheckBox" fmlaLink="$M$9" lockText="1" noThreeD="1"/>
</file>

<file path=xl/ctrlProps/ctrlProp165.xml><?xml version="1.0" encoding="utf-8"?>
<formControlPr xmlns="http://schemas.microsoft.com/office/spreadsheetml/2009/9/main" objectType="CheckBox" fmlaLink="$M$10" lockText="1" noThreeD="1"/>
</file>

<file path=xl/ctrlProps/ctrlProp166.xml><?xml version="1.0" encoding="utf-8"?>
<formControlPr xmlns="http://schemas.microsoft.com/office/spreadsheetml/2009/9/main" objectType="CheckBox" fmlaLink="$M$11" lockText="1" noThreeD="1"/>
</file>

<file path=xl/ctrlProps/ctrlProp167.xml><?xml version="1.0" encoding="utf-8"?>
<formControlPr xmlns="http://schemas.microsoft.com/office/spreadsheetml/2009/9/main" objectType="CheckBox" checked="Checked" fmlaLink="$M$12" lockText="1" noThreeD="1"/>
</file>

<file path=xl/ctrlProps/ctrlProp168.xml><?xml version="1.0" encoding="utf-8"?>
<formControlPr xmlns="http://schemas.microsoft.com/office/spreadsheetml/2009/9/main" objectType="CheckBox" fmlaLink="$M$13" lockText="1" noThreeD="1"/>
</file>

<file path=xl/ctrlProps/ctrlProp169.xml><?xml version="1.0" encoding="utf-8"?>
<formControlPr xmlns="http://schemas.microsoft.com/office/spreadsheetml/2009/9/main" objectType="CheckBox" fmlaLink="$M$14" lockText="1" noThreeD="1"/>
</file>

<file path=xl/ctrlProps/ctrlProp170.xml><?xml version="1.0" encoding="utf-8"?>
<formControlPr xmlns="http://schemas.microsoft.com/office/spreadsheetml/2009/9/main" objectType="CheckBox" checked="Checked" fmlaLink="$M$15" lockText="1" noThreeD="1"/>
</file>

<file path=xl/ctrlProps/ctrlProp171.xml><?xml version="1.0" encoding="utf-8"?>
<formControlPr xmlns="http://schemas.microsoft.com/office/spreadsheetml/2009/9/main" objectType="CheckBox" fmlaLink="$M$16" lockText="1" noThreeD="1"/>
</file>

<file path=xl/ctrlProps/ctrlProp172.xml><?xml version="1.0" encoding="utf-8"?>
<formControlPr xmlns="http://schemas.microsoft.com/office/spreadsheetml/2009/9/main" objectType="CheckBox" checked="Checked" fmlaLink="$M$17" lockText="1" noThreeD="1"/>
</file>

<file path=xl/ctrlProps/ctrlProp173.xml><?xml version="1.0" encoding="utf-8"?>
<formControlPr xmlns="http://schemas.microsoft.com/office/spreadsheetml/2009/9/main" objectType="CheckBox" fmlaLink="$M$18" lockText="1" noThreeD="1"/>
</file>

<file path=xl/ctrlProps/ctrlProp174.xml><?xml version="1.0" encoding="utf-8"?>
<formControlPr xmlns="http://schemas.microsoft.com/office/spreadsheetml/2009/9/main" objectType="CheckBox" fmlaLink="$M$19" lockText="1" noThreeD="1"/>
</file>

<file path=xl/ctrlProps/ctrlProp175.xml><?xml version="1.0" encoding="utf-8"?>
<formControlPr xmlns="http://schemas.microsoft.com/office/spreadsheetml/2009/9/main" objectType="CheckBox" checked="Checked" fmlaLink="$M$20" lockText="1" noThreeD="1"/>
</file>

<file path=xl/ctrlProps/ctrlProp176.xml><?xml version="1.0" encoding="utf-8"?>
<formControlPr xmlns="http://schemas.microsoft.com/office/spreadsheetml/2009/9/main" objectType="CheckBox" fmlaLink="$M$21" lockText="1" noThreeD="1"/>
</file>

<file path=xl/ctrlProps/ctrlProp177.xml><?xml version="1.0" encoding="utf-8"?>
<formControlPr xmlns="http://schemas.microsoft.com/office/spreadsheetml/2009/9/main" objectType="CheckBox" fmlaLink="$M$22" lockText="1" noThreeD="1"/>
</file>

<file path=xl/ctrlProps/ctrlProp178.xml><?xml version="1.0" encoding="utf-8"?>
<formControlPr xmlns="http://schemas.microsoft.com/office/spreadsheetml/2009/9/main" objectType="CheckBox" fmlaLink="$M$23" lockText="1" noThreeD="1"/>
</file>

<file path=xl/ctrlProps/ctrlProp179.xml><?xml version="1.0" encoding="utf-8"?>
<formControlPr xmlns="http://schemas.microsoft.com/office/spreadsheetml/2009/9/main" objectType="CheckBox" fmlaLink="$M24" lockText="1" noThreeD="1"/>
</file>

<file path=xl/ctrlProps/ctrlProp180.xml><?xml version="1.0" encoding="utf-8"?>
<formControlPr xmlns="http://schemas.microsoft.com/office/spreadsheetml/2009/9/main" objectType="CheckBox" checked="Checked" fmlaLink="$M$25" lockText="1" noThreeD="1"/>
</file>

<file path=xl/ctrlProps/ctrlProp181.xml><?xml version="1.0" encoding="utf-8"?>
<formControlPr xmlns="http://schemas.microsoft.com/office/spreadsheetml/2009/9/main" objectType="CheckBox" checked="Checked" fmlaLink="$M$27" lockText="1" noThreeD="1"/>
</file>

<file path=xl/ctrlProps/ctrlProp182.xml><?xml version="1.0" encoding="utf-8"?>
<formControlPr xmlns="http://schemas.microsoft.com/office/spreadsheetml/2009/9/main" objectType="CheckBox" fmlaLink="$M$28" lockText="1" noThreeD="1"/>
</file>

<file path=xl/ctrlProps/ctrlProp183.xml><?xml version="1.0" encoding="utf-8"?>
<formControlPr xmlns="http://schemas.microsoft.com/office/spreadsheetml/2009/9/main" objectType="CheckBox" fmlaLink="$M$29" lockText="1" noThreeD="1"/>
</file>

<file path=xl/ctrlProps/ctrlProp184.xml><?xml version="1.0" encoding="utf-8"?>
<formControlPr xmlns="http://schemas.microsoft.com/office/spreadsheetml/2009/9/main" objectType="CheckBox" checked="Checked" fmlaLink="$M$30" lockText="1" noThreeD="1"/>
</file>

<file path=xl/ctrlProps/ctrlProp185.xml><?xml version="1.0" encoding="utf-8"?>
<formControlPr xmlns="http://schemas.microsoft.com/office/spreadsheetml/2009/9/main" objectType="CheckBox" checked="Checked" fmlaLink="$M$31" lockText="1" noThreeD="1"/>
</file>

<file path=xl/ctrlProps/ctrlProp186.xml><?xml version="1.0" encoding="utf-8"?>
<formControlPr xmlns="http://schemas.microsoft.com/office/spreadsheetml/2009/9/main" objectType="CheckBox" fmlaLink="$M$32" lockText="1" noThreeD="1"/>
</file>

<file path=xl/ctrlProps/ctrlProp187.xml><?xml version="1.0" encoding="utf-8"?>
<formControlPr xmlns="http://schemas.microsoft.com/office/spreadsheetml/2009/9/main" objectType="CheckBox" fmlaLink="$M$33" lockText="1" noThreeD="1"/>
</file>

<file path=xl/ctrlProps/ctrlProp188.xml><?xml version="1.0" encoding="utf-8"?>
<formControlPr xmlns="http://schemas.microsoft.com/office/spreadsheetml/2009/9/main" objectType="CheckBox" checked="Checked" fmlaLink="$M$34" lockText="1" noThreeD="1"/>
</file>

<file path=xl/ctrlProps/ctrlProp189.xml><?xml version="1.0" encoding="utf-8"?>
<formControlPr xmlns="http://schemas.microsoft.com/office/spreadsheetml/2009/9/main" objectType="CheckBox" fmlaLink="$M$4" lockText="1" noThreeD="1"/>
</file>

<file path=xl/ctrlProps/ctrlProp190.xml><?xml version="1.0" encoding="utf-8"?>
<formControlPr xmlns="http://schemas.microsoft.com/office/spreadsheetml/2009/9/main" objectType="CheckBox" checked="Checked" fmlaLink="$M$5" lockText="1" noThreeD="1"/>
</file>

<file path=xl/ctrlProps/ctrlProp191.xml><?xml version="1.0" encoding="utf-8"?>
<formControlPr xmlns="http://schemas.microsoft.com/office/spreadsheetml/2009/9/main" objectType="CheckBox" fmlaLink="$M$6" lockText="1" noThreeD="1"/>
</file>

<file path=xl/ctrlProps/ctrlProp192.xml><?xml version="1.0" encoding="utf-8"?>
<formControlPr xmlns="http://schemas.microsoft.com/office/spreadsheetml/2009/9/main" objectType="CheckBox" fmlaLink="$M$8" lockText="1" noThreeD="1"/>
</file>

<file path=xl/ctrlProps/ctrlProp193.xml><?xml version="1.0" encoding="utf-8"?>
<formControlPr xmlns="http://schemas.microsoft.com/office/spreadsheetml/2009/9/main" objectType="CheckBox" checked="Checked" fmlaLink="$M$7" lockText="1" noThreeD="1"/>
</file>

<file path=xl/ctrlProps/ctrlProp194.xml><?xml version="1.0" encoding="utf-8"?>
<formControlPr xmlns="http://schemas.microsoft.com/office/spreadsheetml/2009/9/main" objectType="CheckBox" fmlaLink="$M$9" lockText="1" noThreeD="1"/>
</file>

<file path=xl/ctrlProps/ctrlProp195.xml><?xml version="1.0" encoding="utf-8"?>
<formControlPr xmlns="http://schemas.microsoft.com/office/spreadsheetml/2009/9/main" objectType="CheckBox" fmlaLink="$M$10" lockText="1" noThreeD="1"/>
</file>

<file path=xl/ctrlProps/ctrlProp196.xml><?xml version="1.0" encoding="utf-8"?>
<formControlPr xmlns="http://schemas.microsoft.com/office/spreadsheetml/2009/9/main" objectType="CheckBox" checked="Checked" fmlaLink="$M$11" lockText="1" noThreeD="1"/>
</file>

<file path=xl/ctrlProps/ctrlProp197.xml><?xml version="1.0" encoding="utf-8"?>
<formControlPr xmlns="http://schemas.microsoft.com/office/spreadsheetml/2009/9/main" objectType="CheckBox" fmlaLink="$M$12" lockText="1" noThreeD="1"/>
</file>

<file path=xl/ctrlProps/ctrlProp198.xml><?xml version="1.0" encoding="utf-8"?>
<formControlPr xmlns="http://schemas.microsoft.com/office/spreadsheetml/2009/9/main" objectType="CheckBox" checked="Checked" fmlaLink="$M$13" lockText="1" noThreeD="1"/>
</file>

<file path=xl/ctrlProps/ctrlProp199.xml><?xml version="1.0" encoding="utf-8"?>
<formControlPr xmlns="http://schemas.microsoft.com/office/spreadsheetml/2009/9/main" objectType="CheckBox" fmlaLink="$M$14" lockText="1" noThreeD="1"/>
</file>

<file path=xl/ctrlProps/ctrlProp200.xml><?xml version="1.0" encoding="utf-8"?>
<formControlPr xmlns="http://schemas.microsoft.com/office/spreadsheetml/2009/9/main" objectType="CheckBox" checked="Checked" fmlaLink="$M$15" lockText="1" noThreeD="1"/>
</file>

<file path=xl/ctrlProps/ctrlProp201.xml><?xml version="1.0" encoding="utf-8"?>
<formControlPr xmlns="http://schemas.microsoft.com/office/spreadsheetml/2009/9/main" objectType="CheckBox" fmlaLink="$M$16" lockText="1" noThreeD="1"/>
</file>

<file path=xl/ctrlProps/ctrlProp202.xml><?xml version="1.0" encoding="utf-8"?>
<formControlPr xmlns="http://schemas.microsoft.com/office/spreadsheetml/2009/9/main" objectType="CheckBox" checked="Checked" fmlaLink="$M$17" lockText="1" noThreeD="1"/>
</file>

<file path=xl/ctrlProps/ctrlProp203.xml><?xml version="1.0" encoding="utf-8"?>
<formControlPr xmlns="http://schemas.microsoft.com/office/spreadsheetml/2009/9/main" objectType="CheckBox" fmlaLink="$M$18" lockText="1" noThreeD="1"/>
</file>

<file path=xl/ctrlProps/ctrlProp204.xml><?xml version="1.0" encoding="utf-8"?>
<formControlPr xmlns="http://schemas.microsoft.com/office/spreadsheetml/2009/9/main" objectType="CheckBox" fmlaLink="$M$19" lockText="1" noThreeD="1"/>
</file>

<file path=xl/ctrlProps/ctrlProp205.xml><?xml version="1.0" encoding="utf-8"?>
<formControlPr xmlns="http://schemas.microsoft.com/office/spreadsheetml/2009/9/main" objectType="CheckBox" checked="Checked" fmlaLink="$M$20" lockText="1" noThreeD="1"/>
</file>

<file path=xl/ctrlProps/ctrlProp206.xml><?xml version="1.0" encoding="utf-8"?>
<formControlPr xmlns="http://schemas.microsoft.com/office/spreadsheetml/2009/9/main" objectType="CheckBox" fmlaLink="$M$21" lockText="1" noThreeD="1"/>
</file>

<file path=xl/ctrlProps/ctrlProp207.xml><?xml version="1.0" encoding="utf-8"?>
<formControlPr xmlns="http://schemas.microsoft.com/office/spreadsheetml/2009/9/main" objectType="CheckBox" checked="Checked" fmlaLink="$M$22" lockText="1" noThreeD="1"/>
</file>

<file path=xl/ctrlProps/ctrlProp208.xml><?xml version="1.0" encoding="utf-8"?>
<formControlPr xmlns="http://schemas.microsoft.com/office/spreadsheetml/2009/9/main" objectType="CheckBox" fmlaLink="$M$23" lockText="1" noThreeD="1"/>
</file>

<file path=xl/ctrlProps/ctrlProp209.xml><?xml version="1.0" encoding="utf-8"?>
<formControlPr xmlns="http://schemas.microsoft.com/office/spreadsheetml/2009/9/main" objectType="CheckBox" fmlaLink="$M24" lockText="1" noThreeD="1"/>
</file>

<file path=xl/ctrlProps/ctrlProp210.xml><?xml version="1.0" encoding="utf-8"?>
<formControlPr xmlns="http://schemas.microsoft.com/office/spreadsheetml/2009/9/main" objectType="CheckBox" checked="Checked" fmlaLink="$M$25" lockText="1" noThreeD="1"/>
</file>

<file path=xl/ctrlProps/ctrlProp211.xml><?xml version="1.0" encoding="utf-8"?>
<formControlPr xmlns="http://schemas.microsoft.com/office/spreadsheetml/2009/9/main" objectType="CheckBox" fmlaLink="$M$27" lockText="1" noThreeD="1"/>
</file>

<file path=xl/ctrlProps/ctrlProp212.xml><?xml version="1.0" encoding="utf-8"?>
<formControlPr xmlns="http://schemas.microsoft.com/office/spreadsheetml/2009/9/main" objectType="CheckBox" fmlaLink="$M$28" lockText="1" noThreeD="1"/>
</file>

<file path=xl/ctrlProps/ctrlProp213.xml><?xml version="1.0" encoding="utf-8"?>
<formControlPr xmlns="http://schemas.microsoft.com/office/spreadsheetml/2009/9/main" objectType="CheckBox" checked="Checked" fmlaLink="$M$29" lockText="1" noThreeD="1"/>
</file>

<file path=xl/ctrlProps/ctrlProp214.xml><?xml version="1.0" encoding="utf-8"?>
<formControlPr xmlns="http://schemas.microsoft.com/office/spreadsheetml/2009/9/main" objectType="CheckBox" fmlaLink="$M$30" lockText="1" noThreeD="1"/>
</file>

<file path=xl/ctrlProps/ctrlProp215.xml><?xml version="1.0" encoding="utf-8"?>
<formControlPr xmlns="http://schemas.microsoft.com/office/spreadsheetml/2009/9/main" objectType="CheckBox" fmlaLink="$M$31" lockText="1" noThreeD="1"/>
</file>

<file path=xl/ctrlProps/ctrlProp216.xml><?xml version="1.0" encoding="utf-8"?>
<formControlPr xmlns="http://schemas.microsoft.com/office/spreadsheetml/2009/9/main" objectType="CheckBox" fmlaLink="$M$32" lockText="1" noThreeD="1"/>
</file>

<file path=xl/ctrlProps/ctrlProp217.xml><?xml version="1.0" encoding="utf-8"?>
<formControlPr xmlns="http://schemas.microsoft.com/office/spreadsheetml/2009/9/main" objectType="CheckBox" fmlaLink="$M$33" lockText="1" noThreeD="1"/>
</file>

<file path=xl/ctrlProps/ctrlProp218.xml><?xml version="1.0" encoding="utf-8"?>
<formControlPr xmlns="http://schemas.microsoft.com/office/spreadsheetml/2009/9/main" objectType="CheckBox" checked="Checked" fmlaLink="$M$34" lockText="1" noThreeD="1"/>
</file>

<file path=xl/ctrlProps/ctrlProp219.xml><?xml version="1.0" encoding="utf-8"?>
<formControlPr xmlns="http://schemas.microsoft.com/office/spreadsheetml/2009/9/main" objectType="CheckBox" fmlaLink="$M$4" lockText="1" noThreeD="1"/>
</file>

<file path=xl/ctrlProps/ctrlProp220.xml><?xml version="1.0" encoding="utf-8"?>
<formControlPr xmlns="http://schemas.microsoft.com/office/spreadsheetml/2009/9/main" objectType="CheckBox" checked="Checked" fmlaLink="$M$5" lockText="1" noThreeD="1"/>
</file>

<file path=xl/ctrlProps/ctrlProp221.xml><?xml version="1.0" encoding="utf-8"?>
<formControlPr xmlns="http://schemas.microsoft.com/office/spreadsheetml/2009/9/main" objectType="CheckBox" fmlaLink="$M$6" lockText="1" noThreeD="1"/>
</file>

<file path=xl/ctrlProps/ctrlProp222.xml><?xml version="1.0" encoding="utf-8"?>
<formControlPr xmlns="http://schemas.microsoft.com/office/spreadsheetml/2009/9/main" objectType="CheckBox" fmlaLink="$M$8" lockText="1" noThreeD="1"/>
</file>

<file path=xl/ctrlProps/ctrlProp223.xml><?xml version="1.0" encoding="utf-8"?>
<formControlPr xmlns="http://schemas.microsoft.com/office/spreadsheetml/2009/9/main" objectType="CheckBox" fmlaLink="$M$7" lockText="1" noThreeD="1"/>
</file>

<file path=xl/ctrlProps/ctrlProp224.xml><?xml version="1.0" encoding="utf-8"?>
<formControlPr xmlns="http://schemas.microsoft.com/office/spreadsheetml/2009/9/main" objectType="CheckBox" fmlaLink="$M$9" lockText="1" noThreeD="1"/>
</file>

<file path=xl/ctrlProps/ctrlProp225.xml><?xml version="1.0" encoding="utf-8"?>
<formControlPr xmlns="http://schemas.microsoft.com/office/spreadsheetml/2009/9/main" objectType="CheckBox" fmlaLink="$M$10" lockText="1" noThreeD="1"/>
</file>

<file path=xl/ctrlProps/ctrlProp226.xml><?xml version="1.0" encoding="utf-8"?>
<formControlPr xmlns="http://schemas.microsoft.com/office/spreadsheetml/2009/9/main" objectType="CheckBox" checked="Checked" fmlaLink="$M$11" lockText="1" noThreeD="1"/>
</file>

<file path=xl/ctrlProps/ctrlProp227.xml><?xml version="1.0" encoding="utf-8"?>
<formControlPr xmlns="http://schemas.microsoft.com/office/spreadsheetml/2009/9/main" objectType="CheckBox" fmlaLink="$M$12" lockText="1" noThreeD="1"/>
</file>

<file path=xl/ctrlProps/ctrlProp228.xml><?xml version="1.0" encoding="utf-8"?>
<formControlPr xmlns="http://schemas.microsoft.com/office/spreadsheetml/2009/9/main" objectType="CheckBox" checked="Checked" fmlaLink="$M$13" lockText="1" noThreeD="1"/>
</file>

<file path=xl/ctrlProps/ctrlProp229.xml><?xml version="1.0" encoding="utf-8"?>
<formControlPr xmlns="http://schemas.microsoft.com/office/spreadsheetml/2009/9/main" objectType="CheckBox" fmlaLink="$M$14" lockText="1" noThreeD="1"/>
</file>

<file path=xl/ctrlProps/ctrlProp230.xml><?xml version="1.0" encoding="utf-8"?>
<formControlPr xmlns="http://schemas.microsoft.com/office/spreadsheetml/2009/9/main" objectType="CheckBox" checked="Checked" fmlaLink="$M$15" lockText="1" noThreeD="1"/>
</file>

<file path=xl/ctrlProps/ctrlProp231.xml><?xml version="1.0" encoding="utf-8"?>
<formControlPr xmlns="http://schemas.microsoft.com/office/spreadsheetml/2009/9/main" objectType="CheckBox" fmlaLink="$M$16" lockText="1" noThreeD="1"/>
</file>

<file path=xl/ctrlProps/ctrlProp232.xml><?xml version="1.0" encoding="utf-8"?>
<formControlPr xmlns="http://schemas.microsoft.com/office/spreadsheetml/2009/9/main" objectType="CheckBox" checked="Checked" fmlaLink="$M$17" lockText="1" noThreeD="1"/>
</file>

<file path=xl/ctrlProps/ctrlProp233.xml><?xml version="1.0" encoding="utf-8"?>
<formControlPr xmlns="http://schemas.microsoft.com/office/spreadsheetml/2009/9/main" objectType="CheckBox" fmlaLink="$M$18" lockText="1" noThreeD="1"/>
</file>

<file path=xl/ctrlProps/ctrlProp234.xml><?xml version="1.0" encoding="utf-8"?>
<formControlPr xmlns="http://schemas.microsoft.com/office/spreadsheetml/2009/9/main" objectType="CheckBox" fmlaLink="$M$19" lockText="1" noThreeD="1"/>
</file>

<file path=xl/ctrlProps/ctrlProp235.xml><?xml version="1.0" encoding="utf-8"?>
<formControlPr xmlns="http://schemas.microsoft.com/office/spreadsheetml/2009/9/main" objectType="CheckBox" checked="Checked" fmlaLink="$M$20" lockText="1" noThreeD="1"/>
</file>

<file path=xl/ctrlProps/ctrlProp236.xml><?xml version="1.0" encoding="utf-8"?>
<formControlPr xmlns="http://schemas.microsoft.com/office/spreadsheetml/2009/9/main" objectType="CheckBox" fmlaLink="$M$21" lockText="1" noThreeD="1"/>
</file>

<file path=xl/ctrlProps/ctrlProp237.xml><?xml version="1.0" encoding="utf-8"?>
<formControlPr xmlns="http://schemas.microsoft.com/office/spreadsheetml/2009/9/main" objectType="CheckBox" fmlaLink="$M$22" lockText="1" noThreeD="1"/>
</file>

<file path=xl/ctrlProps/ctrlProp238.xml><?xml version="1.0" encoding="utf-8"?>
<formControlPr xmlns="http://schemas.microsoft.com/office/spreadsheetml/2009/9/main" objectType="CheckBox" fmlaLink="$M$23" lockText="1" noThreeD="1"/>
</file>

<file path=xl/ctrlProps/ctrlProp239.xml><?xml version="1.0" encoding="utf-8"?>
<formControlPr xmlns="http://schemas.microsoft.com/office/spreadsheetml/2009/9/main" objectType="CheckBox" fmlaLink="$M24" lockText="1" noThreeD="1"/>
</file>

<file path=xl/ctrlProps/ctrlProp240.xml><?xml version="1.0" encoding="utf-8"?>
<formControlPr xmlns="http://schemas.microsoft.com/office/spreadsheetml/2009/9/main" objectType="CheckBox" checked="Checked" fmlaLink="$M$25" lockText="1" noThreeD="1"/>
</file>

<file path=xl/ctrlProps/ctrlProp241.xml><?xml version="1.0" encoding="utf-8"?>
<formControlPr xmlns="http://schemas.microsoft.com/office/spreadsheetml/2009/9/main" objectType="CheckBox" checked="Checked" fmlaLink="$M$27" lockText="1" noThreeD="1"/>
</file>

<file path=xl/ctrlProps/ctrlProp242.xml><?xml version="1.0" encoding="utf-8"?>
<formControlPr xmlns="http://schemas.microsoft.com/office/spreadsheetml/2009/9/main" objectType="CheckBox" fmlaLink="$M$28" lockText="1" noThreeD="1"/>
</file>

<file path=xl/ctrlProps/ctrlProp243.xml><?xml version="1.0" encoding="utf-8"?>
<formControlPr xmlns="http://schemas.microsoft.com/office/spreadsheetml/2009/9/main" objectType="CheckBox" fmlaLink="$M$29" lockText="1" noThreeD="1"/>
</file>

<file path=xl/ctrlProps/ctrlProp244.xml><?xml version="1.0" encoding="utf-8"?>
<formControlPr xmlns="http://schemas.microsoft.com/office/spreadsheetml/2009/9/main" objectType="CheckBox" fmlaLink="$M$30" lockText="1" noThreeD="1"/>
</file>

<file path=xl/ctrlProps/ctrlProp245.xml><?xml version="1.0" encoding="utf-8"?>
<formControlPr xmlns="http://schemas.microsoft.com/office/spreadsheetml/2009/9/main" objectType="CheckBox" fmlaLink="$M$31" lockText="1" noThreeD="1"/>
</file>

<file path=xl/ctrlProps/ctrlProp246.xml><?xml version="1.0" encoding="utf-8"?>
<formControlPr xmlns="http://schemas.microsoft.com/office/spreadsheetml/2009/9/main" objectType="CheckBox" fmlaLink="$M$32" lockText="1" noThreeD="1"/>
</file>

<file path=xl/ctrlProps/ctrlProp247.xml><?xml version="1.0" encoding="utf-8"?>
<formControlPr xmlns="http://schemas.microsoft.com/office/spreadsheetml/2009/9/main" objectType="CheckBox" fmlaLink="$M$33" lockText="1" noThreeD="1"/>
</file>

<file path=xl/ctrlProps/ctrlProp248.xml><?xml version="1.0" encoding="utf-8"?>
<formControlPr xmlns="http://schemas.microsoft.com/office/spreadsheetml/2009/9/main" objectType="CheckBox" checked="Checked" fmlaLink="$M$34" lockText="1" noThreeD="1"/>
</file>

<file path=xl/ctrlProps/ctrlProp249.xml><?xml version="1.0" encoding="utf-8"?>
<formControlPr xmlns="http://schemas.microsoft.com/office/spreadsheetml/2009/9/main" objectType="CheckBox" fmlaLink="$M$4" lockText="1" noThreeD="1"/>
</file>

<file path=xl/ctrlProps/ctrlProp250.xml><?xml version="1.0" encoding="utf-8"?>
<formControlPr xmlns="http://schemas.microsoft.com/office/spreadsheetml/2009/9/main" objectType="CheckBox" checked="Checked" fmlaLink="$M$5" lockText="1" noThreeD="1"/>
</file>

<file path=xl/ctrlProps/ctrlProp251.xml><?xml version="1.0" encoding="utf-8"?>
<formControlPr xmlns="http://schemas.microsoft.com/office/spreadsheetml/2009/9/main" objectType="CheckBox" fmlaLink="$M$6" lockText="1" noThreeD="1"/>
</file>

<file path=xl/ctrlProps/ctrlProp252.xml><?xml version="1.0" encoding="utf-8"?>
<formControlPr xmlns="http://schemas.microsoft.com/office/spreadsheetml/2009/9/main" objectType="CheckBox" checked="Checked" fmlaLink="$M$8" lockText="1" noThreeD="1"/>
</file>

<file path=xl/ctrlProps/ctrlProp253.xml><?xml version="1.0" encoding="utf-8"?>
<formControlPr xmlns="http://schemas.microsoft.com/office/spreadsheetml/2009/9/main" objectType="CheckBox" checked="Checked" fmlaLink="$M$7" lockText="1" noThreeD="1"/>
</file>

<file path=xl/ctrlProps/ctrlProp254.xml><?xml version="1.0" encoding="utf-8"?>
<formControlPr xmlns="http://schemas.microsoft.com/office/spreadsheetml/2009/9/main" objectType="CheckBox" fmlaLink="$M$9" lockText="1" noThreeD="1"/>
</file>

<file path=xl/ctrlProps/ctrlProp255.xml><?xml version="1.0" encoding="utf-8"?>
<formControlPr xmlns="http://schemas.microsoft.com/office/spreadsheetml/2009/9/main" objectType="CheckBox" fmlaLink="$M$10" lockText="1" noThreeD="1"/>
</file>

<file path=xl/ctrlProps/ctrlProp256.xml><?xml version="1.0" encoding="utf-8"?>
<formControlPr xmlns="http://schemas.microsoft.com/office/spreadsheetml/2009/9/main" objectType="CheckBox" checked="Checked" fmlaLink="$M$11" lockText="1" noThreeD="1"/>
</file>

<file path=xl/ctrlProps/ctrlProp257.xml><?xml version="1.0" encoding="utf-8"?>
<formControlPr xmlns="http://schemas.microsoft.com/office/spreadsheetml/2009/9/main" objectType="CheckBox" fmlaLink="$M$12" lockText="1" noThreeD="1"/>
</file>

<file path=xl/ctrlProps/ctrlProp258.xml><?xml version="1.0" encoding="utf-8"?>
<formControlPr xmlns="http://schemas.microsoft.com/office/spreadsheetml/2009/9/main" objectType="CheckBox" checked="Checked" fmlaLink="$M$13" lockText="1" noThreeD="1"/>
</file>

<file path=xl/ctrlProps/ctrlProp259.xml><?xml version="1.0" encoding="utf-8"?>
<formControlPr xmlns="http://schemas.microsoft.com/office/spreadsheetml/2009/9/main" objectType="CheckBox" fmlaLink="$M$14" lockText="1" noThreeD="1"/>
</file>

<file path=xl/ctrlProps/ctrlProp260.xml><?xml version="1.0" encoding="utf-8"?>
<formControlPr xmlns="http://schemas.microsoft.com/office/spreadsheetml/2009/9/main" objectType="CheckBox" checked="Checked" fmlaLink="$M$15" lockText="1" noThreeD="1"/>
</file>

<file path=xl/ctrlProps/ctrlProp261.xml><?xml version="1.0" encoding="utf-8"?>
<formControlPr xmlns="http://schemas.microsoft.com/office/spreadsheetml/2009/9/main" objectType="CheckBox" fmlaLink="$M$16" lockText="1" noThreeD="1"/>
</file>

<file path=xl/ctrlProps/ctrlProp262.xml><?xml version="1.0" encoding="utf-8"?>
<formControlPr xmlns="http://schemas.microsoft.com/office/spreadsheetml/2009/9/main" objectType="CheckBox" checked="Checked" fmlaLink="$M$17" lockText="1" noThreeD="1"/>
</file>

<file path=xl/ctrlProps/ctrlProp263.xml><?xml version="1.0" encoding="utf-8"?>
<formControlPr xmlns="http://schemas.microsoft.com/office/spreadsheetml/2009/9/main" objectType="CheckBox" fmlaLink="$M$18" lockText="1" noThreeD="1"/>
</file>

<file path=xl/ctrlProps/ctrlProp264.xml><?xml version="1.0" encoding="utf-8"?>
<formControlPr xmlns="http://schemas.microsoft.com/office/spreadsheetml/2009/9/main" objectType="CheckBox" fmlaLink="$M$19" lockText="1" noThreeD="1"/>
</file>

<file path=xl/ctrlProps/ctrlProp265.xml><?xml version="1.0" encoding="utf-8"?>
<formControlPr xmlns="http://schemas.microsoft.com/office/spreadsheetml/2009/9/main" objectType="CheckBox" fmlaLink="$M$20" lockText="1" noThreeD="1"/>
</file>

<file path=xl/ctrlProps/ctrlProp266.xml><?xml version="1.0" encoding="utf-8"?>
<formControlPr xmlns="http://schemas.microsoft.com/office/spreadsheetml/2009/9/main" objectType="CheckBox" fmlaLink="$M$21" lockText="1" noThreeD="1"/>
</file>

<file path=xl/ctrlProps/ctrlProp267.xml><?xml version="1.0" encoding="utf-8"?>
<formControlPr xmlns="http://schemas.microsoft.com/office/spreadsheetml/2009/9/main" objectType="CheckBox" fmlaLink="$M$22" lockText="1" noThreeD="1"/>
</file>

<file path=xl/ctrlProps/ctrlProp268.xml><?xml version="1.0" encoding="utf-8"?>
<formControlPr xmlns="http://schemas.microsoft.com/office/spreadsheetml/2009/9/main" objectType="CheckBox" fmlaLink="$M$23" lockText="1" noThreeD="1"/>
</file>

<file path=xl/ctrlProps/ctrlProp269.xml><?xml version="1.0" encoding="utf-8"?>
<formControlPr xmlns="http://schemas.microsoft.com/office/spreadsheetml/2009/9/main" objectType="CheckBox" fmlaLink="$M24" lockText="1" noThreeD="1"/>
</file>

<file path=xl/ctrlProps/ctrlProp270.xml><?xml version="1.0" encoding="utf-8"?>
<formControlPr xmlns="http://schemas.microsoft.com/office/spreadsheetml/2009/9/main" objectType="CheckBox" checked="Checked" fmlaLink="$M$25" lockText="1" noThreeD="1"/>
</file>

<file path=xl/ctrlProps/ctrlProp271.xml><?xml version="1.0" encoding="utf-8"?>
<formControlPr xmlns="http://schemas.microsoft.com/office/spreadsheetml/2009/9/main" objectType="CheckBox" fmlaLink="$M$27" lockText="1" noThreeD="1"/>
</file>

<file path=xl/ctrlProps/ctrlProp272.xml><?xml version="1.0" encoding="utf-8"?>
<formControlPr xmlns="http://schemas.microsoft.com/office/spreadsheetml/2009/9/main" objectType="CheckBox" fmlaLink="$M$28" lockText="1" noThreeD="1"/>
</file>

<file path=xl/ctrlProps/ctrlProp273.xml><?xml version="1.0" encoding="utf-8"?>
<formControlPr xmlns="http://schemas.microsoft.com/office/spreadsheetml/2009/9/main" objectType="CheckBox" fmlaLink="$M$29" lockText="1" noThreeD="1"/>
</file>

<file path=xl/ctrlProps/ctrlProp274.xml><?xml version="1.0" encoding="utf-8"?>
<formControlPr xmlns="http://schemas.microsoft.com/office/spreadsheetml/2009/9/main" objectType="CheckBox" fmlaLink="$M$30" lockText="1" noThreeD="1"/>
</file>

<file path=xl/ctrlProps/ctrlProp275.xml><?xml version="1.0" encoding="utf-8"?>
<formControlPr xmlns="http://schemas.microsoft.com/office/spreadsheetml/2009/9/main" objectType="CheckBox" checked="Checked" fmlaLink="$M$31" lockText="1" noThreeD="1"/>
</file>

<file path=xl/ctrlProps/ctrlProp276.xml><?xml version="1.0" encoding="utf-8"?>
<formControlPr xmlns="http://schemas.microsoft.com/office/spreadsheetml/2009/9/main" objectType="CheckBox" fmlaLink="$M$32" lockText="1" noThreeD="1"/>
</file>

<file path=xl/ctrlProps/ctrlProp277.xml><?xml version="1.0" encoding="utf-8"?>
<formControlPr xmlns="http://schemas.microsoft.com/office/spreadsheetml/2009/9/main" objectType="CheckBox" fmlaLink="$M$33" lockText="1" noThreeD="1"/>
</file>

<file path=xl/ctrlProps/ctrlProp278.xml><?xml version="1.0" encoding="utf-8"?>
<formControlPr xmlns="http://schemas.microsoft.com/office/spreadsheetml/2009/9/main" objectType="CheckBox" checked="Checked" fmlaLink="$M$34" lockText="1" noThreeD="1"/>
</file>

<file path=xl/ctrlProps/ctrlProp279.xml><?xml version="1.0" encoding="utf-8"?>
<formControlPr xmlns="http://schemas.microsoft.com/office/spreadsheetml/2009/9/main" objectType="CheckBox" fmlaLink="$M$4" lockText="1" noThreeD="1"/>
</file>

<file path=xl/ctrlProps/ctrlProp280.xml><?xml version="1.0" encoding="utf-8"?>
<formControlPr xmlns="http://schemas.microsoft.com/office/spreadsheetml/2009/9/main" objectType="CheckBox" checked="Checked" fmlaLink="$M$5" lockText="1" noThreeD="1"/>
</file>

<file path=xl/ctrlProps/ctrlProp281.xml><?xml version="1.0" encoding="utf-8"?>
<formControlPr xmlns="http://schemas.microsoft.com/office/spreadsheetml/2009/9/main" objectType="CheckBox" fmlaLink="$M$6" lockText="1" noThreeD="1"/>
</file>

<file path=xl/ctrlProps/ctrlProp282.xml><?xml version="1.0" encoding="utf-8"?>
<formControlPr xmlns="http://schemas.microsoft.com/office/spreadsheetml/2009/9/main" objectType="CheckBox" fmlaLink="$M$8" lockText="1" noThreeD="1"/>
</file>

<file path=xl/ctrlProps/ctrlProp283.xml><?xml version="1.0" encoding="utf-8"?>
<formControlPr xmlns="http://schemas.microsoft.com/office/spreadsheetml/2009/9/main" objectType="CheckBox" checked="Checked" fmlaLink="$M$7" lockText="1" noThreeD="1"/>
</file>

<file path=xl/ctrlProps/ctrlProp284.xml><?xml version="1.0" encoding="utf-8"?>
<formControlPr xmlns="http://schemas.microsoft.com/office/spreadsheetml/2009/9/main" objectType="CheckBox" fmlaLink="$M$9" lockText="1" noThreeD="1"/>
</file>

<file path=xl/ctrlProps/ctrlProp285.xml><?xml version="1.0" encoding="utf-8"?>
<formControlPr xmlns="http://schemas.microsoft.com/office/spreadsheetml/2009/9/main" objectType="CheckBox" fmlaLink="$M$10" lockText="1" noThreeD="1"/>
</file>

<file path=xl/ctrlProps/ctrlProp286.xml><?xml version="1.0" encoding="utf-8"?>
<formControlPr xmlns="http://schemas.microsoft.com/office/spreadsheetml/2009/9/main" objectType="CheckBox" checked="Checked" fmlaLink="$M$11" lockText="1" noThreeD="1"/>
</file>

<file path=xl/ctrlProps/ctrlProp287.xml><?xml version="1.0" encoding="utf-8"?>
<formControlPr xmlns="http://schemas.microsoft.com/office/spreadsheetml/2009/9/main" objectType="CheckBox" fmlaLink="$M$12" lockText="1" noThreeD="1"/>
</file>

<file path=xl/ctrlProps/ctrlProp288.xml><?xml version="1.0" encoding="utf-8"?>
<formControlPr xmlns="http://schemas.microsoft.com/office/spreadsheetml/2009/9/main" objectType="CheckBox" checked="Checked" fmlaLink="$M$13" lockText="1" noThreeD="1"/>
</file>

<file path=xl/ctrlProps/ctrlProp289.xml><?xml version="1.0" encoding="utf-8"?>
<formControlPr xmlns="http://schemas.microsoft.com/office/spreadsheetml/2009/9/main" objectType="CheckBox" fmlaLink="$M$14" lockText="1" noThreeD="1"/>
</file>

<file path=xl/ctrlProps/ctrlProp290.xml><?xml version="1.0" encoding="utf-8"?>
<formControlPr xmlns="http://schemas.microsoft.com/office/spreadsheetml/2009/9/main" objectType="CheckBox" checked="Checked" fmlaLink="$M$15" lockText="1" noThreeD="1"/>
</file>

<file path=xl/ctrlProps/ctrlProp291.xml><?xml version="1.0" encoding="utf-8"?>
<formControlPr xmlns="http://schemas.microsoft.com/office/spreadsheetml/2009/9/main" objectType="CheckBox" fmlaLink="$M$16" lockText="1" noThreeD="1"/>
</file>

<file path=xl/ctrlProps/ctrlProp292.xml><?xml version="1.0" encoding="utf-8"?>
<formControlPr xmlns="http://schemas.microsoft.com/office/spreadsheetml/2009/9/main" objectType="CheckBox" checked="Checked" fmlaLink="$M$17" lockText="1" noThreeD="1"/>
</file>

<file path=xl/ctrlProps/ctrlProp293.xml><?xml version="1.0" encoding="utf-8"?>
<formControlPr xmlns="http://schemas.microsoft.com/office/spreadsheetml/2009/9/main" objectType="CheckBox" fmlaLink="$M$18" lockText="1" noThreeD="1"/>
</file>

<file path=xl/ctrlProps/ctrlProp294.xml><?xml version="1.0" encoding="utf-8"?>
<formControlPr xmlns="http://schemas.microsoft.com/office/spreadsheetml/2009/9/main" objectType="CheckBox" fmlaLink="$M$19" lockText="1" noThreeD="1"/>
</file>

<file path=xl/ctrlProps/ctrlProp295.xml><?xml version="1.0" encoding="utf-8"?>
<formControlPr xmlns="http://schemas.microsoft.com/office/spreadsheetml/2009/9/main" objectType="CheckBox" fmlaLink="$M$20" lockText="1" noThreeD="1"/>
</file>

<file path=xl/ctrlProps/ctrlProp296.xml><?xml version="1.0" encoding="utf-8"?>
<formControlPr xmlns="http://schemas.microsoft.com/office/spreadsheetml/2009/9/main" objectType="CheckBox" fmlaLink="$M$21" lockText="1" noThreeD="1"/>
</file>

<file path=xl/ctrlProps/ctrlProp297.xml><?xml version="1.0" encoding="utf-8"?>
<formControlPr xmlns="http://schemas.microsoft.com/office/spreadsheetml/2009/9/main" objectType="CheckBox" fmlaLink="$M$22" lockText="1" noThreeD="1"/>
</file>

<file path=xl/ctrlProps/ctrlProp298.xml><?xml version="1.0" encoding="utf-8"?>
<formControlPr xmlns="http://schemas.microsoft.com/office/spreadsheetml/2009/9/main" objectType="CheckBox" fmlaLink="$M$23" lockText="1" noThreeD="1"/>
</file>

<file path=xl/ctrlProps/ctrlProp299.xml><?xml version="1.0" encoding="utf-8"?>
<formControlPr xmlns="http://schemas.microsoft.com/office/spreadsheetml/2009/9/main" objectType="CheckBox" fmlaLink="$M24" lockText="1" noThreeD="1"/>
</file>

<file path=xl/ctrlProps/ctrlProp300.xml><?xml version="1.0" encoding="utf-8"?>
<formControlPr xmlns="http://schemas.microsoft.com/office/spreadsheetml/2009/9/main" objectType="CheckBox" checked="Checked" fmlaLink="$M$25" lockText="1" noThreeD="1"/>
</file>

<file path=xl/ctrlProps/ctrlProp301.xml><?xml version="1.0" encoding="utf-8"?>
<formControlPr xmlns="http://schemas.microsoft.com/office/spreadsheetml/2009/9/main" objectType="CheckBox" fmlaLink="$M$27" lockText="1" noThreeD="1"/>
</file>

<file path=xl/ctrlProps/ctrlProp302.xml><?xml version="1.0" encoding="utf-8"?>
<formControlPr xmlns="http://schemas.microsoft.com/office/spreadsheetml/2009/9/main" objectType="CheckBox" checked="Checked" fmlaLink="$M$28" lockText="1" noThreeD="1"/>
</file>

<file path=xl/ctrlProps/ctrlProp303.xml><?xml version="1.0" encoding="utf-8"?>
<formControlPr xmlns="http://schemas.microsoft.com/office/spreadsheetml/2009/9/main" objectType="CheckBox" checked="Checked" fmlaLink="$M$29" lockText="1" noThreeD="1"/>
</file>

<file path=xl/ctrlProps/ctrlProp304.xml><?xml version="1.0" encoding="utf-8"?>
<formControlPr xmlns="http://schemas.microsoft.com/office/spreadsheetml/2009/9/main" objectType="CheckBox" fmlaLink="$M$30" lockText="1" noThreeD="1"/>
</file>

<file path=xl/ctrlProps/ctrlProp305.xml><?xml version="1.0" encoding="utf-8"?>
<formControlPr xmlns="http://schemas.microsoft.com/office/spreadsheetml/2009/9/main" objectType="CheckBox" fmlaLink="$M$31" lockText="1" noThreeD="1"/>
</file>

<file path=xl/ctrlProps/ctrlProp306.xml><?xml version="1.0" encoding="utf-8"?>
<formControlPr xmlns="http://schemas.microsoft.com/office/spreadsheetml/2009/9/main" objectType="CheckBox" fmlaLink="$M$32" lockText="1" noThreeD="1"/>
</file>

<file path=xl/ctrlProps/ctrlProp307.xml><?xml version="1.0" encoding="utf-8"?>
<formControlPr xmlns="http://schemas.microsoft.com/office/spreadsheetml/2009/9/main" objectType="CheckBox" fmlaLink="$M$33" lockText="1" noThreeD="1"/>
</file>

<file path=xl/ctrlProps/ctrlProp308.xml><?xml version="1.0" encoding="utf-8"?>
<formControlPr xmlns="http://schemas.microsoft.com/office/spreadsheetml/2009/9/main" objectType="CheckBox" checked="Checked" fmlaLink="$M$34" lockText="1" noThreeD="1"/>
</file>

<file path=xl/ctrlProps/ctrlProp309.xml><?xml version="1.0" encoding="utf-8"?>
<formControlPr xmlns="http://schemas.microsoft.com/office/spreadsheetml/2009/9/main" objectType="CheckBox" fmlaLink="#REF!" lockText="1" noThreeD="1"/>
</file>

<file path=xl/ctrlProps/ctrlProp310.xml><?xml version="1.0" encoding="utf-8"?>
<formControlPr xmlns="http://schemas.microsoft.com/office/spreadsheetml/2009/9/main" objectType="CheckBox" checked="Checked" fmlaLink="$M$4" lockText="1" noThreeD="1"/>
</file>

<file path=xl/ctrlProps/ctrlProp311.xml><?xml version="1.0" encoding="utf-8"?>
<formControlPr xmlns="http://schemas.microsoft.com/office/spreadsheetml/2009/9/main" objectType="CheckBox" checked="Checked" fmlaLink="$M$8" lockText="1" noThreeD="1"/>
</file>

<file path=xl/ctrlProps/ctrlProp312.xml><?xml version="1.0" encoding="utf-8"?>
<formControlPr xmlns="http://schemas.microsoft.com/office/spreadsheetml/2009/9/main" objectType="CheckBox" fmlaLink="$M$9" lockText="1" noThreeD="1"/>
</file>

<file path=xl/ctrlProps/ctrlProp313.xml><?xml version="1.0" encoding="utf-8"?>
<formControlPr xmlns="http://schemas.microsoft.com/office/spreadsheetml/2009/9/main" objectType="CheckBox" fmlaLink="$M$29" lockText="1" noThreeD="1"/>
</file>

<file path=xl/ctrlProps/ctrlProp314.xml><?xml version="1.0" encoding="utf-8"?>
<formControlPr xmlns="http://schemas.microsoft.com/office/spreadsheetml/2009/9/main" objectType="CheckBox" fmlaLink="$M$14" lockText="1" noThreeD="1"/>
</file>

<file path=xl/ctrlProps/ctrlProp315.xml><?xml version="1.0" encoding="utf-8"?>
<formControlPr xmlns="http://schemas.microsoft.com/office/spreadsheetml/2009/9/main" objectType="CheckBox" fmlaLink="$M$15" lockText="1" noThreeD="1"/>
</file>

<file path=xl/ctrlProps/ctrlProp316.xml><?xml version="1.0" encoding="utf-8"?>
<formControlPr xmlns="http://schemas.microsoft.com/office/spreadsheetml/2009/9/main" objectType="CheckBox" checked="Checked" fmlaLink="$M$16" lockText="1" noThreeD="1"/>
</file>

<file path=xl/ctrlProps/ctrlProp317.xml><?xml version="1.0" encoding="utf-8"?>
<formControlPr xmlns="http://schemas.microsoft.com/office/spreadsheetml/2009/9/main" objectType="CheckBox" fmlaLink="$M$17" lockText="1" noThreeD="1"/>
</file>

<file path=xl/ctrlProps/ctrlProp318.xml><?xml version="1.0" encoding="utf-8"?>
<formControlPr xmlns="http://schemas.microsoft.com/office/spreadsheetml/2009/9/main" objectType="CheckBox" checked="Checked" fmlaLink="$M$18" lockText="1" noThreeD="1"/>
</file>

<file path=xl/ctrlProps/ctrlProp319.xml><?xml version="1.0" encoding="utf-8"?>
<formControlPr xmlns="http://schemas.microsoft.com/office/spreadsheetml/2009/9/main" objectType="CheckBox" fmlaLink="$M$20" lockText="1" noThreeD="1"/>
</file>

<file path=xl/ctrlProps/ctrlProp320.xml><?xml version="1.0" encoding="utf-8"?>
<formControlPr xmlns="http://schemas.microsoft.com/office/spreadsheetml/2009/9/main" objectType="CheckBox" checked="Checked" fmlaLink="$M$12" lockText="1" noThreeD="1"/>
</file>

<file path=xl/ctrlProps/ctrlProp321.xml><?xml version="1.0" encoding="utf-8"?>
<formControlPr xmlns="http://schemas.microsoft.com/office/spreadsheetml/2009/9/main" objectType="CheckBox" fmlaLink="$M$21" lockText="1" noThreeD="1"/>
</file>

<file path=xl/ctrlProps/ctrlProp322.xml><?xml version="1.0" encoding="utf-8"?>
<formControlPr xmlns="http://schemas.microsoft.com/office/spreadsheetml/2009/9/main" objectType="CheckBox" checked="Checked" fmlaLink="$M$7" lockText="1" noThreeD="1"/>
</file>

<file path=xl/ctrlProps/ctrlProp323.xml><?xml version="1.0" encoding="utf-8"?>
<formControlPr xmlns="http://schemas.microsoft.com/office/spreadsheetml/2009/9/main" objectType="CheckBox" fmlaLink="$M$22" lockText="1" noThreeD="1"/>
</file>

<file path=xl/ctrlProps/ctrlProp324.xml><?xml version="1.0" encoding="utf-8"?>
<formControlPr xmlns="http://schemas.microsoft.com/office/spreadsheetml/2009/9/main" objectType="CheckBox" fmlaLink="$M$23" lockText="1" noThreeD="1"/>
</file>

<file path=xl/ctrlProps/ctrlProp325.xml><?xml version="1.0" encoding="utf-8"?>
<formControlPr xmlns="http://schemas.microsoft.com/office/spreadsheetml/2009/9/main" objectType="CheckBox" fmlaLink="$M$24" lockText="1" noThreeD="1"/>
</file>

<file path=xl/ctrlProps/ctrlProp326.xml><?xml version="1.0" encoding="utf-8"?>
<formControlPr xmlns="http://schemas.microsoft.com/office/spreadsheetml/2009/9/main" objectType="CheckBox" fmlaLink="$M$25" lockText="1" noThreeD="1"/>
</file>

<file path=xl/ctrlProps/ctrlProp327.xml><?xml version="1.0" encoding="utf-8"?>
<formControlPr xmlns="http://schemas.microsoft.com/office/spreadsheetml/2009/9/main" objectType="CheckBox" checked="Checked" fmlaLink="$M$26" lockText="1" noThreeD="1"/>
</file>

<file path=xl/ctrlProps/ctrlProp328.xml><?xml version="1.0" encoding="utf-8"?>
<formControlPr xmlns="http://schemas.microsoft.com/office/spreadsheetml/2009/9/main" objectType="CheckBox" fmlaLink="$M$27" lockText="1" noThreeD="1"/>
</file>

<file path=xl/ctrlProps/ctrlProp329.xml><?xml version="1.0" encoding="utf-8"?>
<formControlPr xmlns="http://schemas.microsoft.com/office/spreadsheetml/2009/9/main" objectType="CheckBox" fmlaLink="$M28" lockText="1" noThreeD="1"/>
</file>

<file path=xl/ctrlProps/ctrlProp330.xml><?xml version="1.0" encoding="utf-8"?>
<formControlPr xmlns="http://schemas.microsoft.com/office/spreadsheetml/2009/9/main" objectType="CheckBox" checked="Checked" fmlaLink="$M$5" lockText="1" noThreeD="1"/>
</file>

<file path=xl/ctrlProps/ctrlProp331.xml><?xml version="1.0" encoding="utf-8"?>
<formControlPr xmlns="http://schemas.microsoft.com/office/spreadsheetml/2009/9/main" objectType="CheckBox" fmlaLink="$M$19" lockText="1" noThreeD="1"/>
</file>

<file path=xl/ctrlProps/ctrlProp332.xml><?xml version="1.0" encoding="utf-8"?>
<formControlPr xmlns="http://schemas.microsoft.com/office/spreadsheetml/2009/9/main" objectType="CheckBox" fmlaLink="$M$11" lockText="1" noThreeD="1"/>
</file>

<file path=xl/ctrlProps/ctrlProp333.xml><?xml version="1.0" encoding="utf-8"?>
<formControlPr xmlns="http://schemas.microsoft.com/office/spreadsheetml/2009/9/main" objectType="CheckBox" fmlaLink="$M$30" lockText="1" noThreeD="1"/>
</file>

<file path=xl/ctrlProps/ctrlProp334.xml><?xml version="1.0" encoding="utf-8"?>
<formControlPr xmlns="http://schemas.microsoft.com/office/spreadsheetml/2009/9/main" objectType="CheckBox" fmlaLink="$M$31" lockText="1" noThreeD="1"/>
</file>

<file path=xl/ctrlProps/ctrlProp335.xml><?xml version="1.0" encoding="utf-8"?>
<formControlPr xmlns="http://schemas.microsoft.com/office/spreadsheetml/2009/9/main" objectType="CheckBox" fmlaLink="$M$32" lockText="1" noThreeD="1"/>
</file>

<file path=xl/ctrlProps/ctrlProp336.xml><?xml version="1.0" encoding="utf-8"?>
<formControlPr xmlns="http://schemas.microsoft.com/office/spreadsheetml/2009/9/main" objectType="CheckBox" fmlaLink="$M$33" lockText="1" noThreeD="1"/>
</file>

<file path=xl/ctrlProps/ctrlProp337.xml><?xml version="1.0" encoding="utf-8"?>
<formControlPr xmlns="http://schemas.microsoft.com/office/spreadsheetml/2009/9/main" objectType="CheckBox" checked="Checked" fmlaLink="$M$6" lockText="1" noThreeD="1"/>
</file>

<file path=xl/ctrlProps/ctrlProp338.xml><?xml version="1.0" encoding="utf-8"?>
<formControlPr xmlns="http://schemas.microsoft.com/office/spreadsheetml/2009/9/main" objectType="CheckBox" fmlaLink="$M$10" lockText="1" noThreeD="1"/>
</file>

<file path=xl/ctrlProps/ctrlProp339.xml><?xml version="1.0" encoding="utf-8"?>
<formControlPr xmlns="http://schemas.microsoft.com/office/spreadsheetml/2009/9/main" objectType="CheckBox" checked="Checked" fmlaLink="$M$13" lockText="1" noThreeD="1"/>
</file>

<file path=xl/ctrlProps/ctrlProp340.xml><?xml version="1.0" encoding="utf-8"?>
<formControlPr xmlns="http://schemas.microsoft.com/office/spreadsheetml/2009/9/main" objectType="CheckBox" fmlaLink="#REF!" lockText="1" noThreeD="1"/>
</file>

<file path=xl/ctrlProps/ctrlProp341.xml><?xml version="1.0" encoding="utf-8"?>
<formControlPr xmlns="http://schemas.microsoft.com/office/spreadsheetml/2009/9/main" objectType="CheckBox" checked="Checked" fmlaLink="$M$4" lockText="1" noThreeD="1"/>
</file>

<file path=xl/ctrlProps/ctrlProp342.xml><?xml version="1.0" encoding="utf-8"?>
<formControlPr xmlns="http://schemas.microsoft.com/office/spreadsheetml/2009/9/main" objectType="CheckBox" checked="Checked" fmlaLink="$M$8" lockText="1" noThreeD="1"/>
</file>

<file path=xl/ctrlProps/ctrlProp343.xml><?xml version="1.0" encoding="utf-8"?>
<formControlPr xmlns="http://schemas.microsoft.com/office/spreadsheetml/2009/9/main" objectType="CheckBox" fmlaLink="$M$9" lockText="1" noThreeD="1"/>
</file>

<file path=xl/ctrlProps/ctrlProp344.xml><?xml version="1.0" encoding="utf-8"?>
<formControlPr xmlns="http://schemas.microsoft.com/office/spreadsheetml/2009/9/main" objectType="CheckBox" fmlaLink="$M$29" lockText="1" noThreeD="1"/>
</file>

<file path=xl/ctrlProps/ctrlProp345.xml><?xml version="1.0" encoding="utf-8"?>
<formControlPr xmlns="http://schemas.microsoft.com/office/spreadsheetml/2009/9/main" objectType="CheckBox" fmlaLink="$M$14" lockText="1" noThreeD="1"/>
</file>

<file path=xl/ctrlProps/ctrlProp346.xml><?xml version="1.0" encoding="utf-8"?>
<formControlPr xmlns="http://schemas.microsoft.com/office/spreadsheetml/2009/9/main" objectType="CheckBox" fmlaLink="$M$15" lockText="1" noThreeD="1"/>
</file>

<file path=xl/ctrlProps/ctrlProp347.xml><?xml version="1.0" encoding="utf-8"?>
<formControlPr xmlns="http://schemas.microsoft.com/office/spreadsheetml/2009/9/main" objectType="CheckBox" checked="Checked" fmlaLink="$M$16" lockText="1" noThreeD="1"/>
</file>

<file path=xl/ctrlProps/ctrlProp348.xml><?xml version="1.0" encoding="utf-8"?>
<formControlPr xmlns="http://schemas.microsoft.com/office/spreadsheetml/2009/9/main" objectType="CheckBox" fmlaLink="$M$17" lockText="1" noThreeD="1"/>
</file>

<file path=xl/ctrlProps/ctrlProp349.xml><?xml version="1.0" encoding="utf-8"?>
<formControlPr xmlns="http://schemas.microsoft.com/office/spreadsheetml/2009/9/main" objectType="CheckBox" checked="Checked" fmlaLink="$M$18" lockText="1" noThreeD="1"/>
</file>

<file path=xl/ctrlProps/ctrlProp350.xml><?xml version="1.0" encoding="utf-8"?>
<formControlPr xmlns="http://schemas.microsoft.com/office/spreadsheetml/2009/9/main" objectType="CheckBox" fmlaLink="$M$20" lockText="1" noThreeD="1"/>
</file>

<file path=xl/ctrlProps/ctrlProp351.xml><?xml version="1.0" encoding="utf-8"?>
<formControlPr xmlns="http://schemas.microsoft.com/office/spreadsheetml/2009/9/main" objectType="CheckBox" checked="Checked" fmlaLink="$M$12" lockText="1" noThreeD="1"/>
</file>

<file path=xl/ctrlProps/ctrlProp352.xml><?xml version="1.0" encoding="utf-8"?>
<formControlPr xmlns="http://schemas.microsoft.com/office/spreadsheetml/2009/9/main" objectType="CheckBox" fmlaLink="$M$21" lockText="1" noThreeD="1"/>
</file>

<file path=xl/ctrlProps/ctrlProp353.xml><?xml version="1.0" encoding="utf-8"?>
<formControlPr xmlns="http://schemas.microsoft.com/office/spreadsheetml/2009/9/main" objectType="CheckBox" checked="Checked" fmlaLink="$M$7" lockText="1" noThreeD="1"/>
</file>

<file path=xl/ctrlProps/ctrlProp354.xml><?xml version="1.0" encoding="utf-8"?>
<formControlPr xmlns="http://schemas.microsoft.com/office/spreadsheetml/2009/9/main" objectType="CheckBox" fmlaLink="$M$22" lockText="1" noThreeD="1"/>
</file>

<file path=xl/ctrlProps/ctrlProp355.xml><?xml version="1.0" encoding="utf-8"?>
<formControlPr xmlns="http://schemas.microsoft.com/office/spreadsheetml/2009/9/main" objectType="CheckBox" fmlaLink="$M$23" lockText="1" noThreeD="1"/>
</file>

<file path=xl/ctrlProps/ctrlProp356.xml><?xml version="1.0" encoding="utf-8"?>
<formControlPr xmlns="http://schemas.microsoft.com/office/spreadsheetml/2009/9/main" objectType="CheckBox" fmlaLink="$M$24" lockText="1" noThreeD="1"/>
</file>

<file path=xl/ctrlProps/ctrlProp357.xml><?xml version="1.0" encoding="utf-8"?>
<formControlPr xmlns="http://schemas.microsoft.com/office/spreadsheetml/2009/9/main" objectType="CheckBox" fmlaLink="$M$25" lockText="1" noThreeD="1"/>
</file>

<file path=xl/ctrlProps/ctrlProp358.xml><?xml version="1.0" encoding="utf-8"?>
<formControlPr xmlns="http://schemas.microsoft.com/office/spreadsheetml/2009/9/main" objectType="CheckBox" fmlaLink="$M$26" lockText="1" noThreeD="1"/>
</file>

<file path=xl/ctrlProps/ctrlProp359.xml><?xml version="1.0" encoding="utf-8"?>
<formControlPr xmlns="http://schemas.microsoft.com/office/spreadsheetml/2009/9/main" objectType="CheckBox" fmlaLink="$M$27" lockText="1" noThreeD="1"/>
</file>

<file path=xl/ctrlProps/ctrlProp360.xml><?xml version="1.0" encoding="utf-8"?>
<formControlPr xmlns="http://schemas.microsoft.com/office/spreadsheetml/2009/9/main" objectType="CheckBox" fmlaLink="$M28" lockText="1" noThreeD="1"/>
</file>

<file path=xl/ctrlProps/ctrlProp361.xml><?xml version="1.0" encoding="utf-8"?>
<formControlPr xmlns="http://schemas.microsoft.com/office/spreadsheetml/2009/9/main" objectType="CheckBox" checked="Checked" fmlaLink="$M$5" lockText="1" noThreeD="1"/>
</file>

<file path=xl/ctrlProps/ctrlProp362.xml><?xml version="1.0" encoding="utf-8"?>
<formControlPr xmlns="http://schemas.microsoft.com/office/spreadsheetml/2009/9/main" objectType="CheckBox" fmlaLink="$M$19" lockText="1" noThreeD="1"/>
</file>

<file path=xl/ctrlProps/ctrlProp363.xml><?xml version="1.0" encoding="utf-8"?>
<formControlPr xmlns="http://schemas.microsoft.com/office/spreadsheetml/2009/9/main" objectType="CheckBox" fmlaLink="$M$11" lockText="1" noThreeD="1"/>
</file>

<file path=xl/ctrlProps/ctrlProp364.xml><?xml version="1.0" encoding="utf-8"?>
<formControlPr xmlns="http://schemas.microsoft.com/office/spreadsheetml/2009/9/main" objectType="CheckBox" fmlaLink="$M$30" lockText="1" noThreeD="1"/>
</file>

<file path=xl/ctrlProps/ctrlProp365.xml><?xml version="1.0" encoding="utf-8"?>
<formControlPr xmlns="http://schemas.microsoft.com/office/spreadsheetml/2009/9/main" objectType="CheckBox" fmlaLink="$M$31" lockText="1" noThreeD="1"/>
</file>

<file path=xl/ctrlProps/ctrlProp366.xml><?xml version="1.0" encoding="utf-8"?>
<formControlPr xmlns="http://schemas.microsoft.com/office/spreadsheetml/2009/9/main" objectType="CheckBox" fmlaLink="$M$32" lockText="1" noThreeD="1"/>
</file>

<file path=xl/ctrlProps/ctrlProp367.xml><?xml version="1.0" encoding="utf-8"?>
<formControlPr xmlns="http://schemas.microsoft.com/office/spreadsheetml/2009/9/main" objectType="CheckBox" fmlaLink="$M$33" lockText="1" noThreeD="1"/>
</file>

<file path=xl/ctrlProps/ctrlProp368.xml><?xml version="1.0" encoding="utf-8"?>
<formControlPr xmlns="http://schemas.microsoft.com/office/spreadsheetml/2009/9/main" objectType="CheckBox" checked="Checked" fmlaLink="$M$6" lockText="1" noThreeD="1"/>
</file>

<file path=xl/ctrlProps/ctrlProp369.xml><?xml version="1.0" encoding="utf-8"?>
<formControlPr xmlns="http://schemas.microsoft.com/office/spreadsheetml/2009/9/main" objectType="CheckBox" checked="Checked" fmlaLink="$M$10" lockText="1" noThreeD="1"/>
</file>

<file path=xl/ctrlProps/ctrlProp370.xml><?xml version="1.0" encoding="utf-8"?>
<formControlPr xmlns="http://schemas.microsoft.com/office/spreadsheetml/2009/9/main" objectType="CheckBox" fmlaLink="$M$13" lockText="1" noThreeD="1"/>
</file>

<file path=xl/ctrlProps/ctrlProp371.xml><?xml version="1.0" encoding="utf-8"?>
<formControlPr xmlns="http://schemas.microsoft.com/office/spreadsheetml/2009/9/main" objectType="CheckBox" fmlaLink="$M$34" lockText="1" noThreeD="1"/>
</file>

<file path=xl/ctrlProps/ctrlProp372.xml><?xml version="1.0" encoding="utf-8"?>
<formControlPr xmlns="http://schemas.microsoft.com/office/spreadsheetml/2009/9/main" objectType="CheckBox" checked="Checked" fmlaLink="$M$35" lockText="1" noThreeD="1"/>
</file>

<file path=xl/ctrlProps/ctrlProp373.xml><?xml version="1.0" encoding="utf-8"?>
<formControlPr xmlns="http://schemas.microsoft.com/office/spreadsheetml/2009/9/main" objectType="CheckBox" fmlaLink="#REF!" lockText="1" noThreeD="1"/>
</file>

<file path=xl/ctrlProps/ctrlProp374.xml><?xml version="1.0" encoding="utf-8"?>
<formControlPr xmlns="http://schemas.microsoft.com/office/spreadsheetml/2009/9/main" objectType="CheckBox" checked="Checked" fmlaLink="$M$4" lockText="1" noThreeD="1"/>
</file>

<file path=xl/ctrlProps/ctrlProp375.xml><?xml version="1.0" encoding="utf-8"?>
<formControlPr xmlns="http://schemas.microsoft.com/office/spreadsheetml/2009/9/main" objectType="CheckBox" fmlaLink="$M$8" lockText="1" noThreeD="1"/>
</file>

<file path=xl/ctrlProps/ctrlProp376.xml><?xml version="1.0" encoding="utf-8"?>
<formControlPr xmlns="http://schemas.microsoft.com/office/spreadsheetml/2009/9/main" objectType="CheckBox" fmlaLink="$M$9" lockText="1" noThreeD="1"/>
</file>

<file path=xl/ctrlProps/ctrlProp377.xml><?xml version="1.0" encoding="utf-8"?>
<formControlPr xmlns="http://schemas.microsoft.com/office/spreadsheetml/2009/9/main" objectType="CheckBox" fmlaLink="$M$30" lockText="1" noThreeD="1"/>
</file>

<file path=xl/ctrlProps/ctrlProp378.xml><?xml version="1.0" encoding="utf-8"?>
<formControlPr xmlns="http://schemas.microsoft.com/office/spreadsheetml/2009/9/main" objectType="CheckBox" fmlaLink="$M$15" lockText="1" noThreeD="1"/>
</file>

<file path=xl/ctrlProps/ctrlProp379.xml><?xml version="1.0" encoding="utf-8"?>
<formControlPr xmlns="http://schemas.microsoft.com/office/spreadsheetml/2009/9/main" objectType="CheckBox" fmlaLink="$M$16" lockText="1" noThreeD="1"/>
</file>

<file path=xl/ctrlProps/ctrlProp380.xml><?xml version="1.0" encoding="utf-8"?>
<formControlPr xmlns="http://schemas.microsoft.com/office/spreadsheetml/2009/9/main" objectType="CheckBox" checked="Checked" fmlaLink="$M$17" lockText="1" noThreeD="1"/>
</file>

<file path=xl/ctrlProps/ctrlProp381.xml><?xml version="1.0" encoding="utf-8"?>
<formControlPr xmlns="http://schemas.microsoft.com/office/spreadsheetml/2009/9/main" objectType="CheckBox" fmlaLink="$M$18" lockText="1" noThreeD="1"/>
</file>

<file path=xl/ctrlProps/ctrlProp382.xml><?xml version="1.0" encoding="utf-8"?>
<formControlPr xmlns="http://schemas.microsoft.com/office/spreadsheetml/2009/9/main" objectType="CheckBox" checked="Checked" fmlaLink="$M$19" lockText="1" noThreeD="1"/>
</file>

<file path=xl/ctrlProps/ctrlProp383.xml><?xml version="1.0" encoding="utf-8"?>
<formControlPr xmlns="http://schemas.microsoft.com/office/spreadsheetml/2009/9/main" objectType="CheckBox" fmlaLink="$M$21" lockText="1" noThreeD="1"/>
</file>

<file path=xl/ctrlProps/ctrlProp384.xml><?xml version="1.0" encoding="utf-8"?>
<formControlPr xmlns="http://schemas.microsoft.com/office/spreadsheetml/2009/9/main" objectType="CheckBox" checked="Checked" fmlaLink="$M$12" lockText="1" noThreeD="1"/>
</file>

<file path=xl/ctrlProps/ctrlProp385.xml><?xml version="1.0" encoding="utf-8"?>
<formControlPr xmlns="http://schemas.microsoft.com/office/spreadsheetml/2009/9/main" objectType="CheckBox" fmlaLink="$M$22" lockText="1" noThreeD="1"/>
</file>

<file path=xl/ctrlProps/ctrlProp386.xml><?xml version="1.0" encoding="utf-8"?>
<formControlPr xmlns="http://schemas.microsoft.com/office/spreadsheetml/2009/9/main" objectType="CheckBox" checked="Checked" fmlaLink="$M$7" lockText="1" noThreeD="1"/>
</file>

<file path=xl/ctrlProps/ctrlProp387.xml><?xml version="1.0" encoding="utf-8"?>
<formControlPr xmlns="http://schemas.microsoft.com/office/spreadsheetml/2009/9/main" objectType="CheckBox" fmlaLink="$M$23" lockText="1" noThreeD="1"/>
</file>

<file path=xl/ctrlProps/ctrlProp388.xml><?xml version="1.0" encoding="utf-8"?>
<formControlPr xmlns="http://schemas.microsoft.com/office/spreadsheetml/2009/9/main" objectType="CheckBox" fmlaLink="$M$24" lockText="1" noThreeD="1"/>
</file>

<file path=xl/ctrlProps/ctrlProp389.xml><?xml version="1.0" encoding="utf-8"?>
<formControlPr xmlns="http://schemas.microsoft.com/office/spreadsheetml/2009/9/main" objectType="CheckBox" fmlaLink="$M$25" lockText="1" noThreeD="1"/>
</file>

<file path=xl/ctrlProps/ctrlProp390.xml><?xml version="1.0" encoding="utf-8"?>
<formControlPr xmlns="http://schemas.microsoft.com/office/spreadsheetml/2009/9/main" objectType="CheckBox" fmlaLink="$M$26" lockText="1" noThreeD="1"/>
</file>

<file path=xl/ctrlProps/ctrlProp391.xml><?xml version="1.0" encoding="utf-8"?>
<formControlPr xmlns="http://schemas.microsoft.com/office/spreadsheetml/2009/9/main" objectType="CheckBox" fmlaLink="$M$27" lockText="1" noThreeD="1"/>
</file>

<file path=xl/ctrlProps/ctrlProp392.xml><?xml version="1.0" encoding="utf-8"?>
<formControlPr xmlns="http://schemas.microsoft.com/office/spreadsheetml/2009/9/main" objectType="CheckBox" fmlaLink="$M$28" lockText="1" noThreeD="1"/>
</file>

<file path=xl/ctrlProps/ctrlProp393.xml><?xml version="1.0" encoding="utf-8"?>
<formControlPr xmlns="http://schemas.microsoft.com/office/spreadsheetml/2009/9/main" objectType="CheckBox" fmlaLink="$M29" lockText="1" noThreeD="1"/>
</file>

<file path=xl/ctrlProps/ctrlProp394.xml><?xml version="1.0" encoding="utf-8"?>
<formControlPr xmlns="http://schemas.microsoft.com/office/spreadsheetml/2009/9/main" objectType="CheckBox" checked="Checked" fmlaLink="$M$5" lockText="1" noThreeD="1"/>
</file>

<file path=xl/ctrlProps/ctrlProp395.xml><?xml version="1.0" encoding="utf-8"?>
<formControlPr xmlns="http://schemas.microsoft.com/office/spreadsheetml/2009/9/main" objectType="CheckBox" fmlaLink="$M$20" lockText="1" noThreeD="1"/>
</file>

<file path=xl/ctrlProps/ctrlProp396.xml><?xml version="1.0" encoding="utf-8"?>
<formControlPr xmlns="http://schemas.microsoft.com/office/spreadsheetml/2009/9/main" objectType="CheckBox" fmlaLink="$M$11" lockText="1" noThreeD="1"/>
</file>

<file path=xl/ctrlProps/ctrlProp397.xml><?xml version="1.0" encoding="utf-8"?>
<formControlPr xmlns="http://schemas.microsoft.com/office/spreadsheetml/2009/9/main" objectType="CheckBox" fmlaLink="$M$31" lockText="1" noThreeD="1"/>
</file>

<file path=xl/ctrlProps/ctrlProp398.xml><?xml version="1.0" encoding="utf-8"?>
<formControlPr xmlns="http://schemas.microsoft.com/office/spreadsheetml/2009/9/main" objectType="CheckBox" fmlaLink="$M$32" lockText="1" noThreeD="1"/>
</file>

<file path=xl/ctrlProps/ctrlProp399.xml><?xml version="1.0" encoding="utf-8"?>
<formControlPr xmlns="http://schemas.microsoft.com/office/spreadsheetml/2009/9/main" objectType="CheckBox" fmlaLink="$M$33" lockText="1" noThreeD="1"/>
</file>

<file path=xl/ctrlProps/ctrlProp400.xml><?xml version="1.0" encoding="utf-8"?>
<formControlPr xmlns="http://schemas.microsoft.com/office/spreadsheetml/2009/9/main" objectType="CheckBox" fmlaLink="$M$34" lockText="1" noThreeD="1"/>
</file>

<file path=xl/ctrlProps/ctrlProp401.xml><?xml version="1.0" encoding="utf-8"?>
<formControlPr xmlns="http://schemas.microsoft.com/office/spreadsheetml/2009/9/main" objectType="CheckBox" checked="Checked" fmlaLink="$M$6" lockText="1" noThreeD="1"/>
</file>

<file path=xl/ctrlProps/ctrlProp402.xml><?xml version="1.0" encoding="utf-8"?>
<formControlPr xmlns="http://schemas.microsoft.com/office/spreadsheetml/2009/9/main" objectType="CheckBox" checked="Checked" fmlaLink="$M$10" lockText="1" noThreeD="1"/>
</file>

<file path=xl/ctrlProps/ctrlProp403.xml><?xml version="1.0" encoding="utf-8"?>
<formControlPr xmlns="http://schemas.microsoft.com/office/spreadsheetml/2009/9/main" objectType="CheckBox" fmlaLink="$M$13" lockText="1" noThreeD="1"/>
</file>

<file path=xl/ctrlProps/ctrlProp404.xml><?xml version="1.0" encoding="utf-8"?>
<formControlPr xmlns="http://schemas.microsoft.com/office/spreadsheetml/2009/9/main" objectType="CheckBox" fmlaLink="$M$35" lockText="1" noThreeD="1"/>
</file>

<file path=xl/ctrlProps/ctrlProp405.xml><?xml version="1.0" encoding="utf-8"?>
<formControlPr xmlns="http://schemas.microsoft.com/office/spreadsheetml/2009/9/main" objectType="CheckBox" checked="Checked" fmlaLink="$M$36" lockText="1" noThreeD="1"/>
</file>

<file path=xl/ctrlProps/ctrlProp406.xml><?xml version="1.0" encoding="utf-8"?>
<formControlPr xmlns="http://schemas.microsoft.com/office/spreadsheetml/2009/9/main" objectType="CheckBox" checked="Checked" fmlaLink="$M$14" lockText="1" noThreeD="1"/>
</file>

<file path=xl/ctrlProps/ctrlProp407.xml><?xml version="1.0" encoding="utf-8"?>
<formControlPr xmlns="http://schemas.microsoft.com/office/spreadsheetml/2009/9/main" objectType="CheckBox" checked="Checked" fmlaLink="$M$37" lockText="1" noThreeD="1"/>
</file>

<file path=xl/ctrlProps/ctrlProp408.xml><?xml version="1.0" encoding="utf-8"?>
<formControlPr xmlns="http://schemas.microsoft.com/office/spreadsheetml/2009/9/main" objectType="CheckBox" fmlaLink="#REF!" lockText="1" noThreeD="1"/>
</file>

<file path=xl/ctrlProps/ctrlProp409.xml><?xml version="1.0" encoding="utf-8"?>
<formControlPr xmlns="http://schemas.microsoft.com/office/spreadsheetml/2009/9/main" objectType="CheckBox" checked="Checked" fmlaLink="$M$4" lockText="1" noThreeD="1"/>
</file>

<file path=xl/ctrlProps/ctrlProp410.xml><?xml version="1.0" encoding="utf-8"?>
<formControlPr xmlns="http://schemas.microsoft.com/office/spreadsheetml/2009/9/main" objectType="CheckBox" checked="Checked" fmlaLink="$M$8" lockText="1" noThreeD="1"/>
</file>

<file path=xl/ctrlProps/ctrlProp411.xml><?xml version="1.0" encoding="utf-8"?>
<formControlPr xmlns="http://schemas.microsoft.com/office/spreadsheetml/2009/9/main" objectType="CheckBox" fmlaLink="$M$9" lockText="1" noThreeD="1"/>
</file>

<file path=xl/ctrlProps/ctrlProp412.xml><?xml version="1.0" encoding="utf-8"?>
<formControlPr xmlns="http://schemas.microsoft.com/office/spreadsheetml/2009/9/main" objectType="CheckBox" fmlaLink="$M$30" lockText="1" noThreeD="1"/>
</file>

<file path=xl/ctrlProps/ctrlProp413.xml><?xml version="1.0" encoding="utf-8"?>
<formControlPr xmlns="http://schemas.microsoft.com/office/spreadsheetml/2009/9/main" objectType="CheckBox" fmlaLink="$M$15" lockText="1" noThreeD="1"/>
</file>

<file path=xl/ctrlProps/ctrlProp414.xml><?xml version="1.0" encoding="utf-8"?>
<formControlPr xmlns="http://schemas.microsoft.com/office/spreadsheetml/2009/9/main" objectType="CheckBox" fmlaLink="$M$16" lockText="1" noThreeD="1"/>
</file>

<file path=xl/ctrlProps/ctrlProp415.xml><?xml version="1.0" encoding="utf-8"?>
<formControlPr xmlns="http://schemas.microsoft.com/office/spreadsheetml/2009/9/main" objectType="CheckBox" checked="Checked" fmlaLink="$M$17" lockText="1" noThreeD="1"/>
</file>

<file path=xl/ctrlProps/ctrlProp416.xml><?xml version="1.0" encoding="utf-8"?>
<formControlPr xmlns="http://schemas.microsoft.com/office/spreadsheetml/2009/9/main" objectType="CheckBox" fmlaLink="$M$18" lockText="1" noThreeD="1"/>
</file>

<file path=xl/ctrlProps/ctrlProp417.xml><?xml version="1.0" encoding="utf-8"?>
<formControlPr xmlns="http://schemas.microsoft.com/office/spreadsheetml/2009/9/main" objectType="CheckBox" checked="Checked" fmlaLink="$M$19" lockText="1" noThreeD="1"/>
</file>

<file path=xl/ctrlProps/ctrlProp418.xml><?xml version="1.0" encoding="utf-8"?>
<formControlPr xmlns="http://schemas.microsoft.com/office/spreadsheetml/2009/9/main" objectType="CheckBox" fmlaLink="$M$21" lockText="1" noThreeD="1"/>
</file>

<file path=xl/ctrlProps/ctrlProp419.xml><?xml version="1.0" encoding="utf-8"?>
<formControlPr xmlns="http://schemas.microsoft.com/office/spreadsheetml/2009/9/main" objectType="CheckBox" fmlaLink="$M$12" lockText="1" noThreeD="1"/>
</file>

<file path=xl/ctrlProps/ctrlProp420.xml><?xml version="1.0" encoding="utf-8"?>
<formControlPr xmlns="http://schemas.microsoft.com/office/spreadsheetml/2009/9/main" objectType="CheckBox" fmlaLink="$M$22" lockText="1" noThreeD="1"/>
</file>

<file path=xl/ctrlProps/ctrlProp421.xml><?xml version="1.0" encoding="utf-8"?>
<formControlPr xmlns="http://schemas.microsoft.com/office/spreadsheetml/2009/9/main" objectType="CheckBox" checked="Checked" fmlaLink="$M$7" lockText="1" noThreeD="1"/>
</file>

<file path=xl/ctrlProps/ctrlProp422.xml><?xml version="1.0" encoding="utf-8"?>
<formControlPr xmlns="http://schemas.microsoft.com/office/spreadsheetml/2009/9/main" objectType="CheckBox" fmlaLink="$M$23" lockText="1" noThreeD="1"/>
</file>

<file path=xl/ctrlProps/ctrlProp423.xml><?xml version="1.0" encoding="utf-8"?>
<formControlPr xmlns="http://schemas.microsoft.com/office/spreadsheetml/2009/9/main" objectType="CheckBox" fmlaLink="$M$24" lockText="1" noThreeD="1"/>
</file>

<file path=xl/ctrlProps/ctrlProp424.xml><?xml version="1.0" encoding="utf-8"?>
<formControlPr xmlns="http://schemas.microsoft.com/office/spreadsheetml/2009/9/main" objectType="CheckBox" fmlaLink="$M$25" lockText="1" noThreeD="1"/>
</file>

<file path=xl/ctrlProps/ctrlProp425.xml><?xml version="1.0" encoding="utf-8"?>
<formControlPr xmlns="http://schemas.microsoft.com/office/spreadsheetml/2009/9/main" objectType="CheckBox" fmlaLink="$M$26" lockText="1" noThreeD="1"/>
</file>

<file path=xl/ctrlProps/ctrlProp426.xml><?xml version="1.0" encoding="utf-8"?>
<formControlPr xmlns="http://schemas.microsoft.com/office/spreadsheetml/2009/9/main" objectType="CheckBox" fmlaLink="$M$27" lockText="1" noThreeD="1"/>
</file>

<file path=xl/ctrlProps/ctrlProp427.xml><?xml version="1.0" encoding="utf-8"?>
<formControlPr xmlns="http://schemas.microsoft.com/office/spreadsheetml/2009/9/main" objectType="CheckBox" fmlaLink="$M$28" lockText="1" noThreeD="1"/>
</file>

<file path=xl/ctrlProps/ctrlProp428.xml><?xml version="1.0" encoding="utf-8"?>
<formControlPr xmlns="http://schemas.microsoft.com/office/spreadsheetml/2009/9/main" objectType="CheckBox" fmlaLink="$M29" lockText="1" noThreeD="1"/>
</file>

<file path=xl/ctrlProps/ctrlProp429.xml><?xml version="1.0" encoding="utf-8"?>
<formControlPr xmlns="http://schemas.microsoft.com/office/spreadsheetml/2009/9/main" objectType="CheckBox" checked="Checked" fmlaLink="$M$5" lockText="1" noThreeD="1"/>
</file>

<file path=xl/ctrlProps/ctrlProp430.xml><?xml version="1.0" encoding="utf-8"?>
<formControlPr xmlns="http://schemas.microsoft.com/office/spreadsheetml/2009/9/main" objectType="CheckBox" fmlaLink="$M$20" lockText="1" noThreeD="1"/>
</file>

<file path=xl/ctrlProps/ctrlProp431.xml><?xml version="1.0" encoding="utf-8"?>
<formControlPr xmlns="http://schemas.microsoft.com/office/spreadsheetml/2009/9/main" objectType="CheckBox" checked="Checked" fmlaLink="$M$11" lockText="1" noThreeD="1"/>
</file>

<file path=xl/ctrlProps/ctrlProp432.xml><?xml version="1.0" encoding="utf-8"?>
<formControlPr xmlns="http://schemas.microsoft.com/office/spreadsheetml/2009/9/main" objectType="CheckBox" checked="Checked" fmlaLink="$M$31" lockText="1" noThreeD="1"/>
</file>

<file path=xl/ctrlProps/ctrlProp433.xml><?xml version="1.0" encoding="utf-8"?>
<formControlPr xmlns="http://schemas.microsoft.com/office/spreadsheetml/2009/9/main" objectType="CheckBox" fmlaLink="$M$32" lockText="1" noThreeD="1"/>
</file>

<file path=xl/ctrlProps/ctrlProp434.xml><?xml version="1.0" encoding="utf-8"?>
<formControlPr xmlns="http://schemas.microsoft.com/office/spreadsheetml/2009/9/main" objectType="CheckBox" fmlaLink="$M$33" lockText="1" noThreeD="1"/>
</file>

<file path=xl/ctrlProps/ctrlProp435.xml><?xml version="1.0" encoding="utf-8"?>
<formControlPr xmlns="http://schemas.microsoft.com/office/spreadsheetml/2009/9/main" objectType="CheckBox" fmlaLink="$M$34" lockText="1" noThreeD="1"/>
</file>

<file path=xl/ctrlProps/ctrlProp436.xml><?xml version="1.0" encoding="utf-8"?>
<formControlPr xmlns="http://schemas.microsoft.com/office/spreadsheetml/2009/9/main" objectType="CheckBox" checked="Checked" fmlaLink="$M$6" lockText="1" noThreeD="1"/>
</file>

<file path=xl/ctrlProps/ctrlProp437.xml><?xml version="1.0" encoding="utf-8"?>
<formControlPr xmlns="http://schemas.microsoft.com/office/spreadsheetml/2009/9/main" objectType="CheckBox" fmlaLink="$M$10" lockText="1" noThreeD="1"/>
</file>

<file path=xl/ctrlProps/ctrlProp438.xml><?xml version="1.0" encoding="utf-8"?>
<formControlPr xmlns="http://schemas.microsoft.com/office/spreadsheetml/2009/9/main" objectType="CheckBox" fmlaLink="$M$13" lockText="1" noThreeD="1"/>
</file>

<file path=xl/ctrlProps/ctrlProp439.xml><?xml version="1.0" encoding="utf-8"?>
<formControlPr xmlns="http://schemas.microsoft.com/office/spreadsheetml/2009/9/main" objectType="CheckBox" fmlaLink="$M$35" lockText="1" noThreeD="1"/>
</file>

<file path=xl/ctrlProps/ctrlProp440.xml><?xml version="1.0" encoding="utf-8"?>
<formControlPr xmlns="http://schemas.microsoft.com/office/spreadsheetml/2009/9/main" objectType="CheckBox" checked="Checked" fmlaLink="$M$36" lockText="1" noThreeD="1"/>
</file>

<file path=xl/ctrlProps/ctrlProp441.xml><?xml version="1.0" encoding="utf-8"?>
<formControlPr xmlns="http://schemas.microsoft.com/office/spreadsheetml/2009/9/main" objectType="CheckBox" checked="Checked" fmlaLink="$M$14" lockText="1" noThreeD="1"/>
</file>

<file path=xl/ctrlProps/ctrlProp442.xml><?xml version="1.0" encoding="utf-8"?>
<formControlPr xmlns="http://schemas.microsoft.com/office/spreadsheetml/2009/9/main" objectType="CheckBox" fmlaLink="$M$37" lockText="1" noThreeD="1"/>
</file>

<file path=xl/ctrlProps/ctrlProp443.xml><?xml version="1.0" encoding="utf-8"?>
<formControlPr xmlns="http://schemas.microsoft.com/office/spreadsheetml/2009/9/main" objectType="CheckBox" fmlaLink="#REF!" lockText="1" noThreeD="1"/>
</file>

<file path=xl/ctrlProps/ctrlProp444.xml><?xml version="1.0" encoding="utf-8"?>
<formControlPr xmlns="http://schemas.microsoft.com/office/spreadsheetml/2009/9/main" objectType="CheckBox" checked="Checked" fmlaLink="$M$4" lockText="1" noThreeD="1"/>
</file>

<file path=xl/ctrlProps/ctrlProp445.xml><?xml version="1.0" encoding="utf-8"?>
<formControlPr xmlns="http://schemas.microsoft.com/office/spreadsheetml/2009/9/main" objectType="CheckBox" checked="Checked" fmlaLink="$M$8" lockText="1" noThreeD="1"/>
</file>

<file path=xl/ctrlProps/ctrlProp446.xml><?xml version="1.0" encoding="utf-8"?>
<formControlPr xmlns="http://schemas.microsoft.com/office/spreadsheetml/2009/9/main" objectType="CheckBox" checked="Checked" fmlaLink="$M$9" lockText="1" noThreeD="1"/>
</file>

<file path=xl/ctrlProps/ctrlProp447.xml><?xml version="1.0" encoding="utf-8"?>
<formControlPr xmlns="http://schemas.microsoft.com/office/spreadsheetml/2009/9/main" objectType="CheckBox" fmlaLink="$M$30" lockText="1" noThreeD="1"/>
</file>

<file path=xl/ctrlProps/ctrlProp448.xml><?xml version="1.0" encoding="utf-8"?>
<formControlPr xmlns="http://schemas.microsoft.com/office/spreadsheetml/2009/9/main" objectType="CheckBox" fmlaLink="$M$15" lockText="1" noThreeD="1"/>
</file>

<file path=xl/ctrlProps/ctrlProp449.xml><?xml version="1.0" encoding="utf-8"?>
<formControlPr xmlns="http://schemas.microsoft.com/office/spreadsheetml/2009/9/main" objectType="CheckBox" fmlaLink="$M$16" lockText="1" noThreeD="1"/>
</file>

<file path=xl/ctrlProps/ctrlProp450.xml><?xml version="1.0" encoding="utf-8"?>
<formControlPr xmlns="http://schemas.microsoft.com/office/spreadsheetml/2009/9/main" objectType="CheckBox" checked="Checked" fmlaLink="$M$17" lockText="1" noThreeD="1"/>
</file>

<file path=xl/ctrlProps/ctrlProp451.xml><?xml version="1.0" encoding="utf-8"?>
<formControlPr xmlns="http://schemas.microsoft.com/office/spreadsheetml/2009/9/main" objectType="CheckBox" fmlaLink="$M$18" lockText="1" noThreeD="1"/>
</file>

<file path=xl/ctrlProps/ctrlProp452.xml><?xml version="1.0" encoding="utf-8"?>
<formControlPr xmlns="http://schemas.microsoft.com/office/spreadsheetml/2009/9/main" objectType="CheckBox" checked="Checked" fmlaLink="$M$19" lockText="1" noThreeD="1"/>
</file>

<file path=xl/ctrlProps/ctrlProp453.xml><?xml version="1.0" encoding="utf-8"?>
<formControlPr xmlns="http://schemas.microsoft.com/office/spreadsheetml/2009/9/main" objectType="CheckBox" checked="Checked" fmlaLink="$M$21" lockText="1" noThreeD="1"/>
</file>

<file path=xl/ctrlProps/ctrlProp454.xml><?xml version="1.0" encoding="utf-8"?>
<formControlPr xmlns="http://schemas.microsoft.com/office/spreadsheetml/2009/9/main" objectType="CheckBox" fmlaLink="$M$12" lockText="1" noThreeD="1"/>
</file>

<file path=xl/ctrlProps/ctrlProp455.xml><?xml version="1.0" encoding="utf-8"?>
<formControlPr xmlns="http://schemas.microsoft.com/office/spreadsheetml/2009/9/main" objectType="CheckBox" fmlaLink="$M$22" lockText="1" noThreeD="1"/>
</file>

<file path=xl/ctrlProps/ctrlProp456.xml><?xml version="1.0" encoding="utf-8"?>
<formControlPr xmlns="http://schemas.microsoft.com/office/spreadsheetml/2009/9/main" objectType="CheckBox" checked="Checked" fmlaLink="$M$7" lockText="1" noThreeD="1"/>
</file>

<file path=xl/ctrlProps/ctrlProp457.xml><?xml version="1.0" encoding="utf-8"?>
<formControlPr xmlns="http://schemas.microsoft.com/office/spreadsheetml/2009/9/main" objectType="CheckBox" fmlaLink="$M$23" lockText="1" noThreeD="1"/>
</file>

<file path=xl/ctrlProps/ctrlProp458.xml><?xml version="1.0" encoding="utf-8"?>
<formControlPr xmlns="http://schemas.microsoft.com/office/spreadsheetml/2009/9/main" objectType="CheckBox" checked="Checked" fmlaLink="$M$24" lockText="1" noThreeD="1"/>
</file>

<file path=xl/ctrlProps/ctrlProp459.xml><?xml version="1.0" encoding="utf-8"?>
<formControlPr xmlns="http://schemas.microsoft.com/office/spreadsheetml/2009/9/main" objectType="CheckBox" fmlaLink="$M$25" lockText="1" noThreeD="1"/>
</file>

<file path=xl/ctrlProps/ctrlProp460.xml><?xml version="1.0" encoding="utf-8"?>
<formControlPr xmlns="http://schemas.microsoft.com/office/spreadsheetml/2009/9/main" objectType="CheckBox" fmlaLink="$M$26" lockText="1" noThreeD="1"/>
</file>

<file path=xl/ctrlProps/ctrlProp461.xml><?xml version="1.0" encoding="utf-8"?>
<formControlPr xmlns="http://schemas.microsoft.com/office/spreadsheetml/2009/9/main" objectType="CheckBox" fmlaLink="$M$27" lockText="1" noThreeD="1"/>
</file>

<file path=xl/ctrlProps/ctrlProp462.xml><?xml version="1.0" encoding="utf-8"?>
<formControlPr xmlns="http://schemas.microsoft.com/office/spreadsheetml/2009/9/main" objectType="CheckBox" fmlaLink="$M$28" lockText="1" noThreeD="1"/>
</file>

<file path=xl/ctrlProps/ctrlProp463.xml><?xml version="1.0" encoding="utf-8"?>
<formControlPr xmlns="http://schemas.microsoft.com/office/spreadsheetml/2009/9/main" objectType="CheckBox" fmlaLink="$M29" lockText="1" noThreeD="1"/>
</file>

<file path=xl/ctrlProps/ctrlProp464.xml><?xml version="1.0" encoding="utf-8"?>
<formControlPr xmlns="http://schemas.microsoft.com/office/spreadsheetml/2009/9/main" objectType="CheckBox" checked="Checked" fmlaLink="$M$5" lockText="1" noThreeD="1"/>
</file>

<file path=xl/ctrlProps/ctrlProp465.xml><?xml version="1.0" encoding="utf-8"?>
<formControlPr xmlns="http://schemas.microsoft.com/office/spreadsheetml/2009/9/main" objectType="CheckBox" fmlaLink="$M$20" lockText="1" noThreeD="1"/>
</file>

<file path=xl/ctrlProps/ctrlProp466.xml><?xml version="1.0" encoding="utf-8"?>
<formControlPr xmlns="http://schemas.microsoft.com/office/spreadsheetml/2009/9/main" objectType="CheckBox" fmlaLink="$M$11" lockText="1" noThreeD="1"/>
</file>

<file path=xl/ctrlProps/ctrlProp467.xml><?xml version="1.0" encoding="utf-8"?>
<formControlPr xmlns="http://schemas.microsoft.com/office/spreadsheetml/2009/9/main" objectType="CheckBox" fmlaLink="$M$31" lockText="1" noThreeD="1"/>
</file>

<file path=xl/ctrlProps/ctrlProp468.xml><?xml version="1.0" encoding="utf-8"?>
<formControlPr xmlns="http://schemas.microsoft.com/office/spreadsheetml/2009/9/main" objectType="CheckBox" fmlaLink="$M$32" lockText="1" noThreeD="1"/>
</file>

<file path=xl/ctrlProps/ctrlProp469.xml><?xml version="1.0" encoding="utf-8"?>
<formControlPr xmlns="http://schemas.microsoft.com/office/spreadsheetml/2009/9/main" objectType="CheckBox" fmlaLink="$M$33" lockText="1" noThreeD="1"/>
</file>

<file path=xl/ctrlProps/ctrlProp470.xml><?xml version="1.0" encoding="utf-8"?>
<formControlPr xmlns="http://schemas.microsoft.com/office/spreadsheetml/2009/9/main" objectType="CheckBox" fmlaLink="$M$34" lockText="1" noThreeD="1"/>
</file>

<file path=xl/ctrlProps/ctrlProp471.xml><?xml version="1.0" encoding="utf-8"?>
<formControlPr xmlns="http://schemas.microsoft.com/office/spreadsheetml/2009/9/main" objectType="CheckBox" checked="Checked" fmlaLink="$M$6" lockText="1" noThreeD="1"/>
</file>

<file path=xl/ctrlProps/ctrlProp472.xml><?xml version="1.0" encoding="utf-8"?>
<formControlPr xmlns="http://schemas.microsoft.com/office/spreadsheetml/2009/9/main" objectType="CheckBox" fmlaLink="$M$10" lockText="1" noThreeD="1"/>
</file>

<file path=xl/ctrlProps/ctrlProp473.xml><?xml version="1.0" encoding="utf-8"?>
<formControlPr xmlns="http://schemas.microsoft.com/office/spreadsheetml/2009/9/main" objectType="CheckBox" fmlaLink="$M$13" lockText="1" noThreeD="1"/>
</file>

<file path=xl/ctrlProps/ctrlProp474.xml><?xml version="1.0" encoding="utf-8"?>
<formControlPr xmlns="http://schemas.microsoft.com/office/spreadsheetml/2009/9/main" objectType="CheckBox" fmlaLink="$M$35" lockText="1" noThreeD="1"/>
</file>

<file path=xl/ctrlProps/ctrlProp475.xml><?xml version="1.0" encoding="utf-8"?>
<formControlPr xmlns="http://schemas.microsoft.com/office/spreadsheetml/2009/9/main" objectType="CheckBox" fmlaLink="$M$36" lockText="1" noThreeD="1"/>
</file>

<file path=xl/ctrlProps/ctrlProp476.xml><?xml version="1.0" encoding="utf-8"?>
<formControlPr xmlns="http://schemas.microsoft.com/office/spreadsheetml/2009/9/main" objectType="CheckBox" checked="Checked" fmlaLink="$M$14" lockText="1" noThreeD="1"/>
</file>

<file path=xl/ctrlProps/ctrlProp477.xml><?xml version="1.0" encoding="utf-8"?>
<formControlPr xmlns="http://schemas.microsoft.com/office/spreadsheetml/2009/9/main" objectType="CheckBox" fmlaLink="$M$37" lockText="1" noThreeD="1"/>
</file>

<file path=xl/ctrlProps/ctrlProp478.xml><?xml version="1.0" encoding="utf-8"?>
<formControlPr xmlns="http://schemas.microsoft.com/office/spreadsheetml/2009/9/main" objectType="CheckBox" fmlaLink="$M$39" lockText="1" noThreeD="1"/>
</file>

<file path=xl/ctrlProps/ctrlProp479.xml><?xml version="1.0" encoding="utf-8"?>
<formControlPr xmlns="http://schemas.microsoft.com/office/spreadsheetml/2009/9/main" objectType="CheckBox" fmlaLink="$M$38" lockText="1" noThreeD="1"/>
</file>

<file path=xl/ctrlProps/ctrlProp480.xml><?xml version="1.0" encoding="utf-8"?>
<formControlPr xmlns="http://schemas.microsoft.com/office/spreadsheetml/2009/9/main" objectType="CheckBox" fmlaLink="#REF!" lockText="1" noThreeD="1"/>
</file>

<file path=xl/ctrlProps/ctrlProp481.xml><?xml version="1.0" encoding="utf-8"?>
<formControlPr xmlns="http://schemas.microsoft.com/office/spreadsheetml/2009/9/main" objectType="CheckBox" checked="Checked" fmlaLink="$M$4" lockText="1" noThreeD="1"/>
</file>

<file path=xl/ctrlProps/ctrlProp482.xml><?xml version="1.0" encoding="utf-8"?>
<formControlPr xmlns="http://schemas.microsoft.com/office/spreadsheetml/2009/9/main" objectType="CheckBox" checked="Checked" fmlaLink="$M$8" lockText="1" noThreeD="1"/>
</file>

<file path=xl/ctrlProps/ctrlProp483.xml><?xml version="1.0" encoding="utf-8"?>
<formControlPr xmlns="http://schemas.microsoft.com/office/spreadsheetml/2009/9/main" objectType="CheckBox" fmlaLink="$M$9" lockText="1" noThreeD="1"/>
</file>

<file path=xl/ctrlProps/ctrlProp484.xml><?xml version="1.0" encoding="utf-8"?>
<formControlPr xmlns="http://schemas.microsoft.com/office/spreadsheetml/2009/9/main" objectType="CheckBox" fmlaLink="$M$31" lockText="1" noThreeD="1"/>
</file>

<file path=xl/ctrlProps/ctrlProp485.xml><?xml version="1.0" encoding="utf-8"?>
<formControlPr xmlns="http://schemas.microsoft.com/office/spreadsheetml/2009/9/main" objectType="CheckBox" fmlaLink="$M$16" lockText="1" noThreeD="1"/>
</file>

<file path=xl/ctrlProps/ctrlProp486.xml><?xml version="1.0" encoding="utf-8"?>
<formControlPr xmlns="http://schemas.microsoft.com/office/spreadsheetml/2009/9/main" objectType="CheckBox" fmlaLink="$M$17" lockText="1" noThreeD="1"/>
</file>

<file path=xl/ctrlProps/ctrlProp487.xml><?xml version="1.0" encoding="utf-8"?>
<formControlPr xmlns="http://schemas.microsoft.com/office/spreadsheetml/2009/9/main" objectType="CheckBox" checked="Checked" fmlaLink="$M$18" lockText="1" noThreeD="1"/>
</file>

<file path=xl/ctrlProps/ctrlProp488.xml><?xml version="1.0" encoding="utf-8"?>
<formControlPr xmlns="http://schemas.microsoft.com/office/spreadsheetml/2009/9/main" objectType="CheckBox" fmlaLink="$M$19" lockText="1" noThreeD="1"/>
</file>

<file path=xl/ctrlProps/ctrlProp489.xml><?xml version="1.0" encoding="utf-8"?>
<formControlPr xmlns="http://schemas.microsoft.com/office/spreadsheetml/2009/9/main" objectType="CheckBox" fmlaLink="$M$20" lockText="1" noThreeD="1"/>
</file>

<file path=xl/ctrlProps/ctrlProp490.xml><?xml version="1.0" encoding="utf-8"?>
<formControlPr xmlns="http://schemas.microsoft.com/office/spreadsheetml/2009/9/main" objectType="CheckBox" checked="Checked" fmlaLink="$M$22" lockText="1" noThreeD="1"/>
</file>

<file path=xl/ctrlProps/ctrlProp491.xml><?xml version="1.0" encoding="utf-8"?>
<formControlPr xmlns="http://schemas.microsoft.com/office/spreadsheetml/2009/9/main" objectType="CheckBox" fmlaLink="$M$13" lockText="1" noThreeD="1"/>
</file>

<file path=xl/ctrlProps/ctrlProp492.xml><?xml version="1.0" encoding="utf-8"?>
<formControlPr xmlns="http://schemas.microsoft.com/office/spreadsheetml/2009/9/main" objectType="CheckBox" fmlaLink="$M$23" lockText="1" noThreeD="1"/>
</file>

<file path=xl/ctrlProps/ctrlProp493.xml><?xml version="1.0" encoding="utf-8"?>
<formControlPr xmlns="http://schemas.microsoft.com/office/spreadsheetml/2009/9/main" objectType="CheckBox" checked="Checked" fmlaLink="$M$7" lockText="1" noThreeD="1"/>
</file>

<file path=xl/ctrlProps/ctrlProp494.xml><?xml version="1.0" encoding="utf-8"?>
<formControlPr xmlns="http://schemas.microsoft.com/office/spreadsheetml/2009/9/main" objectType="CheckBox" fmlaLink="$M$24" lockText="1" noThreeD="1"/>
</file>

<file path=xl/ctrlProps/ctrlProp495.xml><?xml version="1.0" encoding="utf-8"?>
<formControlPr xmlns="http://schemas.microsoft.com/office/spreadsheetml/2009/9/main" objectType="CheckBox" fmlaLink="$M$25" lockText="1" noThreeD="1"/>
</file>

<file path=xl/ctrlProps/ctrlProp496.xml><?xml version="1.0" encoding="utf-8"?>
<formControlPr xmlns="http://schemas.microsoft.com/office/spreadsheetml/2009/9/main" objectType="CheckBox" fmlaLink="$M$26" lockText="1" noThreeD="1"/>
</file>

<file path=xl/ctrlProps/ctrlProp497.xml><?xml version="1.0" encoding="utf-8"?>
<formControlPr xmlns="http://schemas.microsoft.com/office/spreadsheetml/2009/9/main" objectType="CheckBox" fmlaLink="$M$27" lockText="1" noThreeD="1"/>
</file>

<file path=xl/ctrlProps/ctrlProp498.xml><?xml version="1.0" encoding="utf-8"?>
<formControlPr xmlns="http://schemas.microsoft.com/office/spreadsheetml/2009/9/main" objectType="CheckBox" fmlaLink="$M$28" lockText="1" noThreeD="1"/>
</file>

<file path=xl/ctrlProps/ctrlProp499.xml><?xml version="1.0" encoding="utf-8"?>
<formControlPr xmlns="http://schemas.microsoft.com/office/spreadsheetml/2009/9/main" objectType="CheckBox" fmlaLink="$M$29" lockText="1" noThreeD="1"/>
</file>

<file path=xl/ctrlProps/ctrlProp500.xml><?xml version="1.0" encoding="utf-8"?>
<formControlPr xmlns="http://schemas.microsoft.com/office/spreadsheetml/2009/9/main" objectType="CheckBox" fmlaLink="$M30" lockText="1" noThreeD="1"/>
</file>

<file path=xl/ctrlProps/ctrlProp501.xml><?xml version="1.0" encoding="utf-8"?>
<formControlPr xmlns="http://schemas.microsoft.com/office/spreadsheetml/2009/9/main" objectType="CheckBox" checked="Checked" fmlaLink="$M$5" lockText="1" noThreeD="1"/>
</file>

<file path=xl/ctrlProps/ctrlProp502.xml><?xml version="1.0" encoding="utf-8"?>
<formControlPr xmlns="http://schemas.microsoft.com/office/spreadsheetml/2009/9/main" objectType="CheckBox" fmlaLink="$M$21" lockText="1" noThreeD="1"/>
</file>

<file path=xl/ctrlProps/ctrlProp503.xml><?xml version="1.0" encoding="utf-8"?>
<formControlPr xmlns="http://schemas.microsoft.com/office/spreadsheetml/2009/9/main" objectType="CheckBox" fmlaLink="$M$12" lockText="1" noThreeD="1"/>
</file>

<file path=xl/ctrlProps/ctrlProp504.xml><?xml version="1.0" encoding="utf-8"?>
<formControlPr xmlns="http://schemas.microsoft.com/office/spreadsheetml/2009/9/main" objectType="CheckBox" fmlaLink="$M$32" lockText="1" noThreeD="1"/>
</file>

<file path=xl/ctrlProps/ctrlProp505.xml><?xml version="1.0" encoding="utf-8"?>
<formControlPr xmlns="http://schemas.microsoft.com/office/spreadsheetml/2009/9/main" objectType="CheckBox" fmlaLink="$M$33" lockText="1" noThreeD="1"/>
</file>

<file path=xl/ctrlProps/ctrlProp506.xml><?xml version="1.0" encoding="utf-8"?>
<formControlPr xmlns="http://schemas.microsoft.com/office/spreadsheetml/2009/9/main" objectType="CheckBox" fmlaLink="$M$34" lockText="1" noThreeD="1"/>
</file>

<file path=xl/ctrlProps/ctrlProp507.xml><?xml version="1.0" encoding="utf-8"?>
<formControlPr xmlns="http://schemas.microsoft.com/office/spreadsheetml/2009/9/main" objectType="CheckBox" fmlaLink="$M$35" lockText="1" noThreeD="1"/>
</file>

<file path=xl/ctrlProps/ctrlProp508.xml><?xml version="1.0" encoding="utf-8"?>
<formControlPr xmlns="http://schemas.microsoft.com/office/spreadsheetml/2009/9/main" objectType="CheckBox" checked="Checked" fmlaLink="$M$6" lockText="1" noThreeD="1"/>
</file>

<file path=xl/ctrlProps/ctrlProp509.xml><?xml version="1.0" encoding="utf-8"?>
<formControlPr xmlns="http://schemas.microsoft.com/office/spreadsheetml/2009/9/main" objectType="CheckBox" checked="Checked" fmlaLink="$M$10" lockText="1" noThreeD="1"/>
</file>

<file path=xl/ctrlProps/ctrlProp510.xml><?xml version="1.0" encoding="utf-8"?>
<formControlPr xmlns="http://schemas.microsoft.com/office/spreadsheetml/2009/9/main" objectType="CheckBox" fmlaLink="$M$14" lockText="1" noThreeD="1"/>
</file>

<file path=xl/ctrlProps/ctrlProp511.xml><?xml version="1.0" encoding="utf-8"?>
<formControlPr xmlns="http://schemas.microsoft.com/office/spreadsheetml/2009/9/main" objectType="CheckBox" fmlaLink="$M$36" lockText="1" noThreeD="1"/>
</file>

<file path=xl/ctrlProps/ctrlProp512.xml><?xml version="1.0" encoding="utf-8"?>
<formControlPr xmlns="http://schemas.microsoft.com/office/spreadsheetml/2009/9/main" objectType="CheckBox" fmlaLink="$M$37" lockText="1" noThreeD="1"/>
</file>

<file path=xl/ctrlProps/ctrlProp513.xml><?xml version="1.0" encoding="utf-8"?>
<formControlPr xmlns="http://schemas.microsoft.com/office/spreadsheetml/2009/9/main" objectType="CheckBox" checked="Checked" fmlaLink="$M$15" lockText="1" noThreeD="1"/>
</file>

<file path=xl/ctrlProps/ctrlProp514.xml><?xml version="1.0" encoding="utf-8"?>
<formControlPr xmlns="http://schemas.microsoft.com/office/spreadsheetml/2009/9/main" objectType="CheckBox" fmlaLink="$M$38" lockText="1" noThreeD="1"/>
</file>

<file path=xl/ctrlProps/ctrlProp515.xml><?xml version="1.0" encoding="utf-8"?>
<formControlPr xmlns="http://schemas.microsoft.com/office/spreadsheetml/2009/9/main" objectType="CheckBox" fmlaLink="$M$40" lockText="1" noThreeD="1"/>
</file>

<file path=xl/ctrlProps/ctrlProp516.xml><?xml version="1.0" encoding="utf-8"?>
<formControlPr xmlns="http://schemas.microsoft.com/office/spreadsheetml/2009/9/main" objectType="CheckBox" checked="Checked" fmlaLink="$M$39" lockText="1" noThreeD="1"/>
</file>

<file path=xl/ctrlProps/ctrlProp517.xml><?xml version="1.0" encoding="utf-8"?>
<formControlPr xmlns="http://schemas.microsoft.com/office/spreadsheetml/2009/9/main" objectType="CheckBox" fmlaLink="$M$11" lockText="1" noThreeD="1"/>
</file>

<file path=xl/ctrlProps/ctrlProp518.xml><?xml version="1.0" encoding="utf-8"?>
<formControlPr xmlns="http://schemas.microsoft.com/office/spreadsheetml/2009/9/main" objectType="CheckBox" fmlaLink="#REF!" lockText="1" noThreeD="1"/>
</file>

<file path=xl/ctrlProps/ctrlProp519.xml><?xml version="1.0" encoding="utf-8"?>
<formControlPr xmlns="http://schemas.microsoft.com/office/spreadsheetml/2009/9/main" objectType="CheckBox" checked="Checked" fmlaLink="$M$4" lockText="1" noThreeD="1"/>
</file>

<file path=xl/ctrlProps/ctrlProp520.xml><?xml version="1.0" encoding="utf-8"?>
<formControlPr xmlns="http://schemas.microsoft.com/office/spreadsheetml/2009/9/main" objectType="CheckBox" checked="Checked" fmlaLink="$M$8" lockText="1" noThreeD="1"/>
</file>

<file path=xl/ctrlProps/ctrlProp521.xml><?xml version="1.0" encoding="utf-8"?>
<formControlPr xmlns="http://schemas.microsoft.com/office/spreadsheetml/2009/9/main" objectType="CheckBox" fmlaLink="$M$9" lockText="1" noThreeD="1"/>
</file>

<file path=xl/ctrlProps/ctrlProp522.xml><?xml version="1.0" encoding="utf-8"?>
<formControlPr xmlns="http://schemas.microsoft.com/office/spreadsheetml/2009/9/main" objectType="CheckBox" fmlaLink="$M$31" lockText="1" noThreeD="1"/>
</file>

<file path=xl/ctrlProps/ctrlProp523.xml><?xml version="1.0" encoding="utf-8"?>
<formControlPr xmlns="http://schemas.microsoft.com/office/spreadsheetml/2009/9/main" objectType="CheckBox" fmlaLink="$M$16" lockText="1" noThreeD="1"/>
</file>

<file path=xl/ctrlProps/ctrlProp524.xml><?xml version="1.0" encoding="utf-8"?>
<formControlPr xmlns="http://schemas.microsoft.com/office/spreadsheetml/2009/9/main" objectType="CheckBox" fmlaLink="$M$17" lockText="1" noThreeD="1"/>
</file>

<file path=xl/ctrlProps/ctrlProp525.xml><?xml version="1.0" encoding="utf-8"?>
<formControlPr xmlns="http://schemas.microsoft.com/office/spreadsheetml/2009/9/main" objectType="CheckBox" fmlaLink="$M$18" lockText="1" noThreeD="1"/>
</file>

<file path=xl/ctrlProps/ctrlProp526.xml><?xml version="1.0" encoding="utf-8"?>
<formControlPr xmlns="http://schemas.microsoft.com/office/spreadsheetml/2009/9/main" objectType="CheckBox" fmlaLink="$M$19" lockText="1" noThreeD="1"/>
</file>

<file path=xl/ctrlProps/ctrlProp527.xml><?xml version="1.0" encoding="utf-8"?>
<formControlPr xmlns="http://schemas.microsoft.com/office/spreadsheetml/2009/9/main" objectType="CheckBox" checked="Checked" fmlaLink="$M$20" lockText="1" noThreeD="1"/>
</file>

<file path=xl/ctrlProps/ctrlProp528.xml><?xml version="1.0" encoding="utf-8"?>
<formControlPr xmlns="http://schemas.microsoft.com/office/spreadsheetml/2009/9/main" objectType="CheckBox" fmlaLink="$M$22" lockText="1" noThreeD="1"/>
</file>

<file path=xl/ctrlProps/ctrlProp529.xml><?xml version="1.0" encoding="utf-8"?>
<formControlPr xmlns="http://schemas.microsoft.com/office/spreadsheetml/2009/9/main" objectType="CheckBox" fmlaLink="$M$13" lockText="1" noThreeD="1"/>
</file>

<file path=xl/ctrlProps/ctrlProp530.xml><?xml version="1.0" encoding="utf-8"?>
<formControlPr xmlns="http://schemas.microsoft.com/office/spreadsheetml/2009/9/main" objectType="CheckBox" fmlaLink="$M$23" lockText="1" noThreeD="1"/>
</file>

<file path=xl/ctrlProps/ctrlProp531.xml><?xml version="1.0" encoding="utf-8"?>
<formControlPr xmlns="http://schemas.microsoft.com/office/spreadsheetml/2009/9/main" objectType="CheckBox" checked="Checked" fmlaLink="$M$7" lockText="1" noThreeD="1"/>
</file>

<file path=xl/ctrlProps/ctrlProp532.xml><?xml version="1.0" encoding="utf-8"?>
<formControlPr xmlns="http://schemas.microsoft.com/office/spreadsheetml/2009/9/main" objectType="CheckBox" fmlaLink="$M$24" lockText="1" noThreeD="1"/>
</file>

<file path=xl/ctrlProps/ctrlProp533.xml><?xml version="1.0" encoding="utf-8"?>
<formControlPr xmlns="http://schemas.microsoft.com/office/spreadsheetml/2009/9/main" objectType="CheckBox" checked="Checked" fmlaLink="$M$25" lockText="1" noThreeD="1"/>
</file>

<file path=xl/ctrlProps/ctrlProp534.xml><?xml version="1.0" encoding="utf-8"?>
<formControlPr xmlns="http://schemas.microsoft.com/office/spreadsheetml/2009/9/main" objectType="CheckBox" fmlaLink="$M$26" lockText="1" noThreeD="1"/>
</file>

<file path=xl/ctrlProps/ctrlProp535.xml><?xml version="1.0" encoding="utf-8"?>
<formControlPr xmlns="http://schemas.microsoft.com/office/spreadsheetml/2009/9/main" objectType="CheckBox" fmlaLink="$M$27" lockText="1" noThreeD="1"/>
</file>

<file path=xl/ctrlProps/ctrlProp536.xml><?xml version="1.0" encoding="utf-8"?>
<formControlPr xmlns="http://schemas.microsoft.com/office/spreadsheetml/2009/9/main" objectType="CheckBox" fmlaLink="$M$28" lockText="1" noThreeD="1"/>
</file>

<file path=xl/ctrlProps/ctrlProp537.xml><?xml version="1.0" encoding="utf-8"?>
<formControlPr xmlns="http://schemas.microsoft.com/office/spreadsheetml/2009/9/main" objectType="CheckBox" fmlaLink="$M$29" lockText="1" noThreeD="1"/>
</file>

<file path=xl/ctrlProps/ctrlProp538.xml><?xml version="1.0" encoding="utf-8"?>
<formControlPr xmlns="http://schemas.microsoft.com/office/spreadsheetml/2009/9/main" objectType="CheckBox" fmlaLink="$M30" lockText="1" noThreeD="1"/>
</file>

<file path=xl/ctrlProps/ctrlProp539.xml><?xml version="1.0" encoding="utf-8"?>
<formControlPr xmlns="http://schemas.microsoft.com/office/spreadsheetml/2009/9/main" objectType="CheckBox" checked="Checked" fmlaLink="$M$5" lockText="1" noThreeD="1"/>
</file>

<file path=xl/ctrlProps/ctrlProp540.xml><?xml version="1.0" encoding="utf-8"?>
<formControlPr xmlns="http://schemas.microsoft.com/office/spreadsheetml/2009/9/main" objectType="CheckBox" fmlaLink="$M$21" lockText="1" noThreeD="1"/>
</file>

<file path=xl/ctrlProps/ctrlProp541.xml><?xml version="1.0" encoding="utf-8"?>
<formControlPr xmlns="http://schemas.microsoft.com/office/spreadsheetml/2009/9/main" objectType="CheckBox" fmlaLink="$M$12" lockText="1" noThreeD="1"/>
</file>

<file path=xl/ctrlProps/ctrlProp542.xml><?xml version="1.0" encoding="utf-8"?>
<formControlPr xmlns="http://schemas.microsoft.com/office/spreadsheetml/2009/9/main" objectType="CheckBox" fmlaLink="$M$32" lockText="1" noThreeD="1"/>
</file>

<file path=xl/ctrlProps/ctrlProp543.xml><?xml version="1.0" encoding="utf-8"?>
<formControlPr xmlns="http://schemas.microsoft.com/office/spreadsheetml/2009/9/main" objectType="CheckBox" fmlaLink="$M$33" lockText="1" noThreeD="1"/>
</file>

<file path=xl/ctrlProps/ctrlProp544.xml><?xml version="1.0" encoding="utf-8"?>
<formControlPr xmlns="http://schemas.microsoft.com/office/spreadsheetml/2009/9/main" objectType="CheckBox" fmlaLink="$M$34" lockText="1" noThreeD="1"/>
</file>

<file path=xl/ctrlProps/ctrlProp545.xml><?xml version="1.0" encoding="utf-8"?>
<formControlPr xmlns="http://schemas.microsoft.com/office/spreadsheetml/2009/9/main" objectType="CheckBox" fmlaLink="$M$35" lockText="1" noThreeD="1"/>
</file>

<file path=xl/ctrlProps/ctrlProp546.xml><?xml version="1.0" encoding="utf-8"?>
<formControlPr xmlns="http://schemas.microsoft.com/office/spreadsheetml/2009/9/main" objectType="CheckBox" checked="Checked" fmlaLink="$M$6" lockText="1" noThreeD="1"/>
</file>

<file path=xl/ctrlProps/ctrlProp547.xml><?xml version="1.0" encoding="utf-8"?>
<formControlPr xmlns="http://schemas.microsoft.com/office/spreadsheetml/2009/9/main" objectType="CheckBox" checked="Checked" fmlaLink="$M$10" lockText="1" noThreeD="1"/>
</file>

<file path=xl/ctrlProps/ctrlProp548.xml><?xml version="1.0" encoding="utf-8"?>
<formControlPr xmlns="http://schemas.microsoft.com/office/spreadsheetml/2009/9/main" objectType="CheckBox" fmlaLink="$M$14" lockText="1" noThreeD="1"/>
</file>

<file path=xl/ctrlProps/ctrlProp549.xml><?xml version="1.0" encoding="utf-8"?>
<formControlPr xmlns="http://schemas.microsoft.com/office/spreadsheetml/2009/9/main" objectType="CheckBox" fmlaLink="$M$36" lockText="1" noThreeD="1"/>
</file>

<file path=xl/ctrlProps/ctrlProp550.xml><?xml version="1.0" encoding="utf-8"?>
<formControlPr xmlns="http://schemas.microsoft.com/office/spreadsheetml/2009/9/main" objectType="CheckBox" fmlaLink="$M$37" lockText="1" noThreeD="1"/>
</file>

<file path=xl/ctrlProps/ctrlProp551.xml><?xml version="1.0" encoding="utf-8"?>
<formControlPr xmlns="http://schemas.microsoft.com/office/spreadsheetml/2009/9/main" objectType="CheckBox" fmlaLink="$M$15" lockText="1" noThreeD="1"/>
</file>

<file path=xl/ctrlProps/ctrlProp552.xml><?xml version="1.0" encoding="utf-8"?>
<formControlPr xmlns="http://schemas.microsoft.com/office/spreadsheetml/2009/9/main" objectType="CheckBox" fmlaLink="$M$38" lockText="1" noThreeD="1"/>
</file>

<file path=xl/ctrlProps/ctrlProp553.xml><?xml version="1.0" encoding="utf-8"?>
<formControlPr xmlns="http://schemas.microsoft.com/office/spreadsheetml/2009/9/main" objectType="CheckBox" fmlaLink="$M$40" lockText="1" noThreeD="1"/>
</file>

<file path=xl/ctrlProps/ctrlProp554.xml><?xml version="1.0" encoding="utf-8"?>
<formControlPr xmlns="http://schemas.microsoft.com/office/spreadsheetml/2009/9/main" objectType="CheckBox" fmlaLink="$M$39" lockText="1" noThreeD="1"/>
</file>

<file path=xl/ctrlProps/ctrlProp555.xml><?xml version="1.0" encoding="utf-8"?>
<formControlPr xmlns="http://schemas.microsoft.com/office/spreadsheetml/2009/9/main" objectType="CheckBox" fmlaLink="$M$11" lockText="1" noThreeD="1"/>
</file>

<file path=xl/ctrlProps/ctrlProp556.xml><?xml version="1.0" encoding="utf-8"?>
<formControlPr xmlns="http://schemas.microsoft.com/office/spreadsheetml/2009/9/main" objectType="CheckBox" fmlaLink="$M$41" lockText="1" noThreeD="1"/>
</file>

<file path=xl/ctrlProps/ctrlProp557.xml><?xml version="1.0" encoding="utf-8"?>
<formControlPr xmlns="http://schemas.microsoft.com/office/spreadsheetml/2009/9/main" objectType="CheckBox" fmlaLink="#REF!" lockText="1" noThreeD="1"/>
</file>

<file path=xl/ctrlProps/ctrlProp558.xml><?xml version="1.0" encoding="utf-8"?>
<formControlPr xmlns="http://schemas.microsoft.com/office/spreadsheetml/2009/9/main" objectType="CheckBox" checked="Checked" fmlaLink="$M$4" lockText="1" noThreeD="1"/>
</file>

<file path=xl/ctrlProps/ctrlProp559.xml><?xml version="1.0" encoding="utf-8"?>
<formControlPr xmlns="http://schemas.microsoft.com/office/spreadsheetml/2009/9/main" objectType="CheckBox" fmlaLink="$M$8" lockText="1" noThreeD="1"/>
</file>

<file path=xl/ctrlProps/ctrlProp560.xml><?xml version="1.0" encoding="utf-8"?>
<formControlPr xmlns="http://schemas.microsoft.com/office/spreadsheetml/2009/9/main" objectType="CheckBox" fmlaLink="$M$9" lockText="1" noThreeD="1"/>
</file>

<file path=xl/ctrlProps/ctrlProp561.xml><?xml version="1.0" encoding="utf-8"?>
<formControlPr xmlns="http://schemas.microsoft.com/office/spreadsheetml/2009/9/main" objectType="CheckBox" fmlaLink="$M$31" lockText="1" noThreeD="1"/>
</file>

<file path=xl/ctrlProps/ctrlProp562.xml><?xml version="1.0" encoding="utf-8"?>
<formControlPr xmlns="http://schemas.microsoft.com/office/spreadsheetml/2009/9/main" objectType="CheckBox" fmlaLink="$M$16" lockText="1" noThreeD="1"/>
</file>

<file path=xl/ctrlProps/ctrlProp563.xml><?xml version="1.0" encoding="utf-8"?>
<formControlPr xmlns="http://schemas.microsoft.com/office/spreadsheetml/2009/9/main" objectType="CheckBox" fmlaLink="$M$17" lockText="1" noThreeD="1"/>
</file>

<file path=xl/ctrlProps/ctrlProp564.xml><?xml version="1.0" encoding="utf-8"?>
<formControlPr xmlns="http://schemas.microsoft.com/office/spreadsheetml/2009/9/main" objectType="CheckBox" checked="Checked" fmlaLink="$M$18" lockText="1" noThreeD="1"/>
</file>

<file path=xl/ctrlProps/ctrlProp565.xml><?xml version="1.0" encoding="utf-8"?>
<formControlPr xmlns="http://schemas.microsoft.com/office/spreadsheetml/2009/9/main" objectType="CheckBox" fmlaLink="$M$19" lockText="1" noThreeD="1"/>
</file>

<file path=xl/ctrlProps/ctrlProp566.xml><?xml version="1.0" encoding="utf-8"?>
<formControlPr xmlns="http://schemas.microsoft.com/office/spreadsheetml/2009/9/main" objectType="CheckBox" checked="Checked" fmlaLink="$M$20" lockText="1" noThreeD="1"/>
</file>

<file path=xl/ctrlProps/ctrlProp567.xml><?xml version="1.0" encoding="utf-8"?>
<formControlPr xmlns="http://schemas.microsoft.com/office/spreadsheetml/2009/9/main" objectType="CheckBox" fmlaLink="$M$22" lockText="1" noThreeD="1"/>
</file>

<file path=xl/ctrlProps/ctrlProp568.xml><?xml version="1.0" encoding="utf-8"?>
<formControlPr xmlns="http://schemas.microsoft.com/office/spreadsheetml/2009/9/main" objectType="CheckBox" fmlaLink="$M$13" lockText="1" noThreeD="1"/>
</file>

<file path=xl/ctrlProps/ctrlProp569.xml><?xml version="1.0" encoding="utf-8"?>
<formControlPr xmlns="http://schemas.microsoft.com/office/spreadsheetml/2009/9/main" objectType="CheckBox" fmlaLink="$M$23" lockText="1" noThreeD="1"/>
</file>

<file path=xl/ctrlProps/ctrlProp570.xml><?xml version="1.0" encoding="utf-8"?>
<formControlPr xmlns="http://schemas.microsoft.com/office/spreadsheetml/2009/9/main" objectType="CheckBox" checked="Checked" fmlaLink="$M$7" lockText="1" noThreeD="1"/>
</file>

<file path=xl/ctrlProps/ctrlProp571.xml><?xml version="1.0" encoding="utf-8"?>
<formControlPr xmlns="http://schemas.microsoft.com/office/spreadsheetml/2009/9/main" objectType="CheckBox" fmlaLink="$M$24" lockText="1" noThreeD="1"/>
</file>

<file path=xl/ctrlProps/ctrlProp572.xml><?xml version="1.0" encoding="utf-8"?>
<formControlPr xmlns="http://schemas.microsoft.com/office/spreadsheetml/2009/9/main" objectType="CheckBox" fmlaLink="$M$25" lockText="1" noThreeD="1"/>
</file>

<file path=xl/ctrlProps/ctrlProp573.xml><?xml version="1.0" encoding="utf-8"?>
<formControlPr xmlns="http://schemas.microsoft.com/office/spreadsheetml/2009/9/main" objectType="CheckBox" checked="Checked" fmlaLink="$M$26" lockText="1" noThreeD="1"/>
</file>

<file path=xl/ctrlProps/ctrlProp574.xml><?xml version="1.0" encoding="utf-8"?>
<formControlPr xmlns="http://schemas.microsoft.com/office/spreadsheetml/2009/9/main" objectType="CheckBox" fmlaLink="$M$27" lockText="1" noThreeD="1"/>
</file>

<file path=xl/ctrlProps/ctrlProp575.xml><?xml version="1.0" encoding="utf-8"?>
<formControlPr xmlns="http://schemas.microsoft.com/office/spreadsheetml/2009/9/main" objectType="CheckBox" fmlaLink="$M$28" lockText="1" noThreeD="1"/>
</file>

<file path=xl/ctrlProps/ctrlProp576.xml><?xml version="1.0" encoding="utf-8"?>
<formControlPr xmlns="http://schemas.microsoft.com/office/spreadsheetml/2009/9/main" objectType="CheckBox" fmlaLink="$M$29" lockText="1" noThreeD="1"/>
</file>

<file path=xl/ctrlProps/ctrlProp577.xml><?xml version="1.0" encoding="utf-8"?>
<formControlPr xmlns="http://schemas.microsoft.com/office/spreadsheetml/2009/9/main" objectType="CheckBox" fmlaLink="$M30" lockText="1" noThreeD="1"/>
</file>

<file path=xl/ctrlProps/ctrlProp578.xml><?xml version="1.0" encoding="utf-8"?>
<formControlPr xmlns="http://schemas.microsoft.com/office/spreadsheetml/2009/9/main" objectType="CheckBox" checked="Checked" fmlaLink="$M$5" lockText="1" noThreeD="1"/>
</file>

<file path=xl/ctrlProps/ctrlProp579.xml><?xml version="1.0" encoding="utf-8"?>
<formControlPr xmlns="http://schemas.microsoft.com/office/spreadsheetml/2009/9/main" objectType="CheckBox" fmlaLink="$M$21" lockText="1" noThreeD="1"/>
</file>

<file path=xl/ctrlProps/ctrlProp580.xml><?xml version="1.0" encoding="utf-8"?>
<formControlPr xmlns="http://schemas.microsoft.com/office/spreadsheetml/2009/9/main" objectType="CheckBox" checked="Checked" fmlaLink="$M$12" lockText="1" noThreeD="1"/>
</file>

<file path=xl/ctrlProps/ctrlProp581.xml><?xml version="1.0" encoding="utf-8"?>
<formControlPr xmlns="http://schemas.microsoft.com/office/spreadsheetml/2009/9/main" objectType="CheckBox" fmlaLink="$M$32" lockText="1" noThreeD="1"/>
</file>

<file path=xl/ctrlProps/ctrlProp582.xml><?xml version="1.0" encoding="utf-8"?>
<formControlPr xmlns="http://schemas.microsoft.com/office/spreadsheetml/2009/9/main" objectType="CheckBox" fmlaLink="$M$33" lockText="1" noThreeD="1"/>
</file>

<file path=xl/ctrlProps/ctrlProp583.xml><?xml version="1.0" encoding="utf-8"?>
<formControlPr xmlns="http://schemas.microsoft.com/office/spreadsheetml/2009/9/main" objectType="CheckBox" fmlaLink="$M$34" lockText="1" noThreeD="1"/>
</file>

<file path=xl/ctrlProps/ctrlProp584.xml><?xml version="1.0" encoding="utf-8"?>
<formControlPr xmlns="http://schemas.microsoft.com/office/spreadsheetml/2009/9/main" objectType="CheckBox" fmlaLink="$M$35" lockText="1" noThreeD="1"/>
</file>

<file path=xl/ctrlProps/ctrlProp585.xml><?xml version="1.0" encoding="utf-8"?>
<formControlPr xmlns="http://schemas.microsoft.com/office/spreadsheetml/2009/9/main" objectType="CheckBox" checked="Checked" fmlaLink="$M$6" lockText="1" noThreeD="1"/>
</file>

<file path=xl/ctrlProps/ctrlProp586.xml><?xml version="1.0" encoding="utf-8"?>
<formControlPr xmlns="http://schemas.microsoft.com/office/spreadsheetml/2009/9/main" objectType="CheckBox" fmlaLink="$M$10" lockText="1" noThreeD="1"/>
</file>

<file path=xl/ctrlProps/ctrlProp587.xml><?xml version="1.0" encoding="utf-8"?>
<formControlPr xmlns="http://schemas.microsoft.com/office/spreadsheetml/2009/9/main" objectType="CheckBox" fmlaLink="$M$14" lockText="1" noThreeD="1"/>
</file>

<file path=xl/ctrlProps/ctrlProp588.xml><?xml version="1.0" encoding="utf-8"?>
<formControlPr xmlns="http://schemas.microsoft.com/office/spreadsheetml/2009/9/main" objectType="CheckBox" fmlaLink="$M$36" lockText="1" noThreeD="1"/>
</file>

<file path=xl/ctrlProps/ctrlProp589.xml><?xml version="1.0" encoding="utf-8"?>
<formControlPr xmlns="http://schemas.microsoft.com/office/spreadsheetml/2009/9/main" objectType="CheckBox" fmlaLink="$M$37" lockText="1" noThreeD="1"/>
</file>

<file path=xl/ctrlProps/ctrlProp590.xml><?xml version="1.0" encoding="utf-8"?>
<formControlPr xmlns="http://schemas.microsoft.com/office/spreadsheetml/2009/9/main" objectType="CheckBox" checked="Checked" fmlaLink="$M$15" lockText="1" noThreeD="1"/>
</file>

<file path=xl/ctrlProps/ctrlProp591.xml><?xml version="1.0" encoding="utf-8"?>
<formControlPr xmlns="http://schemas.microsoft.com/office/spreadsheetml/2009/9/main" objectType="CheckBox" fmlaLink="$M$38" lockText="1" noThreeD="1"/>
</file>

<file path=xl/ctrlProps/ctrlProp592.xml><?xml version="1.0" encoding="utf-8"?>
<formControlPr xmlns="http://schemas.microsoft.com/office/spreadsheetml/2009/9/main" objectType="CheckBox" fmlaLink="$M$40" lockText="1" noThreeD="1"/>
</file>

<file path=xl/ctrlProps/ctrlProp593.xml><?xml version="1.0" encoding="utf-8"?>
<formControlPr xmlns="http://schemas.microsoft.com/office/spreadsheetml/2009/9/main" objectType="CheckBox" fmlaLink="$M$39" lockText="1" noThreeD="1"/>
</file>

<file path=xl/ctrlProps/ctrlProp594.xml><?xml version="1.0" encoding="utf-8"?>
<formControlPr xmlns="http://schemas.microsoft.com/office/spreadsheetml/2009/9/main" objectType="CheckBox" fmlaLink="$M$11" lockText="1" noThreeD="1"/>
</file>

<file path=xl/ctrlProps/ctrlProp595.xml><?xml version="1.0" encoding="utf-8"?>
<formControlPr xmlns="http://schemas.microsoft.com/office/spreadsheetml/2009/9/main" objectType="CheckBox" fmlaLink="$M$41" lockText="1" noThreeD="1"/>
</file>

<file path=xl/ctrlProps/ctrlProp596.xml><?xml version="1.0" encoding="utf-8"?>
<formControlPr xmlns="http://schemas.microsoft.com/office/spreadsheetml/2009/9/main" objectType="CheckBox" fmlaLink="#REF!" lockText="1" noThreeD="1"/>
</file>

<file path=xl/ctrlProps/ctrlProp597.xml><?xml version="1.0" encoding="utf-8"?>
<formControlPr xmlns="http://schemas.microsoft.com/office/spreadsheetml/2009/9/main" objectType="CheckBox" checked="Checked" fmlaLink="$M$4" lockText="1" noThreeD="1"/>
</file>

<file path=xl/ctrlProps/ctrlProp598.xml><?xml version="1.0" encoding="utf-8"?>
<formControlPr xmlns="http://schemas.microsoft.com/office/spreadsheetml/2009/9/main" objectType="CheckBox" checked="Checked" fmlaLink="$M$8" lockText="1" noThreeD="1"/>
</file>

<file path=xl/ctrlProps/ctrlProp599.xml><?xml version="1.0" encoding="utf-8"?>
<formControlPr xmlns="http://schemas.microsoft.com/office/spreadsheetml/2009/9/main" objectType="CheckBox" checked="Checked" fmlaLink="$M$9" lockText="1" noThreeD="1"/>
</file>

<file path=xl/ctrlProps/ctrlProp600.xml><?xml version="1.0" encoding="utf-8"?>
<formControlPr xmlns="http://schemas.microsoft.com/office/spreadsheetml/2009/9/main" objectType="CheckBox" fmlaLink="$M$31" lockText="1" noThreeD="1"/>
</file>

<file path=xl/ctrlProps/ctrlProp601.xml><?xml version="1.0" encoding="utf-8"?>
<formControlPr xmlns="http://schemas.microsoft.com/office/spreadsheetml/2009/9/main" objectType="CheckBox" fmlaLink="$M$16" lockText="1" noThreeD="1"/>
</file>

<file path=xl/ctrlProps/ctrlProp602.xml><?xml version="1.0" encoding="utf-8"?>
<formControlPr xmlns="http://schemas.microsoft.com/office/spreadsheetml/2009/9/main" objectType="CheckBox" fmlaLink="$M$17" lockText="1" noThreeD="1"/>
</file>

<file path=xl/ctrlProps/ctrlProp603.xml><?xml version="1.0" encoding="utf-8"?>
<formControlPr xmlns="http://schemas.microsoft.com/office/spreadsheetml/2009/9/main" objectType="CheckBox" checked="Checked" fmlaLink="$M$18" lockText="1" noThreeD="1"/>
</file>

<file path=xl/ctrlProps/ctrlProp604.xml><?xml version="1.0" encoding="utf-8"?>
<formControlPr xmlns="http://schemas.microsoft.com/office/spreadsheetml/2009/9/main" objectType="CheckBox" fmlaLink="$M$19" lockText="1" noThreeD="1"/>
</file>

<file path=xl/ctrlProps/ctrlProp605.xml><?xml version="1.0" encoding="utf-8"?>
<formControlPr xmlns="http://schemas.microsoft.com/office/spreadsheetml/2009/9/main" objectType="CheckBox" checked="Checked" fmlaLink="$M$20" lockText="1" noThreeD="1"/>
</file>

<file path=xl/ctrlProps/ctrlProp606.xml><?xml version="1.0" encoding="utf-8"?>
<formControlPr xmlns="http://schemas.microsoft.com/office/spreadsheetml/2009/9/main" objectType="CheckBox" fmlaLink="$M$22" lockText="1" noThreeD="1"/>
</file>

<file path=xl/ctrlProps/ctrlProp607.xml><?xml version="1.0" encoding="utf-8"?>
<formControlPr xmlns="http://schemas.microsoft.com/office/spreadsheetml/2009/9/main" objectType="CheckBox" fmlaLink="$M$13" lockText="1" noThreeD="1"/>
</file>

<file path=xl/ctrlProps/ctrlProp608.xml><?xml version="1.0" encoding="utf-8"?>
<formControlPr xmlns="http://schemas.microsoft.com/office/spreadsheetml/2009/9/main" objectType="CheckBox" fmlaLink="$M$23" lockText="1" noThreeD="1"/>
</file>

<file path=xl/ctrlProps/ctrlProp609.xml><?xml version="1.0" encoding="utf-8"?>
<formControlPr xmlns="http://schemas.microsoft.com/office/spreadsheetml/2009/9/main" objectType="CheckBox" checked="Checked" fmlaLink="$M$7" lockText="1" noThreeD="1"/>
</file>

<file path=xl/ctrlProps/ctrlProp610.xml><?xml version="1.0" encoding="utf-8"?>
<formControlPr xmlns="http://schemas.microsoft.com/office/spreadsheetml/2009/9/main" objectType="CheckBox" fmlaLink="$M$24" lockText="1" noThreeD="1"/>
</file>

<file path=xl/ctrlProps/ctrlProp611.xml><?xml version="1.0" encoding="utf-8"?>
<formControlPr xmlns="http://schemas.microsoft.com/office/spreadsheetml/2009/9/main" objectType="CheckBox" fmlaLink="$M$25" lockText="1" noThreeD="1"/>
</file>

<file path=xl/ctrlProps/ctrlProp612.xml><?xml version="1.0" encoding="utf-8"?>
<formControlPr xmlns="http://schemas.microsoft.com/office/spreadsheetml/2009/9/main" objectType="CheckBox" checked="Checked" fmlaLink="$M$26" lockText="1" noThreeD="1"/>
</file>

<file path=xl/ctrlProps/ctrlProp613.xml><?xml version="1.0" encoding="utf-8"?>
<formControlPr xmlns="http://schemas.microsoft.com/office/spreadsheetml/2009/9/main" objectType="CheckBox" fmlaLink="$M$27" lockText="1" noThreeD="1"/>
</file>

<file path=xl/ctrlProps/ctrlProp614.xml><?xml version="1.0" encoding="utf-8"?>
<formControlPr xmlns="http://schemas.microsoft.com/office/spreadsheetml/2009/9/main" objectType="CheckBox" checked="Checked" fmlaLink="$M$28" lockText="1" noThreeD="1"/>
</file>

<file path=xl/ctrlProps/ctrlProp615.xml><?xml version="1.0" encoding="utf-8"?>
<formControlPr xmlns="http://schemas.microsoft.com/office/spreadsheetml/2009/9/main" objectType="CheckBox" fmlaLink="$M$29" lockText="1" noThreeD="1"/>
</file>

<file path=xl/ctrlProps/ctrlProp616.xml><?xml version="1.0" encoding="utf-8"?>
<formControlPr xmlns="http://schemas.microsoft.com/office/spreadsheetml/2009/9/main" objectType="CheckBox" fmlaLink="$M30" lockText="1" noThreeD="1"/>
</file>

<file path=xl/ctrlProps/ctrlProp617.xml><?xml version="1.0" encoding="utf-8"?>
<formControlPr xmlns="http://schemas.microsoft.com/office/spreadsheetml/2009/9/main" objectType="CheckBox" checked="Checked" fmlaLink="$M$5" lockText="1" noThreeD="1"/>
</file>

<file path=xl/ctrlProps/ctrlProp618.xml><?xml version="1.0" encoding="utf-8"?>
<formControlPr xmlns="http://schemas.microsoft.com/office/spreadsheetml/2009/9/main" objectType="CheckBox" fmlaLink="$M$21" lockText="1" noThreeD="1"/>
</file>

<file path=xl/ctrlProps/ctrlProp619.xml><?xml version="1.0" encoding="utf-8"?>
<formControlPr xmlns="http://schemas.microsoft.com/office/spreadsheetml/2009/9/main" objectType="CheckBox" fmlaLink="$M$12" lockText="1" noThreeD="1"/>
</file>

<file path=xl/ctrlProps/ctrlProp620.xml><?xml version="1.0" encoding="utf-8"?>
<formControlPr xmlns="http://schemas.microsoft.com/office/spreadsheetml/2009/9/main" objectType="CheckBox" fmlaLink="$M$32" lockText="1" noThreeD="1"/>
</file>

<file path=xl/ctrlProps/ctrlProp621.xml><?xml version="1.0" encoding="utf-8"?>
<formControlPr xmlns="http://schemas.microsoft.com/office/spreadsheetml/2009/9/main" objectType="CheckBox" fmlaLink="$M$33" lockText="1" noThreeD="1"/>
</file>

<file path=xl/ctrlProps/ctrlProp622.xml><?xml version="1.0" encoding="utf-8"?>
<formControlPr xmlns="http://schemas.microsoft.com/office/spreadsheetml/2009/9/main" objectType="CheckBox" fmlaLink="$M$34" lockText="1" noThreeD="1"/>
</file>

<file path=xl/ctrlProps/ctrlProp623.xml><?xml version="1.0" encoding="utf-8"?>
<formControlPr xmlns="http://schemas.microsoft.com/office/spreadsheetml/2009/9/main" objectType="CheckBox" fmlaLink="$M$35" lockText="1" noThreeD="1"/>
</file>

<file path=xl/ctrlProps/ctrlProp624.xml><?xml version="1.0" encoding="utf-8"?>
<formControlPr xmlns="http://schemas.microsoft.com/office/spreadsheetml/2009/9/main" objectType="CheckBox" checked="Checked" fmlaLink="$M$6" lockText="1" noThreeD="1"/>
</file>

<file path=xl/ctrlProps/ctrlProp625.xml><?xml version="1.0" encoding="utf-8"?>
<formControlPr xmlns="http://schemas.microsoft.com/office/spreadsheetml/2009/9/main" objectType="CheckBox" fmlaLink="$M$10" lockText="1" noThreeD="1"/>
</file>

<file path=xl/ctrlProps/ctrlProp626.xml><?xml version="1.0" encoding="utf-8"?>
<formControlPr xmlns="http://schemas.microsoft.com/office/spreadsheetml/2009/9/main" objectType="CheckBox" fmlaLink="$M$14" lockText="1" noThreeD="1"/>
</file>

<file path=xl/ctrlProps/ctrlProp627.xml><?xml version="1.0" encoding="utf-8"?>
<formControlPr xmlns="http://schemas.microsoft.com/office/spreadsheetml/2009/9/main" objectType="CheckBox" fmlaLink="$M$36" lockText="1" noThreeD="1"/>
</file>

<file path=xl/ctrlProps/ctrlProp628.xml><?xml version="1.0" encoding="utf-8"?>
<formControlPr xmlns="http://schemas.microsoft.com/office/spreadsheetml/2009/9/main" objectType="CheckBox" fmlaLink="$M$37" lockText="1" noThreeD="1"/>
</file>

<file path=xl/ctrlProps/ctrlProp629.xml><?xml version="1.0" encoding="utf-8"?>
<formControlPr xmlns="http://schemas.microsoft.com/office/spreadsheetml/2009/9/main" objectType="CheckBox" checked="Checked" fmlaLink="$M$15" lockText="1" noThreeD="1"/>
</file>

<file path=xl/ctrlProps/ctrlProp630.xml><?xml version="1.0" encoding="utf-8"?>
<formControlPr xmlns="http://schemas.microsoft.com/office/spreadsheetml/2009/9/main" objectType="CheckBox" fmlaLink="$M$38" lockText="1" noThreeD="1"/>
</file>

<file path=xl/ctrlProps/ctrlProp631.xml><?xml version="1.0" encoding="utf-8"?>
<formControlPr xmlns="http://schemas.microsoft.com/office/spreadsheetml/2009/9/main" objectType="CheckBox" fmlaLink="$M$40" lockText="1" noThreeD="1"/>
</file>

<file path=xl/ctrlProps/ctrlProp632.xml><?xml version="1.0" encoding="utf-8"?>
<formControlPr xmlns="http://schemas.microsoft.com/office/spreadsheetml/2009/9/main" objectType="CheckBox" fmlaLink="$M$39" lockText="1" noThreeD="1"/>
</file>

<file path=xl/ctrlProps/ctrlProp633.xml><?xml version="1.0" encoding="utf-8"?>
<formControlPr xmlns="http://schemas.microsoft.com/office/spreadsheetml/2009/9/main" objectType="CheckBox" fmlaLink="$M$11" lockText="1" noThreeD="1"/>
</file>

<file path=xl/ctrlProps/ctrlProp634.xml><?xml version="1.0" encoding="utf-8"?>
<formControlPr xmlns="http://schemas.microsoft.com/office/spreadsheetml/2009/9/main" objectType="CheckBox" fmlaLink="$M$41" lockText="1" noThreeD="1"/>
</file>

<file path=xl/ctrlProps/ctrlProp635.xml><?xml version="1.0" encoding="utf-8"?>
<formControlPr xmlns="http://schemas.microsoft.com/office/spreadsheetml/2009/9/main" objectType="CheckBox" fmlaLink="$M$42" lockText="1" noThreeD="1"/>
</file>

<file path=xl/ctrlProps/ctrlProp636.xml><?xml version="1.0" encoding="utf-8"?>
<formControlPr xmlns="http://schemas.microsoft.com/office/spreadsheetml/2009/9/main" objectType="CheckBox" fmlaLink="#REF!" lockText="1" noThreeD="1"/>
</file>

<file path=xl/ctrlProps/ctrlProp637.xml><?xml version="1.0" encoding="utf-8"?>
<formControlPr xmlns="http://schemas.microsoft.com/office/spreadsheetml/2009/9/main" objectType="CheckBox" checked="Checked" fmlaLink="$M$4" lockText="1" noThreeD="1"/>
</file>

<file path=xl/ctrlProps/ctrlProp638.xml><?xml version="1.0" encoding="utf-8"?>
<formControlPr xmlns="http://schemas.microsoft.com/office/spreadsheetml/2009/9/main" objectType="CheckBox" checked="Checked" fmlaLink="$M$8" lockText="1" noThreeD="1"/>
</file>

<file path=xl/ctrlProps/ctrlProp639.xml><?xml version="1.0" encoding="utf-8"?>
<formControlPr xmlns="http://schemas.microsoft.com/office/spreadsheetml/2009/9/main" objectType="CheckBox" fmlaLink="$M$9" lockText="1" noThreeD="1"/>
</file>

<file path=xl/ctrlProps/ctrlProp640.xml><?xml version="1.0" encoding="utf-8"?>
<formControlPr xmlns="http://schemas.microsoft.com/office/spreadsheetml/2009/9/main" objectType="CheckBox" fmlaLink="$M$31" lockText="1" noThreeD="1"/>
</file>

<file path=xl/ctrlProps/ctrlProp641.xml><?xml version="1.0" encoding="utf-8"?>
<formControlPr xmlns="http://schemas.microsoft.com/office/spreadsheetml/2009/9/main" objectType="CheckBox" fmlaLink="$M$16" lockText="1" noThreeD="1"/>
</file>

<file path=xl/ctrlProps/ctrlProp642.xml><?xml version="1.0" encoding="utf-8"?>
<formControlPr xmlns="http://schemas.microsoft.com/office/spreadsheetml/2009/9/main" objectType="CheckBox" fmlaLink="$M$17" lockText="1" noThreeD="1"/>
</file>

<file path=xl/ctrlProps/ctrlProp643.xml><?xml version="1.0" encoding="utf-8"?>
<formControlPr xmlns="http://schemas.microsoft.com/office/spreadsheetml/2009/9/main" objectType="CheckBox" checked="Checked" fmlaLink="$M$18" lockText="1" noThreeD="1"/>
</file>

<file path=xl/ctrlProps/ctrlProp644.xml><?xml version="1.0" encoding="utf-8"?>
<formControlPr xmlns="http://schemas.microsoft.com/office/spreadsheetml/2009/9/main" objectType="CheckBox" fmlaLink="$M$19" lockText="1" noThreeD="1"/>
</file>

<file path=xl/ctrlProps/ctrlProp645.xml><?xml version="1.0" encoding="utf-8"?>
<formControlPr xmlns="http://schemas.microsoft.com/office/spreadsheetml/2009/9/main" objectType="CheckBox" checked="Checked" fmlaLink="$M$20" lockText="1" noThreeD="1"/>
</file>

<file path=xl/ctrlProps/ctrlProp646.xml><?xml version="1.0" encoding="utf-8"?>
<formControlPr xmlns="http://schemas.microsoft.com/office/spreadsheetml/2009/9/main" objectType="CheckBox" fmlaLink="$M$22" lockText="1" noThreeD="1"/>
</file>

<file path=xl/ctrlProps/ctrlProp647.xml><?xml version="1.0" encoding="utf-8"?>
<formControlPr xmlns="http://schemas.microsoft.com/office/spreadsheetml/2009/9/main" objectType="CheckBox" checked="Checked" fmlaLink="$M$13" lockText="1" noThreeD="1"/>
</file>

<file path=xl/ctrlProps/ctrlProp648.xml><?xml version="1.0" encoding="utf-8"?>
<formControlPr xmlns="http://schemas.microsoft.com/office/spreadsheetml/2009/9/main" objectType="CheckBox" fmlaLink="$M$23" lockText="1" noThreeD="1"/>
</file>

<file path=xl/ctrlProps/ctrlProp649.xml><?xml version="1.0" encoding="utf-8"?>
<formControlPr xmlns="http://schemas.microsoft.com/office/spreadsheetml/2009/9/main" objectType="CheckBox" checked="Checked" fmlaLink="$M$7" lockText="1" noThreeD="1"/>
</file>

<file path=xl/ctrlProps/ctrlProp650.xml><?xml version="1.0" encoding="utf-8"?>
<formControlPr xmlns="http://schemas.microsoft.com/office/spreadsheetml/2009/9/main" objectType="CheckBox" fmlaLink="$M$24" lockText="1" noThreeD="1"/>
</file>

<file path=xl/ctrlProps/ctrlProp651.xml><?xml version="1.0" encoding="utf-8"?>
<formControlPr xmlns="http://schemas.microsoft.com/office/spreadsheetml/2009/9/main" objectType="CheckBox" fmlaLink="$M$25" lockText="1" noThreeD="1"/>
</file>

<file path=xl/ctrlProps/ctrlProp652.xml><?xml version="1.0" encoding="utf-8"?>
<formControlPr xmlns="http://schemas.microsoft.com/office/spreadsheetml/2009/9/main" objectType="CheckBox" fmlaLink="$M$26" lockText="1" noThreeD="1"/>
</file>

<file path=xl/ctrlProps/ctrlProp653.xml><?xml version="1.0" encoding="utf-8"?>
<formControlPr xmlns="http://schemas.microsoft.com/office/spreadsheetml/2009/9/main" objectType="CheckBox" fmlaLink="$M$27" lockText="1" noThreeD="1"/>
</file>

<file path=xl/ctrlProps/ctrlProp654.xml><?xml version="1.0" encoding="utf-8"?>
<formControlPr xmlns="http://schemas.microsoft.com/office/spreadsheetml/2009/9/main" objectType="CheckBox" fmlaLink="$M$28" lockText="1" noThreeD="1"/>
</file>

<file path=xl/ctrlProps/ctrlProp655.xml><?xml version="1.0" encoding="utf-8"?>
<formControlPr xmlns="http://schemas.microsoft.com/office/spreadsheetml/2009/9/main" objectType="CheckBox" fmlaLink="$M$29" lockText="1" noThreeD="1"/>
</file>

<file path=xl/ctrlProps/ctrlProp656.xml><?xml version="1.0" encoding="utf-8"?>
<formControlPr xmlns="http://schemas.microsoft.com/office/spreadsheetml/2009/9/main" objectType="CheckBox" fmlaLink="$M30" lockText="1" noThreeD="1"/>
</file>

<file path=xl/ctrlProps/ctrlProp657.xml><?xml version="1.0" encoding="utf-8"?>
<formControlPr xmlns="http://schemas.microsoft.com/office/spreadsheetml/2009/9/main" objectType="CheckBox" checked="Checked" fmlaLink="$M$5" lockText="1" noThreeD="1"/>
</file>

<file path=xl/ctrlProps/ctrlProp658.xml><?xml version="1.0" encoding="utf-8"?>
<formControlPr xmlns="http://schemas.microsoft.com/office/spreadsheetml/2009/9/main" objectType="CheckBox" fmlaLink="$M$21" lockText="1" noThreeD="1"/>
</file>

<file path=xl/ctrlProps/ctrlProp659.xml><?xml version="1.0" encoding="utf-8"?>
<formControlPr xmlns="http://schemas.microsoft.com/office/spreadsheetml/2009/9/main" objectType="CheckBox" fmlaLink="$M$12" lockText="1" noThreeD="1"/>
</file>

<file path=xl/ctrlProps/ctrlProp660.xml><?xml version="1.0" encoding="utf-8"?>
<formControlPr xmlns="http://schemas.microsoft.com/office/spreadsheetml/2009/9/main" objectType="CheckBox" fmlaLink="$M$32" lockText="1" noThreeD="1"/>
</file>

<file path=xl/ctrlProps/ctrlProp661.xml><?xml version="1.0" encoding="utf-8"?>
<formControlPr xmlns="http://schemas.microsoft.com/office/spreadsheetml/2009/9/main" objectType="CheckBox" fmlaLink="$M$33" lockText="1" noThreeD="1"/>
</file>

<file path=xl/ctrlProps/ctrlProp662.xml><?xml version="1.0" encoding="utf-8"?>
<formControlPr xmlns="http://schemas.microsoft.com/office/spreadsheetml/2009/9/main" objectType="CheckBox" fmlaLink="$M$34" lockText="1" noThreeD="1"/>
</file>

<file path=xl/ctrlProps/ctrlProp663.xml><?xml version="1.0" encoding="utf-8"?>
<formControlPr xmlns="http://schemas.microsoft.com/office/spreadsheetml/2009/9/main" objectType="CheckBox" fmlaLink="$M$35" lockText="1" noThreeD="1"/>
</file>

<file path=xl/ctrlProps/ctrlProp664.xml><?xml version="1.0" encoding="utf-8"?>
<formControlPr xmlns="http://schemas.microsoft.com/office/spreadsheetml/2009/9/main" objectType="CheckBox" checked="Checked" fmlaLink="$M$6" lockText="1" noThreeD="1"/>
</file>

<file path=xl/ctrlProps/ctrlProp665.xml><?xml version="1.0" encoding="utf-8"?>
<formControlPr xmlns="http://schemas.microsoft.com/office/spreadsheetml/2009/9/main" objectType="CheckBox" checked="Checked" fmlaLink="$M$10" lockText="1" noThreeD="1"/>
</file>

<file path=xl/ctrlProps/ctrlProp666.xml><?xml version="1.0" encoding="utf-8"?>
<formControlPr xmlns="http://schemas.microsoft.com/office/spreadsheetml/2009/9/main" objectType="CheckBox" fmlaLink="$M$14" lockText="1" noThreeD="1"/>
</file>

<file path=xl/ctrlProps/ctrlProp667.xml><?xml version="1.0" encoding="utf-8"?>
<formControlPr xmlns="http://schemas.microsoft.com/office/spreadsheetml/2009/9/main" objectType="CheckBox" fmlaLink="$M$36" lockText="1" noThreeD="1"/>
</file>

<file path=xl/ctrlProps/ctrlProp668.xml><?xml version="1.0" encoding="utf-8"?>
<formControlPr xmlns="http://schemas.microsoft.com/office/spreadsheetml/2009/9/main" objectType="CheckBox" checked="Checked" fmlaLink="$M$37" lockText="1" noThreeD="1"/>
</file>

<file path=xl/ctrlProps/ctrlProp669.xml><?xml version="1.0" encoding="utf-8"?>
<formControlPr xmlns="http://schemas.microsoft.com/office/spreadsheetml/2009/9/main" objectType="CheckBox" checked="Checked" fmlaLink="$M$15" lockText="1" noThreeD="1"/>
</file>

<file path=xl/ctrlProps/ctrlProp670.xml><?xml version="1.0" encoding="utf-8"?>
<formControlPr xmlns="http://schemas.microsoft.com/office/spreadsheetml/2009/9/main" objectType="CheckBox" fmlaLink="$M$38" lockText="1" noThreeD="1"/>
</file>

<file path=xl/ctrlProps/ctrlProp671.xml><?xml version="1.0" encoding="utf-8"?>
<formControlPr xmlns="http://schemas.microsoft.com/office/spreadsheetml/2009/9/main" objectType="CheckBox" fmlaLink="$M$40" lockText="1" noThreeD="1"/>
</file>

<file path=xl/ctrlProps/ctrlProp672.xml><?xml version="1.0" encoding="utf-8"?>
<formControlPr xmlns="http://schemas.microsoft.com/office/spreadsheetml/2009/9/main" objectType="CheckBox" fmlaLink="$M$39" lockText="1" noThreeD="1"/>
</file>

<file path=xl/ctrlProps/ctrlProp673.xml><?xml version="1.0" encoding="utf-8"?>
<formControlPr xmlns="http://schemas.microsoft.com/office/spreadsheetml/2009/9/main" objectType="CheckBox" fmlaLink="$M$11" lockText="1" noThreeD="1"/>
</file>

<file path=xl/ctrlProps/ctrlProp674.xml><?xml version="1.0" encoding="utf-8"?>
<formControlPr xmlns="http://schemas.microsoft.com/office/spreadsheetml/2009/9/main" objectType="CheckBox" fmlaLink="$M$41" lockText="1" noThreeD="1"/>
</file>

<file path=xl/ctrlProps/ctrlProp675.xml><?xml version="1.0" encoding="utf-8"?>
<formControlPr xmlns="http://schemas.microsoft.com/office/spreadsheetml/2009/9/main" objectType="CheckBox" fmlaLink="$M$42" lockText="1" noThreeD="1"/>
</file>

<file path=xl/ctrlProps/ctrlProp676.xml><?xml version="1.0" encoding="utf-8"?>
<formControlPr xmlns="http://schemas.microsoft.com/office/spreadsheetml/2009/9/main" objectType="CheckBox" checked="Checked" fmlaLink="$M$43" lockText="1" noThreeD="1"/>
</file>

<file path=xl/ctrlProps/ctrlProp677.xml><?xml version="1.0" encoding="utf-8"?>
<formControlPr xmlns="http://schemas.microsoft.com/office/spreadsheetml/2009/9/main" objectType="CheckBox" fmlaLink="#REF!" lockText="1" noThreeD="1"/>
</file>

<file path=xl/ctrlProps/ctrlProp678.xml><?xml version="1.0" encoding="utf-8"?>
<formControlPr xmlns="http://schemas.microsoft.com/office/spreadsheetml/2009/9/main" objectType="CheckBox" checked="Checked" fmlaLink="$M$4" lockText="1" noThreeD="1"/>
</file>

<file path=xl/ctrlProps/ctrlProp679.xml><?xml version="1.0" encoding="utf-8"?>
<formControlPr xmlns="http://schemas.microsoft.com/office/spreadsheetml/2009/9/main" objectType="CheckBox" fmlaLink="$M$8" lockText="1" noThreeD="1"/>
</file>

<file path=xl/ctrlProps/ctrlProp680.xml><?xml version="1.0" encoding="utf-8"?>
<formControlPr xmlns="http://schemas.microsoft.com/office/spreadsheetml/2009/9/main" objectType="CheckBox" checked="Checked" fmlaLink="$M$9" lockText="1" noThreeD="1"/>
</file>

<file path=xl/ctrlProps/ctrlProp681.xml><?xml version="1.0" encoding="utf-8"?>
<formControlPr xmlns="http://schemas.microsoft.com/office/spreadsheetml/2009/9/main" objectType="CheckBox" fmlaLink="$M$31" lockText="1" noThreeD="1"/>
</file>

<file path=xl/ctrlProps/ctrlProp682.xml><?xml version="1.0" encoding="utf-8"?>
<formControlPr xmlns="http://schemas.microsoft.com/office/spreadsheetml/2009/9/main" objectType="CheckBox" fmlaLink="$M$16" lockText="1" noThreeD="1"/>
</file>

<file path=xl/ctrlProps/ctrlProp683.xml><?xml version="1.0" encoding="utf-8"?>
<formControlPr xmlns="http://schemas.microsoft.com/office/spreadsheetml/2009/9/main" objectType="CheckBox" fmlaLink="$M$17" lockText="1" noThreeD="1"/>
</file>

<file path=xl/ctrlProps/ctrlProp684.xml><?xml version="1.0" encoding="utf-8"?>
<formControlPr xmlns="http://schemas.microsoft.com/office/spreadsheetml/2009/9/main" objectType="CheckBox" checked="Checked" fmlaLink="$M$18" lockText="1" noThreeD="1"/>
</file>

<file path=xl/ctrlProps/ctrlProp685.xml><?xml version="1.0" encoding="utf-8"?>
<formControlPr xmlns="http://schemas.microsoft.com/office/spreadsheetml/2009/9/main" objectType="CheckBox" fmlaLink="$M$19" lockText="1" noThreeD="1"/>
</file>

<file path=xl/ctrlProps/ctrlProp686.xml><?xml version="1.0" encoding="utf-8"?>
<formControlPr xmlns="http://schemas.microsoft.com/office/spreadsheetml/2009/9/main" objectType="CheckBox" checked="Checked" fmlaLink="$M$20" lockText="1" noThreeD="1"/>
</file>

<file path=xl/ctrlProps/ctrlProp687.xml><?xml version="1.0" encoding="utf-8"?>
<formControlPr xmlns="http://schemas.microsoft.com/office/spreadsheetml/2009/9/main" objectType="CheckBox" fmlaLink="$M$22" lockText="1" noThreeD="1"/>
</file>

<file path=xl/ctrlProps/ctrlProp688.xml><?xml version="1.0" encoding="utf-8"?>
<formControlPr xmlns="http://schemas.microsoft.com/office/spreadsheetml/2009/9/main" objectType="CheckBox" checked="Checked" fmlaLink="$M$13" lockText="1" noThreeD="1"/>
</file>

<file path=xl/ctrlProps/ctrlProp689.xml><?xml version="1.0" encoding="utf-8"?>
<formControlPr xmlns="http://schemas.microsoft.com/office/spreadsheetml/2009/9/main" objectType="CheckBox" fmlaLink="$M$23" lockText="1" noThreeD="1"/>
</file>

<file path=xl/ctrlProps/ctrlProp690.xml><?xml version="1.0" encoding="utf-8"?>
<formControlPr xmlns="http://schemas.microsoft.com/office/spreadsheetml/2009/9/main" objectType="CheckBox" checked="Checked" fmlaLink="$M$7" lockText="1" noThreeD="1"/>
</file>

<file path=xl/ctrlProps/ctrlProp691.xml><?xml version="1.0" encoding="utf-8"?>
<formControlPr xmlns="http://schemas.microsoft.com/office/spreadsheetml/2009/9/main" objectType="CheckBox" fmlaLink="$M$24" lockText="1" noThreeD="1"/>
</file>

<file path=xl/ctrlProps/ctrlProp692.xml><?xml version="1.0" encoding="utf-8"?>
<formControlPr xmlns="http://schemas.microsoft.com/office/spreadsheetml/2009/9/main" objectType="CheckBox" checked="Checked" fmlaLink="$M$25" lockText="1" noThreeD="1"/>
</file>

<file path=xl/ctrlProps/ctrlProp693.xml><?xml version="1.0" encoding="utf-8"?>
<formControlPr xmlns="http://schemas.microsoft.com/office/spreadsheetml/2009/9/main" objectType="CheckBox" fmlaLink="$M$26" lockText="1" noThreeD="1"/>
</file>

<file path=xl/ctrlProps/ctrlProp694.xml><?xml version="1.0" encoding="utf-8"?>
<formControlPr xmlns="http://schemas.microsoft.com/office/spreadsheetml/2009/9/main" objectType="CheckBox" fmlaLink="$M$27" lockText="1" noThreeD="1"/>
</file>

<file path=xl/ctrlProps/ctrlProp695.xml><?xml version="1.0" encoding="utf-8"?>
<formControlPr xmlns="http://schemas.microsoft.com/office/spreadsheetml/2009/9/main" objectType="CheckBox" fmlaLink="$M$28" lockText="1" noThreeD="1"/>
</file>

<file path=xl/ctrlProps/ctrlProp696.xml><?xml version="1.0" encoding="utf-8"?>
<formControlPr xmlns="http://schemas.microsoft.com/office/spreadsheetml/2009/9/main" objectType="CheckBox" fmlaLink="$M$29" lockText="1" noThreeD="1"/>
</file>

<file path=xl/ctrlProps/ctrlProp697.xml><?xml version="1.0" encoding="utf-8"?>
<formControlPr xmlns="http://schemas.microsoft.com/office/spreadsheetml/2009/9/main" objectType="CheckBox" fmlaLink="$M30" lockText="1" noThreeD="1"/>
</file>

<file path=xl/ctrlProps/ctrlProp698.xml><?xml version="1.0" encoding="utf-8"?>
<formControlPr xmlns="http://schemas.microsoft.com/office/spreadsheetml/2009/9/main" objectType="CheckBox" checked="Checked" fmlaLink="$M$5" lockText="1" noThreeD="1"/>
</file>

<file path=xl/ctrlProps/ctrlProp699.xml><?xml version="1.0" encoding="utf-8"?>
<formControlPr xmlns="http://schemas.microsoft.com/office/spreadsheetml/2009/9/main" objectType="CheckBox" fmlaLink="$M$21" lockText="1" noThreeD="1"/>
</file>

<file path=xl/ctrlProps/ctrlProp700.xml><?xml version="1.0" encoding="utf-8"?>
<formControlPr xmlns="http://schemas.microsoft.com/office/spreadsheetml/2009/9/main" objectType="CheckBox" fmlaLink="$M$12" lockText="1" noThreeD="1"/>
</file>

<file path=xl/ctrlProps/ctrlProp701.xml><?xml version="1.0" encoding="utf-8"?>
<formControlPr xmlns="http://schemas.microsoft.com/office/spreadsheetml/2009/9/main" objectType="CheckBox" fmlaLink="$M$32" lockText="1" noThreeD="1"/>
</file>

<file path=xl/ctrlProps/ctrlProp702.xml><?xml version="1.0" encoding="utf-8"?>
<formControlPr xmlns="http://schemas.microsoft.com/office/spreadsheetml/2009/9/main" objectType="CheckBox" fmlaLink="$M$33" lockText="1" noThreeD="1"/>
</file>

<file path=xl/ctrlProps/ctrlProp703.xml><?xml version="1.0" encoding="utf-8"?>
<formControlPr xmlns="http://schemas.microsoft.com/office/spreadsheetml/2009/9/main" objectType="CheckBox" fmlaLink="$M$34" lockText="1" noThreeD="1"/>
</file>

<file path=xl/ctrlProps/ctrlProp704.xml><?xml version="1.0" encoding="utf-8"?>
<formControlPr xmlns="http://schemas.microsoft.com/office/spreadsheetml/2009/9/main" objectType="CheckBox" fmlaLink="$M$35" lockText="1" noThreeD="1"/>
</file>

<file path=xl/ctrlProps/ctrlProp705.xml><?xml version="1.0" encoding="utf-8"?>
<formControlPr xmlns="http://schemas.microsoft.com/office/spreadsheetml/2009/9/main" objectType="CheckBox" checked="Checked" fmlaLink="$M$6" lockText="1" noThreeD="1"/>
</file>

<file path=xl/ctrlProps/ctrlProp706.xml><?xml version="1.0" encoding="utf-8"?>
<formControlPr xmlns="http://schemas.microsoft.com/office/spreadsheetml/2009/9/main" objectType="CheckBox" checked="Checked" fmlaLink="$M$10" lockText="1" noThreeD="1"/>
</file>

<file path=xl/ctrlProps/ctrlProp707.xml><?xml version="1.0" encoding="utf-8"?>
<formControlPr xmlns="http://schemas.microsoft.com/office/spreadsheetml/2009/9/main" objectType="CheckBox" fmlaLink="$M$14" lockText="1" noThreeD="1"/>
</file>

<file path=xl/ctrlProps/ctrlProp708.xml><?xml version="1.0" encoding="utf-8"?>
<formControlPr xmlns="http://schemas.microsoft.com/office/spreadsheetml/2009/9/main" objectType="CheckBox" fmlaLink="$M$36" lockText="1" noThreeD="1"/>
</file>

<file path=xl/ctrlProps/ctrlProp709.xml><?xml version="1.0" encoding="utf-8"?>
<formControlPr xmlns="http://schemas.microsoft.com/office/spreadsheetml/2009/9/main" objectType="CheckBox" checked="Checked" fmlaLink="$M$37" lockText="1" noThreeD="1"/>
</file>

<file path=xl/ctrlProps/ctrlProp710.xml><?xml version="1.0" encoding="utf-8"?>
<formControlPr xmlns="http://schemas.microsoft.com/office/spreadsheetml/2009/9/main" objectType="CheckBox" checked="Checked" fmlaLink="$M$15" lockText="1" noThreeD="1"/>
</file>

<file path=xl/ctrlProps/ctrlProp711.xml><?xml version="1.0" encoding="utf-8"?>
<formControlPr xmlns="http://schemas.microsoft.com/office/spreadsheetml/2009/9/main" objectType="CheckBox" fmlaLink="$M$38" lockText="1" noThreeD="1"/>
</file>

<file path=xl/ctrlProps/ctrlProp712.xml><?xml version="1.0" encoding="utf-8"?>
<formControlPr xmlns="http://schemas.microsoft.com/office/spreadsheetml/2009/9/main" objectType="CheckBox" fmlaLink="$M$40" lockText="1" noThreeD="1"/>
</file>

<file path=xl/ctrlProps/ctrlProp713.xml><?xml version="1.0" encoding="utf-8"?>
<formControlPr xmlns="http://schemas.microsoft.com/office/spreadsheetml/2009/9/main" objectType="CheckBox" fmlaLink="$M$39" lockText="1" noThreeD="1"/>
</file>

<file path=xl/ctrlProps/ctrlProp714.xml><?xml version="1.0" encoding="utf-8"?>
<formControlPr xmlns="http://schemas.microsoft.com/office/spreadsheetml/2009/9/main" objectType="CheckBox" fmlaLink="$M$11" lockText="1" noThreeD="1"/>
</file>

<file path=xl/ctrlProps/ctrlProp715.xml><?xml version="1.0" encoding="utf-8"?>
<formControlPr xmlns="http://schemas.microsoft.com/office/spreadsheetml/2009/9/main" objectType="CheckBox" fmlaLink="$M$41" lockText="1" noThreeD="1"/>
</file>

<file path=xl/ctrlProps/ctrlProp716.xml><?xml version="1.0" encoding="utf-8"?>
<formControlPr xmlns="http://schemas.microsoft.com/office/spreadsheetml/2009/9/main" objectType="CheckBox" fmlaLink="$M$42" lockText="1" noThreeD="1"/>
</file>

<file path=xl/ctrlProps/ctrlProp717.xml><?xml version="1.0" encoding="utf-8"?>
<formControlPr xmlns="http://schemas.microsoft.com/office/spreadsheetml/2009/9/main" objectType="CheckBox" fmlaLink="$M$43"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5" Type="http://schemas.openxmlformats.org/officeDocument/2006/relationships/chart" Target="../charts/chart27.xml"/><Relationship Id="rId4" Type="http://schemas.openxmlformats.org/officeDocument/2006/relationships/chart" Target="../charts/chart26.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5" Type="http://schemas.openxmlformats.org/officeDocument/2006/relationships/chart" Target="../charts/chart37.xml"/><Relationship Id="rId4" Type="http://schemas.openxmlformats.org/officeDocument/2006/relationships/chart" Target="../charts/chart36.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40.xml"/><Relationship Id="rId2" Type="http://schemas.openxmlformats.org/officeDocument/2006/relationships/chart" Target="../charts/chart39.xml"/><Relationship Id="rId1" Type="http://schemas.openxmlformats.org/officeDocument/2006/relationships/chart" Target="../charts/chart38.xml"/><Relationship Id="rId5" Type="http://schemas.openxmlformats.org/officeDocument/2006/relationships/chart" Target="../charts/chart42.xml"/><Relationship Id="rId4" Type="http://schemas.openxmlformats.org/officeDocument/2006/relationships/chart" Target="../charts/chart41.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45.xml"/><Relationship Id="rId2" Type="http://schemas.openxmlformats.org/officeDocument/2006/relationships/chart" Target="../charts/chart44.xml"/><Relationship Id="rId1" Type="http://schemas.openxmlformats.org/officeDocument/2006/relationships/chart" Target="../charts/chart43.xml"/><Relationship Id="rId6" Type="http://schemas.openxmlformats.org/officeDocument/2006/relationships/image" Target="../media/image1.emf"/><Relationship Id="rId5" Type="http://schemas.openxmlformats.org/officeDocument/2006/relationships/chart" Target="../charts/chart47.xml"/><Relationship Id="rId4" Type="http://schemas.openxmlformats.org/officeDocument/2006/relationships/chart" Target="../charts/chart46.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chart" Target="../charts/chart48.xml"/><Relationship Id="rId6" Type="http://schemas.openxmlformats.org/officeDocument/2006/relationships/image" Target="../media/image1.emf"/><Relationship Id="rId5" Type="http://schemas.openxmlformats.org/officeDocument/2006/relationships/chart" Target="../charts/chart52.xml"/><Relationship Id="rId4" Type="http://schemas.openxmlformats.org/officeDocument/2006/relationships/chart" Target="../charts/chart51.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chart" Target="../charts/chart53.xml"/><Relationship Id="rId6" Type="http://schemas.openxmlformats.org/officeDocument/2006/relationships/image" Target="../media/image1.emf"/><Relationship Id="rId5" Type="http://schemas.openxmlformats.org/officeDocument/2006/relationships/chart" Target="../charts/chart57.xml"/><Relationship Id="rId4" Type="http://schemas.openxmlformats.org/officeDocument/2006/relationships/chart" Target="../charts/chart56.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chart" Target="../charts/chart58.xml"/><Relationship Id="rId6" Type="http://schemas.openxmlformats.org/officeDocument/2006/relationships/image" Target="../media/image1.emf"/><Relationship Id="rId5" Type="http://schemas.openxmlformats.org/officeDocument/2006/relationships/chart" Target="../charts/chart62.xml"/><Relationship Id="rId4" Type="http://schemas.openxmlformats.org/officeDocument/2006/relationships/chart" Target="../charts/chart61.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65.xml"/><Relationship Id="rId2" Type="http://schemas.openxmlformats.org/officeDocument/2006/relationships/chart" Target="../charts/chart64.xml"/><Relationship Id="rId1" Type="http://schemas.openxmlformats.org/officeDocument/2006/relationships/chart" Target="../charts/chart63.xml"/><Relationship Id="rId6" Type="http://schemas.openxmlformats.org/officeDocument/2006/relationships/image" Target="../media/image1.emf"/><Relationship Id="rId5" Type="http://schemas.openxmlformats.org/officeDocument/2006/relationships/chart" Target="../charts/chart67.xml"/><Relationship Id="rId4" Type="http://schemas.openxmlformats.org/officeDocument/2006/relationships/chart" Target="../charts/chart66.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70.xml"/><Relationship Id="rId2" Type="http://schemas.openxmlformats.org/officeDocument/2006/relationships/chart" Target="../charts/chart69.xml"/><Relationship Id="rId1" Type="http://schemas.openxmlformats.org/officeDocument/2006/relationships/chart" Target="../charts/chart68.xml"/><Relationship Id="rId6" Type="http://schemas.openxmlformats.org/officeDocument/2006/relationships/image" Target="../media/image1.emf"/><Relationship Id="rId5" Type="http://schemas.openxmlformats.org/officeDocument/2006/relationships/chart" Target="../charts/chart72.xml"/><Relationship Id="rId4" Type="http://schemas.openxmlformats.org/officeDocument/2006/relationships/chart" Target="../charts/chart71.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75.xml"/><Relationship Id="rId2" Type="http://schemas.openxmlformats.org/officeDocument/2006/relationships/chart" Target="../charts/chart74.xml"/><Relationship Id="rId1" Type="http://schemas.openxmlformats.org/officeDocument/2006/relationships/chart" Target="../charts/chart73.xml"/><Relationship Id="rId6" Type="http://schemas.openxmlformats.org/officeDocument/2006/relationships/image" Target="../media/image1.emf"/><Relationship Id="rId5" Type="http://schemas.openxmlformats.org/officeDocument/2006/relationships/chart" Target="../charts/chart77.xml"/><Relationship Id="rId4" Type="http://schemas.openxmlformats.org/officeDocument/2006/relationships/chart" Target="../charts/chart76.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80.xml"/><Relationship Id="rId2" Type="http://schemas.openxmlformats.org/officeDocument/2006/relationships/chart" Target="../charts/chart79.xml"/><Relationship Id="rId1" Type="http://schemas.openxmlformats.org/officeDocument/2006/relationships/chart" Target="../charts/chart78.xml"/><Relationship Id="rId5" Type="http://schemas.openxmlformats.org/officeDocument/2006/relationships/chart" Target="../charts/chart82.xml"/><Relationship Id="rId4" Type="http://schemas.openxmlformats.org/officeDocument/2006/relationships/chart" Target="../charts/chart81.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85.xml"/><Relationship Id="rId2" Type="http://schemas.openxmlformats.org/officeDocument/2006/relationships/chart" Target="../charts/chart84.xml"/><Relationship Id="rId1" Type="http://schemas.openxmlformats.org/officeDocument/2006/relationships/chart" Target="../charts/chart83.xml"/><Relationship Id="rId5" Type="http://schemas.openxmlformats.org/officeDocument/2006/relationships/chart" Target="../charts/chart87.xml"/><Relationship Id="rId4" Type="http://schemas.openxmlformats.org/officeDocument/2006/relationships/chart" Target="../charts/chart8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3</xdr:row>
          <xdr:rowOff>19050</xdr:rowOff>
        </xdr:from>
        <xdr:to>
          <xdr:col>1</xdr:col>
          <xdr:colOff>352425</xdr:colOff>
          <xdr:row>4</xdr:row>
          <xdr:rowOff>19050</xdr:rowOff>
        </xdr:to>
        <xdr:sp macro="" textlink="">
          <xdr:nvSpPr>
            <xdr:cNvPr id="2049" name="Case à cocher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4</xdr:row>
          <xdr:rowOff>9525</xdr:rowOff>
        </xdr:from>
        <xdr:to>
          <xdr:col>1</xdr:col>
          <xdr:colOff>352425</xdr:colOff>
          <xdr:row>5</xdr:row>
          <xdr:rowOff>9525</xdr:rowOff>
        </xdr:to>
        <xdr:sp macro="" textlink="">
          <xdr:nvSpPr>
            <xdr:cNvPr id="2050" name="Case à cocher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5</xdr:row>
          <xdr:rowOff>19050</xdr:rowOff>
        </xdr:from>
        <xdr:to>
          <xdr:col>1</xdr:col>
          <xdr:colOff>352425</xdr:colOff>
          <xdr:row>6</xdr:row>
          <xdr:rowOff>19050</xdr:rowOff>
        </xdr:to>
        <xdr:sp macro="" textlink="">
          <xdr:nvSpPr>
            <xdr:cNvPr id="2051" name="Case à cocher 4"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7</xdr:row>
          <xdr:rowOff>9525</xdr:rowOff>
        </xdr:from>
        <xdr:to>
          <xdr:col>1</xdr:col>
          <xdr:colOff>352425</xdr:colOff>
          <xdr:row>8</xdr:row>
          <xdr:rowOff>9525</xdr:rowOff>
        </xdr:to>
        <xdr:sp macro="" textlink="">
          <xdr:nvSpPr>
            <xdr:cNvPr id="2052" name="Case à cocher 5"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6</xdr:row>
          <xdr:rowOff>19050</xdr:rowOff>
        </xdr:from>
        <xdr:to>
          <xdr:col>1</xdr:col>
          <xdr:colOff>352425</xdr:colOff>
          <xdr:row>7</xdr:row>
          <xdr:rowOff>19050</xdr:rowOff>
        </xdr:to>
        <xdr:sp macro="" textlink="">
          <xdr:nvSpPr>
            <xdr:cNvPr id="2053" name="Case à cocher 6"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8</xdr:row>
          <xdr:rowOff>19050</xdr:rowOff>
        </xdr:from>
        <xdr:to>
          <xdr:col>1</xdr:col>
          <xdr:colOff>352425</xdr:colOff>
          <xdr:row>9</xdr:row>
          <xdr:rowOff>19050</xdr:rowOff>
        </xdr:to>
        <xdr:sp macro="" textlink="">
          <xdr:nvSpPr>
            <xdr:cNvPr id="2054" name="Case à cocher 7"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9</xdr:row>
          <xdr:rowOff>9525</xdr:rowOff>
        </xdr:from>
        <xdr:to>
          <xdr:col>1</xdr:col>
          <xdr:colOff>352425</xdr:colOff>
          <xdr:row>10</xdr:row>
          <xdr:rowOff>9525</xdr:rowOff>
        </xdr:to>
        <xdr:sp macro="" textlink="">
          <xdr:nvSpPr>
            <xdr:cNvPr id="2055" name="Case à cocher 8"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10</xdr:row>
          <xdr:rowOff>9525</xdr:rowOff>
        </xdr:from>
        <xdr:to>
          <xdr:col>1</xdr:col>
          <xdr:colOff>352425</xdr:colOff>
          <xdr:row>11</xdr:row>
          <xdr:rowOff>9525</xdr:rowOff>
        </xdr:to>
        <xdr:sp macro="" textlink="">
          <xdr:nvSpPr>
            <xdr:cNvPr id="2056" name="Case à cocher 9"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10</xdr:row>
          <xdr:rowOff>171450</xdr:rowOff>
        </xdr:from>
        <xdr:to>
          <xdr:col>1</xdr:col>
          <xdr:colOff>352425</xdr:colOff>
          <xdr:row>11</xdr:row>
          <xdr:rowOff>171450</xdr:rowOff>
        </xdr:to>
        <xdr:sp macro="" textlink="">
          <xdr:nvSpPr>
            <xdr:cNvPr id="2057" name="Case à cocher 10"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11</xdr:row>
          <xdr:rowOff>171450</xdr:rowOff>
        </xdr:from>
        <xdr:to>
          <xdr:col>1</xdr:col>
          <xdr:colOff>352425</xdr:colOff>
          <xdr:row>12</xdr:row>
          <xdr:rowOff>171450</xdr:rowOff>
        </xdr:to>
        <xdr:sp macro="" textlink="">
          <xdr:nvSpPr>
            <xdr:cNvPr id="2058" name="Case à cocher 11"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12</xdr:row>
          <xdr:rowOff>171450</xdr:rowOff>
        </xdr:from>
        <xdr:to>
          <xdr:col>1</xdr:col>
          <xdr:colOff>352425</xdr:colOff>
          <xdr:row>13</xdr:row>
          <xdr:rowOff>171450</xdr:rowOff>
        </xdr:to>
        <xdr:sp macro="" textlink="">
          <xdr:nvSpPr>
            <xdr:cNvPr id="2059" name="Case à cocher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530679</xdr:colOff>
      <xdr:row>0</xdr:row>
      <xdr:rowOff>69396</xdr:rowOff>
    </xdr:from>
    <xdr:to>
      <xdr:col>18</xdr:col>
      <xdr:colOff>449036</xdr:colOff>
      <xdr:row>13</xdr:row>
      <xdr:rowOff>122464</xdr:rowOff>
    </xdr:to>
    <xdr:graphicFrame macro="">
      <xdr:nvGraphicFramePr>
        <xdr:cNvPr id="13" name="Chart 1">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171450</xdr:colOff>
          <xdr:row>13</xdr:row>
          <xdr:rowOff>180975</xdr:rowOff>
        </xdr:from>
        <xdr:to>
          <xdr:col>1</xdr:col>
          <xdr:colOff>352425</xdr:colOff>
          <xdr:row>15</xdr:row>
          <xdr:rowOff>0</xdr:rowOff>
        </xdr:to>
        <xdr:sp macro="" textlink="">
          <xdr:nvSpPr>
            <xdr:cNvPr id="2060" name="Check Box 13"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14</xdr:row>
          <xdr:rowOff>180975</xdr:rowOff>
        </xdr:from>
        <xdr:to>
          <xdr:col>1</xdr:col>
          <xdr:colOff>352425</xdr:colOff>
          <xdr:row>16</xdr:row>
          <xdr:rowOff>0</xdr:rowOff>
        </xdr:to>
        <xdr:sp macro="" textlink="">
          <xdr:nvSpPr>
            <xdr:cNvPr id="2061" name="Check Box 14" hidden="1">
              <a:extLst>
                <a:ext uri="{63B3BB69-23CF-44E3-9099-C40C66FF867C}">
                  <a14:compatExt spid="_x0000_s2061"/>
                </a:ext>
                <a:ext uri="{FF2B5EF4-FFF2-40B4-BE49-F238E27FC236}">
                  <a16:creationId xmlns:a16="http://schemas.microsoft.com/office/drawing/2014/main" id="{00000000-0008-0000-03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16</xdr:row>
          <xdr:rowOff>0</xdr:rowOff>
        </xdr:from>
        <xdr:to>
          <xdr:col>1</xdr:col>
          <xdr:colOff>352425</xdr:colOff>
          <xdr:row>17</xdr:row>
          <xdr:rowOff>0</xdr:rowOff>
        </xdr:to>
        <xdr:sp macro="" textlink="">
          <xdr:nvSpPr>
            <xdr:cNvPr id="2062" name="Check Box 15"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16</xdr:row>
          <xdr:rowOff>180975</xdr:rowOff>
        </xdr:from>
        <xdr:to>
          <xdr:col>1</xdr:col>
          <xdr:colOff>352425</xdr:colOff>
          <xdr:row>18</xdr:row>
          <xdr:rowOff>0</xdr:rowOff>
        </xdr:to>
        <xdr:sp macro="" textlink="">
          <xdr:nvSpPr>
            <xdr:cNvPr id="2063" name="Check Box 16"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17</xdr:row>
          <xdr:rowOff>180975</xdr:rowOff>
        </xdr:from>
        <xdr:to>
          <xdr:col>1</xdr:col>
          <xdr:colOff>352425</xdr:colOff>
          <xdr:row>19</xdr:row>
          <xdr:rowOff>0</xdr:rowOff>
        </xdr:to>
        <xdr:sp macro="" textlink="">
          <xdr:nvSpPr>
            <xdr:cNvPr id="2064" name="Check Box 17"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19</xdr:row>
          <xdr:rowOff>0</xdr:rowOff>
        </xdr:from>
        <xdr:to>
          <xdr:col>1</xdr:col>
          <xdr:colOff>352425</xdr:colOff>
          <xdr:row>20</xdr:row>
          <xdr:rowOff>0</xdr:rowOff>
        </xdr:to>
        <xdr:sp macro="" textlink="">
          <xdr:nvSpPr>
            <xdr:cNvPr id="2065" name="Check Box 18"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20</xdr:row>
          <xdr:rowOff>0</xdr:rowOff>
        </xdr:from>
        <xdr:to>
          <xdr:col>1</xdr:col>
          <xdr:colOff>352425</xdr:colOff>
          <xdr:row>21</xdr:row>
          <xdr:rowOff>0</xdr:rowOff>
        </xdr:to>
        <xdr:sp macro="" textlink="">
          <xdr:nvSpPr>
            <xdr:cNvPr id="2066" name="Check Box 19"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13</xdr:row>
      <xdr:rowOff>152397</xdr:rowOff>
    </xdr:from>
    <xdr:to>
      <xdr:col>18</xdr:col>
      <xdr:colOff>435427</xdr:colOff>
      <xdr:row>29</xdr:row>
      <xdr:rowOff>68035</xdr:rowOff>
    </xdr:to>
    <xdr:graphicFrame macro="">
      <xdr:nvGraphicFramePr>
        <xdr:cNvPr id="21" name="Chart 20">
          <a:extLst>
            <a:ext uri="{FF2B5EF4-FFF2-40B4-BE49-F238E27FC236}">
              <a16:creationId xmlns:a16="http://schemas.microsoft.com/office/drawing/2014/main" id="{00000000-0008-0000-0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171450</xdr:colOff>
          <xdr:row>21</xdr:row>
          <xdr:rowOff>9525</xdr:rowOff>
        </xdr:from>
        <xdr:to>
          <xdr:col>1</xdr:col>
          <xdr:colOff>352425</xdr:colOff>
          <xdr:row>22</xdr:row>
          <xdr:rowOff>9525</xdr:rowOff>
        </xdr:to>
        <xdr:sp macro="" textlink="">
          <xdr:nvSpPr>
            <xdr:cNvPr id="2067" name="Check Box 20"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22</xdr:row>
          <xdr:rowOff>9525</xdr:rowOff>
        </xdr:from>
        <xdr:to>
          <xdr:col>1</xdr:col>
          <xdr:colOff>352425</xdr:colOff>
          <xdr:row>23</xdr:row>
          <xdr:rowOff>9525</xdr:rowOff>
        </xdr:to>
        <xdr:sp macro="" textlink="">
          <xdr:nvSpPr>
            <xdr:cNvPr id="2068" name="Check Box 21"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180975</xdr:rowOff>
        </xdr:from>
        <xdr:to>
          <xdr:col>1</xdr:col>
          <xdr:colOff>342900</xdr:colOff>
          <xdr:row>23</xdr:row>
          <xdr:rowOff>180975</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3</xdr:row>
          <xdr:rowOff>19050</xdr:rowOff>
        </xdr:from>
        <xdr:to>
          <xdr:col>1</xdr:col>
          <xdr:colOff>352425</xdr:colOff>
          <xdr:row>4</xdr:row>
          <xdr:rowOff>19050</xdr:rowOff>
        </xdr:to>
        <xdr:sp macro="" textlink="">
          <xdr:nvSpPr>
            <xdr:cNvPr id="5121" name="Case à cocher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4</xdr:row>
          <xdr:rowOff>9525</xdr:rowOff>
        </xdr:from>
        <xdr:to>
          <xdr:col>1</xdr:col>
          <xdr:colOff>352425</xdr:colOff>
          <xdr:row>5</xdr:row>
          <xdr:rowOff>9525</xdr:rowOff>
        </xdr:to>
        <xdr:sp macro="" textlink="">
          <xdr:nvSpPr>
            <xdr:cNvPr id="5122" name="Case à cocher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5</xdr:row>
          <xdr:rowOff>19050</xdr:rowOff>
        </xdr:from>
        <xdr:to>
          <xdr:col>1</xdr:col>
          <xdr:colOff>352425</xdr:colOff>
          <xdr:row>6</xdr:row>
          <xdr:rowOff>19050</xdr:rowOff>
        </xdr:to>
        <xdr:sp macro="" textlink="">
          <xdr:nvSpPr>
            <xdr:cNvPr id="5123" name="Case à cocher 4"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7</xdr:row>
          <xdr:rowOff>9525</xdr:rowOff>
        </xdr:from>
        <xdr:to>
          <xdr:col>1</xdr:col>
          <xdr:colOff>352425</xdr:colOff>
          <xdr:row>8</xdr:row>
          <xdr:rowOff>9525</xdr:rowOff>
        </xdr:to>
        <xdr:sp macro="" textlink="">
          <xdr:nvSpPr>
            <xdr:cNvPr id="5124" name="Case à cocher 5"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6</xdr:row>
          <xdr:rowOff>19050</xdr:rowOff>
        </xdr:from>
        <xdr:to>
          <xdr:col>1</xdr:col>
          <xdr:colOff>352425</xdr:colOff>
          <xdr:row>7</xdr:row>
          <xdr:rowOff>19050</xdr:rowOff>
        </xdr:to>
        <xdr:sp macro="" textlink="">
          <xdr:nvSpPr>
            <xdr:cNvPr id="5125" name="Case à cocher 6"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8</xdr:row>
          <xdr:rowOff>19050</xdr:rowOff>
        </xdr:from>
        <xdr:to>
          <xdr:col>1</xdr:col>
          <xdr:colOff>352425</xdr:colOff>
          <xdr:row>9</xdr:row>
          <xdr:rowOff>19050</xdr:rowOff>
        </xdr:to>
        <xdr:sp macro="" textlink="">
          <xdr:nvSpPr>
            <xdr:cNvPr id="5126" name="Case à cocher 7"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9</xdr:row>
          <xdr:rowOff>9525</xdr:rowOff>
        </xdr:from>
        <xdr:to>
          <xdr:col>1</xdr:col>
          <xdr:colOff>352425</xdr:colOff>
          <xdr:row>10</xdr:row>
          <xdr:rowOff>9525</xdr:rowOff>
        </xdr:to>
        <xdr:sp macro="" textlink="">
          <xdr:nvSpPr>
            <xdr:cNvPr id="5127" name="Case à cocher 8"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10</xdr:row>
          <xdr:rowOff>9525</xdr:rowOff>
        </xdr:from>
        <xdr:to>
          <xdr:col>1</xdr:col>
          <xdr:colOff>352425</xdr:colOff>
          <xdr:row>11</xdr:row>
          <xdr:rowOff>9525</xdr:rowOff>
        </xdr:to>
        <xdr:sp macro="" textlink="">
          <xdr:nvSpPr>
            <xdr:cNvPr id="5128" name="Case à cocher 9"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10</xdr:row>
          <xdr:rowOff>171450</xdr:rowOff>
        </xdr:from>
        <xdr:to>
          <xdr:col>1</xdr:col>
          <xdr:colOff>352425</xdr:colOff>
          <xdr:row>11</xdr:row>
          <xdr:rowOff>171450</xdr:rowOff>
        </xdr:to>
        <xdr:sp macro="" textlink="">
          <xdr:nvSpPr>
            <xdr:cNvPr id="5129" name="Case à cocher 10"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11</xdr:row>
          <xdr:rowOff>171450</xdr:rowOff>
        </xdr:from>
        <xdr:to>
          <xdr:col>1</xdr:col>
          <xdr:colOff>352425</xdr:colOff>
          <xdr:row>12</xdr:row>
          <xdr:rowOff>171450</xdr:rowOff>
        </xdr:to>
        <xdr:sp macro="" textlink="">
          <xdr:nvSpPr>
            <xdr:cNvPr id="5130" name="Case à cocher 11"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12</xdr:row>
          <xdr:rowOff>171450</xdr:rowOff>
        </xdr:from>
        <xdr:to>
          <xdr:col>1</xdr:col>
          <xdr:colOff>352425</xdr:colOff>
          <xdr:row>13</xdr:row>
          <xdr:rowOff>171450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530679</xdr:colOff>
      <xdr:row>0</xdr:row>
      <xdr:rowOff>69396</xdr:rowOff>
    </xdr:from>
    <xdr:to>
      <xdr:col>18</xdr:col>
      <xdr:colOff>449036</xdr:colOff>
      <xdr:row>13</xdr:row>
      <xdr:rowOff>122464</xdr:rowOff>
    </xdr:to>
    <xdr:graphicFrame macro="">
      <xdr:nvGraphicFramePr>
        <xdr:cNvPr id="13" name="Chart 1">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171450</xdr:colOff>
          <xdr:row>13</xdr:row>
          <xdr:rowOff>180975</xdr:rowOff>
        </xdr:from>
        <xdr:to>
          <xdr:col>1</xdr:col>
          <xdr:colOff>352425</xdr:colOff>
          <xdr:row>15</xdr:row>
          <xdr:rowOff>0</xdr:rowOff>
        </xdr:to>
        <xdr:sp macro="" textlink="">
          <xdr:nvSpPr>
            <xdr:cNvPr id="5132" name="Check Box 13"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14</xdr:row>
          <xdr:rowOff>180975</xdr:rowOff>
        </xdr:from>
        <xdr:to>
          <xdr:col>1</xdr:col>
          <xdr:colOff>352425</xdr:colOff>
          <xdr:row>16</xdr:row>
          <xdr:rowOff>0</xdr:rowOff>
        </xdr:to>
        <xdr:sp macro="" textlink="">
          <xdr:nvSpPr>
            <xdr:cNvPr id="5133" name="Check Box 14"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16</xdr:row>
          <xdr:rowOff>0</xdr:rowOff>
        </xdr:from>
        <xdr:to>
          <xdr:col>1</xdr:col>
          <xdr:colOff>352425</xdr:colOff>
          <xdr:row>17</xdr:row>
          <xdr:rowOff>0</xdr:rowOff>
        </xdr:to>
        <xdr:sp macro="" textlink="">
          <xdr:nvSpPr>
            <xdr:cNvPr id="5134" name="Check Box 15"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16</xdr:row>
          <xdr:rowOff>180975</xdr:rowOff>
        </xdr:from>
        <xdr:to>
          <xdr:col>1</xdr:col>
          <xdr:colOff>352425</xdr:colOff>
          <xdr:row>18</xdr:row>
          <xdr:rowOff>0</xdr:rowOff>
        </xdr:to>
        <xdr:sp macro="" textlink="">
          <xdr:nvSpPr>
            <xdr:cNvPr id="5135" name="Check Box 16"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17</xdr:row>
          <xdr:rowOff>180975</xdr:rowOff>
        </xdr:from>
        <xdr:to>
          <xdr:col>1</xdr:col>
          <xdr:colOff>352425</xdr:colOff>
          <xdr:row>19</xdr:row>
          <xdr:rowOff>0</xdr:rowOff>
        </xdr:to>
        <xdr:sp macro="" textlink="">
          <xdr:nvSpPr>
            <xdr:cNvPr id="5136" name="Check Box 17"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19</xdr:row>
          <xdr:rowOff>0</xdr:rowOff>
        </xdr:from>
        <xdr:to>
          <xdr:col>1</xdr:col>
          <xdr:colOff>352425</xdr:colOff>
          <xdr:row>20</xdr:row>
          <xdr:rowOff>0</xdr:rowOff>
        </xdr:to>
        <xdr:sp macro="" textlink="">
          <xdr:nvSpPr>
            <xdr:cNvPr id="5137" name="Check Box 18"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20</xdr:row>
          <xdr:rowOff>0</xdr:rowOff>
        </xdr:from>
        <xdr:to>
          <xdr:col>1</xdr:col>
          <xdr:colOff>352425</xdr:colOff>
          <xdr:row>21</xdr:row>
          <xdr:rowOff>0</xdr:rowOff>
        </xdr:to>
        <xdr:sp macro="" textlink="">
          <xdr:nvSpPr>
            <xdr:cNvPr id="5138" name="Check Box 19"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13</xdr:row>
      <xdr:rowOff>152397</xdr:rowOff>
    </xdr:from>
    <xdr:to>
      <xdr:col>18</xdr:col>
      <xdr:colOff>435427</xdr:colOff>
      <xdr:row>29</xdr:row>
      <xdr:rowOff>68035</xdr:rowOff>
    </xdr:to>
    <xdr:graphicFrame macro="">
      <xdr:nvGraphicFramePr>
        <xdr:cNvPr id="21" name="Chart 20">
          <a:extLst>
            <a:ext uri="{FF2B5EF4-FFF2-40B4-BE49-F238E27FC236}">
              <a16:creationId xmlns:a16="http://schemas.microsoft.com/office/drawing/2014/main" id="{00000000-0008-0000-04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171450</xdr:colOff>
          <xdr:row>21</xdr:row>
          <xdr:rowOff>9525</xdr:rowOff>
        </xdr:from>
        <xdr:to>
          <xdr:col>1</xdr:col>
          <xdr:colOff>352425</xdr:colOff>
          <xdr:row>22</xdr:row>
          <xdr:rowOff>9525</xdr:rowOff>
        </xdr:to>
        <xdr:sp macro="" textlink="">
          <xdr:nvSpPr>
            <xdr:cNvPr id="5139" name="Check Box 20"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22</xdr:row>
          <xdr:rowOff>9525</xdr:rowOff>
        </xdr:from>
        <xdr:to>
          <xdr:col>1</xdr:col>
          <xdr:colOff>352425</xdr:colOff>
          <xdr:row>23</xdr:row>
          <xdr:rowOff>9525</xdr:rowOff>
        </xdr:to>
        <xdr:sp macro="" textlink="">
          <xdr:nvSpPr>
            <xdr:cNvPr id="5140" name="Check Box 21"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180975</xdr:rowOff>
        </xdr:from>
        <xdr:to>
          <xdr:col>1</xdr:col>
          <xdr:colOff>342900</xdr:colOff>
          <xdr:row>23</xdr:row>
          <xdr:rowOff>180975</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24</xdr:row>
          <xdr:rowOff>0</xdr:rowOff>
        </xdr:from>
        <xdr:to>
          <xdr:col>1</xdr:col>
          <xdr:colOff>333375</xdr:colOff>
          <xdr:row>25</xdr:row>
          <xdr:rowOff>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19050</xdr:rowOff>
        </xdr:from>
        <xdr:to>
          <xdr:col>1</xdr:col>
          <xdr:colOff>342900</xdr:colOff>
          <xdr:row>4</xdr:row>
          <xdr:rowOff>19050</xdr:rowOff>
        </xdr:to>
        <xdr:sp macro="" textlink="">
          <xdr:nvSpPr>
            <xdr:cNvPr id="7169" name="Case à cocher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4</xdr:row>
          <xdr:rowOff>9525</xdr:rowOff>
        </xdr:from>
        <xdr:to>
          <xdr:col>1</xdr:col>
          <xdr:colOff>342900</xdr:colOff>
          <xdr:row>5</xdr:row>
          <xdr:rowOff>9525</xdr:rowOff>
        </xdr:to>
        <xdr:sp macro="" textlink="">
          <xdr:nvSpPr>
            <xdr:cNvPr id="7170" name="Case à cocher 2"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5</xdr:row>
          <xdr:rowOff>19050</xdr:rowOff>
        </xdr:from>
        <xdr:to>
          <xdr:col>1</xdr:col>
          <xdr:colOff>342900</xdr:colOff>
          <xdr:row>6</xdr:row>
          <xdr:rowOff>19050</xdr:rowOff>
        </xdr:to>
        <xdr:sp macro="" textlink="">
          <xdr:nvSpPr>
            <xdr:cNvPr id="7171" name="Case à cocher 4"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7</xdr:row>
          <xdr:rowOff>9525</xdr:rowOff>
        </xdr:from>
        <xdr:to>
          <xdr:col>1</xdr:col>
          <xdr:colOff>342900</xdr:colOff>
          <xdr:row>8</xdr:row>
          <xdr:rowOff>9525</xdr:rowOff>
        </xdr:to>
        <xdr:sp macro="" textlink="">
          <xdr:nvSpPr>
            <xdr:cNvPr id="7172" name="Case à cocher 5"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6</xdr:row>
          <xdr:rowOff>19050</xdr:rowOff>
        </xdr:from>
        <xdr:to>
          <xdr:col>1</xdr:col>
          <xdr:colOff>342900</xdr:colOff>
          <xdr:row>7</xdr:row>
          <xdr:rowOff>19050</xdr:rowOff>
        </xdr:to>
        <xdr:sp macro="" textlink="">
          <xdr:nvSpPr>
            <xdr:cNvPr id="7173" name="Case à cocher 6" hidden="1">
              <a:extLst>
                <a:ext uri="{63B3BB69-23CF-44E3-9099-C40C66FF867C}">
                  <a14:compatExt spid="_x0000_s7173"/>
                </a:ext>
                <a:ext uri="{FF2B5EF4-FFF2-40B4-BE49-F238E27FC236}">
                  <a16:creationId xmlns:a16="http://schemas.microsoft.com/office/drawing/2014/main" id="{00000000-0008-0000-05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8</xdr:row>
          <xdr:rowOff>19050</xdr:rowOff>
        </xdr:from>
        <xdr:to>
          <xdr:col>1</xdr:col>
          <xdr:colOff>342900</xdr:colOff>
          <xdr:row>9</xdr:row>
          <xdr:rowOff>19050</xdr:rowOff>
        </xdr:to>
        <xdr:sp macro="" textlink="">
          <xdr:nvSpPr>
            <xdr:cNvPr id="7174" name="Case à cocher 7" hidden="1">
              <a:extLst>
                <a:ext uri="{63B3BB69-23CF-44E3-9099-C40C66FF867C}">
                  <a14:compatExt spid="_x0000_s7174"/>
                </a:ext>
                <a:ext uri="{FF2B5EF4-FFF2-40B4-BE49-F238E27FC236}">
                  <a16:creationId xmlns:a16="http://schemas.microsoft.com/office/drawing/2014/main" id="{00000000-0008-0000-05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9</xdr:row>
          <xdr:rowOff>9525</xdr:rowOff>
        </xdr:from>
        <xdr:to>
          <xdr:col>1</xdr:col>
          <xdr:colOff>342900</xdr:colOff>
          <xdr:row>10</xdr:row>
          <xdr:rowOff>9525</xdr:rowOff>
        </xdr:to>
        <xdr:sp macro="" textlink="">
          <xdr:nvSpPr>
            <xdr:cNvPr id="7175" name="Case à cocher 8" hidden="1">
              <a:extLst>
                <a:ext uri="{63B3BB69-23CF-44E3-9099-C40C66FF867C}">
                  <a14:compatExt spid="_x0000_s7175"/>
                </a:ext>
                <a:ext uri="{FF2B5EF4-FFF2-40B4-BE49-F238E27FC236}">
                  <a16:creationId xmlns:a16="http://schemas.microsoft.com/office/drawing/2014/main" id="{00000000-0008-0000-05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10</xdr:row>
          <xdr:rowOff>9525</xdr:rowOff>
        </xdr:from>
        <xdr:to>
          <xdr:col>1</xdr:col>
          <xdr:colOff>342900</xdr:colOff>
          <xdr:row>11</xdr:row>
          <xdr:rowOff>9525</xdr:rowOff>
        </xdr:to>
        <xdr:sp macro="" textlink="">
          <xdr:nvSpPr>
            <xdr:cNvPr id="7176" name="Case à cocher 9" hidden="1">
              <a:extLst>
                <a:ext uri="{63B3BB69-23CF-44E3-9099-C40C66FF867C}">
                  <a14:compatExt spid="_x0000_s7176"/>
                </a:ext>
                <a:ext uri="{FF2B5EF4-FFF2-40B4-BE49-F238E27FC236}">
                  <a16:creationId xmlns:a16="http://schemas.microsoft.com/office/drawing/2014/main" id="{00000000-0008-0000-05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10</xdr:row>
          <xdr:rowOff>171450</xdr:rowOff>
        </xdr:from>
        <xdr:to>
          <xdr:col>1</xdr:col>
          <xdr:colOff>342900</xdr:colOff>
          <xdr:row>11</xdr:row>
          <xdr:rowOff>171450</xdr:rowOff>
        </xdr:to>
        <xdr:sp macro="" textlink="">
          <xdr:nvSpPr>
            <xdr:cNvPr id="7177" name="Case à cocher 10" hidden="1">
              <a:extLst>
                <a:ext uri="{63B3BB69-23CF-44E3-9099-C40C66FF867C}">
                  <a14:compatExt spid="_x0000_s7177"/>
                </a:ext>
                <a:ext uri="{FF2B5EF4-FFF2-40B4-BE49-F238E27FC236}">
                  <a16:creationId xmlns:a16="http://schemas.microsoft.com/office/drawing/2014/main" id="{00000000-0008-0000-05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11</xdr:row>
          <xdr:rowOff>171450</xdr:rowOff>
        </xdr:from>
        <xdr:to>
          <xdr:col>1</xdr:col>
          <xdr:colOff>342900</xdr:colOff>
          <xdr:row>12</xdr:row>
          <xdr:rowOff>171450</xdr:rowOff>
        </xdr:to>
        <xdr:sp macro="" textlink="">
          <xdr:nvSpPr>
            <xdr:cNvPr id="7178" name="Case à cocher 11"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12</xdr:row>
          <xdr:rowOff>171450</xdr:rowOff>
        </xdr:from>
        <xdr:to>
          <xdr:col>1</xdr:col>
          <xdr:colOff>342900</xdr:colOff>
          <xdr:row>13</xdr:row>
          <xdr:rowOff>171450</xdr:rowOff>
        </xdr:to>
        <xdr:sp macro="" textlink="">
          <xdr:nvSpPr>
            <xdr:cNvPr id="7179" name="Check Box 11"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530679</xdr:colOff>
      <xdr:row>0</xdr:row>
      <xdr:rowOff>69396</xdr:rowOff>
    </xdr:from>
    <xdr:to>
      <xdr:col>18</xdr:col>
      <xdr:colOff>449036</xdr:colOff>
      <xdr:row>13</xdr:row>
      <xdr:rowOff>122464</xdr:rowOff>
    </xdr:to>
    <xdr:graphicFrame macro="">
      <xdr:nvGraphicFramePr>
        <xdr:cNvPr id="13" name="Chart 1">
          <a:extLst>
            <a:ext uri="{FF2B5EF4-FFF2-40B4-BE49-F238E27FC236}">
              <a16:creationId xmlns:a16="http://schemas.microsoft.com/office/drawing/2014/main" id="{00000000-0008-0000-0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161925</xdr:colOff>
          <xdr:row>13</xdr:row>
          <xdr:rowOff>180975</xdr:rowOff>
        </xdr:from>
        <xdr:to>
          <xdr:col>1</xdr:col>
          <xdr:colOff>342900</xdr:colOff>
          <xdr:row>15</xdr:row>
          <xdr:rowOff>0</xdr:rowOff>
        </xdr:to>
        <xdr:sp macro="" textlink="">
          <xdr:nvSpPr>
            <xdr:cNvPr id="7180" name="Check Box 13"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180975</xdr:rowOff>
        </xdr:from>
        <xdr:to>
          <xdr:col>1</xdr:col>
          <xdr:colOff>342900</xdr:colOff>
          <xdr:row>16</xdr:row>
          <xdr:rowOff>0</xdr:rowOff>
        </xdr:to>
        <xdr:sp macro="" textlink="">
          <xdr:nvSpPr>
            <xdr:cNvPr id="7181" name="Check Box 14" hidden="1">
              <a:extLst>
                <a:ext uri="{63B3BB69-23CF-44E3-9099-C40C66FF867C}">
                  <a14:compatExt spid="_x0000_s7181"/>
                </a:ext>
                <a:ext uri="{FF2B5EF4-FFF2-40B4-BE49-F238E27FC236}">
                  <a16:creationId xmlns:a16="http://schemas.microsoft.com/office/drawing/2014/main" id="{00000000-0008-0000-0500-00000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0</xdr:rowOff>
        </xdr:from>
        <xdr:to>
          <xdr:col>1</xdr:col>
          <xdr:colOff>342900</xdr:colOff>
          <xdr:row>17</xdr:row>
          <xdr:rowOff>0</xdr:rowOff>
        </xdr:to>
        <xdr:sp macro="" textlink="">
          <xdr:nvSpPr>
            <xdr:cNvPr id="7182" name="Check Box 15" hidden="1">
              <a:extLst>
                <a:ext uri="{63B3BB69-23CF-44E3-9099-C40C66FF867C}">
                  <a14:compatExt spid="_x0000_s7182"/>
                </a:ext>
                <a:ext uri="{FF2B5EF4-FFF2-40B4-BE49-F238E27FC236}">
                  <a16:creationId xmlns:a16="http://schemas.microsoft.com/office/drawing/2014/main" id="{00000000-0008-0000-0500-00000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180975</xdr:rowOff>
        </xdr:from>
        <xdr:to>
          <xdr:col>1</xdr:col>
          <xdr:colOff>342900</xdr:colOff>
          <xdr:row>18</xdr:row>
          <xdr:rowOff>0</xdr:rowOff>
        </xdr:to>
        <xdr:sp macro="" textlink="">
          <xdr:nvSpPr>
            <xdr:cNvPr id="7183" name="Check Box 16" hidden="1">
              <a:extLst>
                <a:ext uri="{63B3BB69-23CF-44E3-9099-C40C66FF867C}">
                  <a14:compatExt spid="_x0000_s7183"/>
                </a:ext>
                <a:ext uri="{FF2B5EF4-FFF2-40B4-BE49-F238E27FC236}">
                  <a16:creationId xmlns:a16="http://schemas.microsoft.com/office/drawing/2014/main" id="{00000000-0008-0000-0500-00000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180975</xdr:rowOff>
        </xdr:from>
        <xdr:to>
          <xdr:col>1</xdr:col>
          <xdr:colOff>342900</xdr:colOff>
          <xdr:row>19</xdr:row>
          <xdr:rowOff>0</xdr:rowOff>
        </xdr:to>
        <xdr:sp macro="" textlink="">
          <xdr:nvSpPr>
            <xdr:cNvPr id="7184" name="Check Box 17" hidden="1">
              <a:extLst>
                <a:ext uri="{63B3BB69-23CF-44E3-9099-C40C66FF867C}">
                  <a14:compatExt spid="_x0000_s7184"/>
                </a:ext>
                <a:ext uri="{FF2B5EF4-FFF2-40B4-BE49-F238E27FC236}">
                  <a16:creationId xmlns:a16="http://schemas.microsoft.com/office/drawing/2014/main" id="{00000000-0008-0000-0500-00001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0</xdr:rowOff>
        </xdr:from>
        <xdr:to>
          <xdr:col>1</xdr:col>
          <xdr:colOff>342900</xdr:colOff>
          <xdr:row>20</xdr:row>
          <xdr:rowOff>0</xdr:rowOff>
        </xdr:to>
        <xdr:sp macro="" textlink="">
          <xdr:nvSpPr>
            <xdr:cNvPr id="7185" name="Check Box 18" hidden="1">
              <a:extLst>
                <a:ext uri="{63B3BB69-23CF-44E3-9099-C40C66FF867C}">
                  <a14:compatExt spid="_x0000_s7185"/>
                </a:ext>
                <a:ext uri="{FF2B5EF4-FFF2-40B4-BE49-F238E27FC236}">
                  <a16:creationId xmlns:a16="http://schemas.microsoft.com/office/drawing/2014/main" id="{00000000-0008-0000-0500-00001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0</xdr:rowOff>
        </xdr:from>
        <xdr:to>
          <xdr:col>1</xdr:col>
          <xdr:colOff>342900</xdr:colOff>
          <xdr:row>21</xdr:row>
          <xdr:rowOff>0</xdr:rowOff>
        </xdr:to>
        <xdr:sp macro="" textlink="">
          <xdr:nvSpPr>
            <xdr:cNvPr id="7186" name="Check Box 19" hidden="1">
              <a:extLst>
                <a:ext uri="{63B3BB69-23CF-44E3-9099-C40C66FF867C}">
                  <a14:compatExt spid="_x0000_s7186"/>
                </a:ext>
                <a:ext uri="{FF2B5EF4-FFF2-40B4-BE49-F238E27FC236}">
                  <a16:creationId xmlns:a16="http://schemas.microsoft.com/office/drawing/2014/main" id="{00000000-0008-0000-0500-00001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13</xdr:row>
      <xdr:rowOff>152397</xdr:rowOff>
    </xdr:from>
    <xdr:to>
      <xdr:col>18</xdr:col>
      <xdr:colOff>435427</xdr:colOff>
      <xdr:row>29</xdr:row>
      <xdr:rowOff>68035</xdr:rowOff>
    </xdr:to>
    <xdr:graphicFrame macro="">
      <xdr:nvGraphicFramePr>
        <xdr:cNvPr id="21" name="Chart 20">
          <a:extLst>
            <a:ext uri="{FF2B5EF4-FFF2-40B4-BE49-F238E27FC236}">
              <a16:creationId xmlns:a16="http://schemas.microsoft.com/office/drawing/2014/main" id="{00000000-0008-0000-05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161925</xdr:colOff>
          <xdr:row>21</xdr:row>
          <xdr:rowOff>9525</xdr:rowOff>
        </xdr:from>
        <xdr:to>
          <xdr:col>1</xdr:col>
          <xdr:colOff>342900</xdr:colOff>
          <xdr:row>22</xdr:row>
          <xdr:rowOff>9525</xdr:rowOff>
        </xdr:to>
        <xdr:sp macro="" textlink="">
          <xdr:nvSpPr>
            <xdr:cNvPr id="7187" name="Check Box 20" hidden="1">
              <a:extLst>
                <a:ext uri="{63B3BB69-23CF-44E3-9099-C40C66FF867C}">
                  <a14:compatExt spid="_x0000_s7187"/>
                </a:ext>
                <a:ext uri="{FF2B5EF4-FFF2-40B4-BE49-F238E27FC236}">
                  <a16:creationId xmlns:a16="http://schemas.microsoft.com/office/drawing/2014/main" id="{00000000-0008-0000-0500-00001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9525</xdr:rowOff>
        </xdr:from>
        <xdr:to>
          <xdr:col>1</xdr:col>
          <xdr:colOff>342900</xdr:colOff>
          <xdr:row>23</xdr:row>
          <xdr:rowOff>9525</xdr:rowOff>
        </xdr:to>
        <xdr:sp macro="" textlink="">
          <xdr:nvSpPr>
            <xdr:cNvPr id="7188" name="Check Box 21" hidden="1">
              <a:extLst>
                <a:ext uri="{63B3BB69-23CF-44E3-9099-C40C66FF867C}">
                  <a14:compatExt spid="_x0000_s7188"/>
                </a:ext>
                <a:ext uri="{FF2B5EF4-FFF2-40B4-BE49-F238E27FC236}">
                  <a16:creationId xmlns:a16="http://schemas.microsoft.com/office/drawing/2014/main" id="{00000000-0008-0000-0500-00001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180975</xdr:rowOff>
        </xdr:from>
        <xdr:to>
          <xdr:col>1</xdr:col>
          <xdr:colOff>342900</xdr:colOff>
          <xdr:row>23</xdr:row>
          <xdr:rowOff>180975</xdr:rowOff>
        </xdr:to>
        <xdr:sp macro="" textlink="">
          <xdr:nvSpPr>
            <xdr:cNvPr id="7189" name="Check Box 21" hidden="1">
              <a:extLst>
                <a:ext uri="{63B3BB69-23CF-44E3-9099-C40C66FF867C}">
                  <a14:compatExt spid="_x0000_s7189"/>
                </a:ext>
                <a:ext uri="{FF2B5EF4-FFF2-40B4-BE49-F238E27FC236}">
                  <a16:creationId xmlns:a16="http://schemas.microsoft.com/office/drawing/2014/main" id="{00000000-0008-0000-0500-00001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0</xdr:rowOff>
        </xdr:from>
        <xdr:to>
          <xdr:col>1</xdr:col>
          <xdr:colOff>342900</xdr:colOff>
          <xdr:row>25</xdr:row>
          <xdr:rowOff>0</xdr:rowOff>
        </xdr:to>
        <xdr:sp macro="" textlink="">
          <xdr:nvSpPr>
            <xdr:cNvPr id="7190" name="Check Box 22" hidden="1">
              <a:extLst>
                <a:ext uri="{63B3BB69-23CF-44E3-9099-C40C66FF867C}">
                  <a14:compatExt spid="_x0000_s7190"/>
                </a:ext>
                <a:ext uri="{FF2B5EF4-FFF2-40B4-BE49-F238E27FC236}">
                  <a16:creationId xmlns:a16="http://schemas.microsoft.com/office/drawing/2014/main" id="{00000000-0008-0000-0500-00001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171450</xdr:rowOff>
        </xdr:from>
        <xdr:to>
          <xdr:col>1</xdr:col>
          <xdr:colOff>342900</xdr:colOff>
          <xdr:row>26</xdr:row>
          <xdr:rowOff>171450</xdr:rowOff>
        </xdr:to>
        <xdr:sp macro="" textlink="">
          <xdr:nvSpPr>
            <xdr:cNvPr id="7191" name="Check Box 23" hidden="1">
              <a:extLst>
                <a:ext uri="{63B3BB69-23CF-44E3-9099-C40C66FF867C}">
                  <a14:compatExt spid="_x0000_s7191"/>
                </a:ext>
                <a:ext uri="{FF2B5EF4-FFF2-40B4-BE49-F238E27FC236}">
                  <a16:creationId xmlns:a16="http://schemas.microsoft.com/office/drawing/2014/main" id="{00000000-0008-0000-0500-00001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180975</xdr:rowOff>
        </xdr:from>
        <xdr:to>
          <xdr:col>1</xdr:col>
          <xdr:colOff>342900</xdr:colOff>
          <xdr:row>27</xdr:row>
          <xdr:rowOff>180975</xdr:rowOff>
        </xdr:to>
        <xdr:sp macro="" textlink="">
          <xdr:nvSpPr>
            <xdr:cNvPr id="7192" name="Check Box 24" hidden="1">
              <a:extLst>
                <a:ext uri="{63B3BB69-23CF-44E3-9099-C40C66FF867C}">
                  <a14:compatExt spid="_x0000_s7192"/>
                </a:ext>
                <a:ext uri="{FF2B5EF4-FFF2-40B4-BE49-F238E27FC236}">
                  <a16:creationId xmlns:a16="http://schemas.microsoft.com/office/drawing/2014/main" id="{00000000-0008-0000-0500-00001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28</xdr:row>
          <xdr:rowOff>9525</xdr:rowOff>
        </xdr:from>
        <xdr:to>
          <xdr:col>1</xdr:col>
          <xdr:colOff>342900</xdr:colOff>
          <xdr:row>29</xdr:row>
          <xdr:rowOff>9525</xdr:rowOff>
        </xdr:to>
        <xdr:sp macro="" textlink="">
          <xdr:nvSpPr>
            <xdr:cNvPr id="7193" name="Check Box 25" hidden="1">
              <a:extLst>
                <a:ext uri="{63B3BB69-23CF-44E3-9099-C40C66FF867C}">
                  <a14:compatExt spid="_x0000_s7193"/>
                </a:ext>
                <a:ext uri="{FF2B5EF4-FFF2-40B4-BE49-F238E27FC236}">
                  <a16:creationId xmlns:a16="http://schemas.microsoft.com/office/drawing/2014/main" id="{00000000-0008-0000-0500-00001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29</xdr:row>
          <xdr:rowOff>0</xdr:rowOff>
        </xdr:from>
        <xdr:to>
          <xdr:col>1</xdr:col>
          <xdr:colOff>342900</xdr:colOff>
          <xdr:row>30</xdr:row>
          <xdr:rowOff>0</xdr:rowOff>
        </xdr:to>
        <xdr:sp macro="" textlink="">
          <xdr:nvSpPr>
            <xdr:cNvPr id="7194" name="Check Box 26" hidden="1">
              <a:extLst>
                <a:ext uri="{63B3BB69-23CF-44E3-9099-C40C66FF867C}">
                  <a14:compatExt spid="_x0000_s7194"/>
                </a:ext>
                <a:ext uri="{FF2B5EF4-FFF2-40B4-BE49-F238E27FC236}">
                  <a16:creationId xmlns:a16="http://schemas.microsoft.com/office/drawing/2014/main" id="{00000000-0008-0000-0500-00001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19050</xdr:rowOff>
        </xdr:from>
        <xdr:to>
          <xdr:col>1</xdr:col>
          <xdr:colOff>342900</xdr:colOff>
          <xdr:row>4</xdr:row>
          <xdr:rowOff>19050</xdr:rowOff>
        </xdr:to>
        <xdr:sp macro="" textlink="">
          <xdr:nvSpPr>
            <xdr:cNvPr id="9217" name="Case à cocher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4</xdr:row>
          <xdr:rowOff>9525</xdr:rowOff>
        </xdr:from>
        <xdr:to>
          <xdr:col>1</xdr:col>
          <xdr:colOff>342900</xdr:colOff>
          <xdr:row>5</xdr:row>
          <xdr:rowOff>9525</xdr:rowOff>
        </xdr:to>
        <xdr:sp macro="" textlink="">
          <xdr:nvSpPr>
            <xdr:cNvPr id="9218" name="Case à cocher 2"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5</xdr:row>
          <xdr:rowOff>19050</xdr:rowOff>
        </xdr:from>
        <xdr:to>
          <xdr:col>1</xdr:col>
          <xdr:colOff>342900</xdr:colOff>
          <xdr:row>6</xdr:row>
          <xdr:rowOff>19050</xdr:rowOff>
        </xdr:to>
        <xdr:sp macro="" textlink="">
          <xdr:nvSpPr>
            <xdr:cNvPr id="9219" name="Case à cocher 4"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7</xdr:row>
          <xdr:rowOff>9525</xdr:rowOff>
        </xdr:from>
        <xdr:to>
          <xdr:col>1</xdr:col>
          <xdr:colOff>342900</xdr:colOff>
          <xdr:row>8</xdr:row>
          <xdr:rowOff>9525</xdr:rowOff>
        </xdr:to>
        <xdr:sp macro="" textlink="">
          <xdr:nvSpPr>
            <xdr:cNvPr id="9220" name="Case à cocher 5" hidden="1">
              <a:extLst>
                <a:ext uri="{63B3BB69-23CF-44E3-9099-C40C66FF867C}">
                  <a14:compatExt spid="_x0000_s9220"/>
                </a:ext>
                <a:ext uri="{FF2B5EF4-FFF2-40B4-BE49-F238E27FC236}">
                  <a16:creationId xmlns:a16="http://schemas.microsoft.com/office/drawing/2014/main" id="{00000000-0008-0000-06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6</xdr:row>
          <xdr:rowOff>19050</xdr:rowOff>
        </xdr:from>
        <xdr:to>
          <xdr:col>1</xdr:col>
          <xdr:colOff>342900</xdr:colOff>
          <xdr:row>7</xdr:row>
          <xdr:rowOff>19050</xdr:rowOff>
        </xdr:to>
        <xdr:sp macro="" textlink="">
          <xdr:nvSpPr>
            <xdr:cNvPr id="9221" name="Case à cocher 6" hidden="1">
              <a:extLst>
                <a:ext uri="{63B3BB69-23CF-44E3-9099-C40C66FF867C}">
                  <a14:compatExt spid="_x0000_s9221"/>
                </a:ext>
                <a:ext uri="{FF2B5EF4-FFF2-40B4-BE49-F238E27FC236}">
                  <a16:creationId xmlns:a16="http://schemas.microsoft.com/office/drawing/2014/main" id="{00000000-0008-0000-0600-00000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8</xdr:row>
          <xdr:rowOff>19050</xdr:rowOff>
        </xdr:from>
        <xdr:to>
          <xdr:col>1</xdr:col>
          <xdr:colOff>342900</xdr:colOff>
          <xdr:row>9</xdr:row>
          <xdr:rowOff>19050</xdr:rowOff>
        </xdr:to>
        <xdr:sp macro="" textlink="">
          <xdr:nvSpPr>
            <xdr:cNvPr id="9222" name="Case à cocher 7" hidden="1">
              <a:extLst>
                <a:ext uri="{63B3BB69-23CF-44E3-9099-C40C66FF867C}">
                  <a14:compatExt spid="_x0000_s9222"/>
                </a:ext>
                <a:ext uri="{FF2B5EF4-FFF2-40B4-BE49-F238E27FC236}">
                  <a16:creationId xmlns:a16="http://schemas.microsoft.com/office/drawing/2014/main" id="{00000000-0008-0000-0600-00000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9</xdr:row>
          <xdr:rowOff>9525</xdr:rowOff>
        </xdr:from>
        <xdr:to>
          <xdr:col>1</xdr:col>
          <xdr:colOff>342900</xdr:colOff>
          <xdr:row>10</xdr:row>
          <xdr:rowOff>9525</xdr:rowOff>
        </xdr:to>
        <xdr:sp macro="" textlink="">
          <xdr:nvSpPr>
            <xdr:cNvPr id="9223" name="Case à cocher 8" hidden="1">
              <a:extLst>
                <a:ext uri="{63B3BB69-23CF-44E3-9099-C40C66FF867C}">
                  <a14:compatExt spid="_x0000_s9223"/>
                </a:ext>
                <a:ext uri="{FF2B5EF4-FFF2-40B4-BE49-F238E27FC236}">
                  <a16:creationId xmlns:a16="http://schemas.microsoft.com/office/drawing/2014/main" id="{00000000-0008-0000-0600-00000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10</xdr:row>
          <xdr:rowOff>9525</xdr:rowOff>
        </xdr:from>
        <xdr:to>
          <xdr:col>1</xdr:col>
          <xdr:colOff>342900</xdr:colOff>
          <xdr:row>11</xdr:row>
          <xdr:rowOff>9525</xdr:rowOff>
        </xdr:to>
        <xdr:sp macro="" textlink="">
          <xdr:nvSpPr>
            <xdr:cNvPr id="9224" name="Case à cocher 9" hidden="1">
              <a:extLst>
                <a:ext uri="{63B3BB69-23CF-44E3-9099-C40C66FF867C}">
                  <a14:compatExt spid="_x0000_s9224"/>
                </a:ext>
                <a:ext uri="{FF2B5EF4-FFF2-40B4-BE49-F238E27FC236}">
                  <a16:creationId xmlns:a16="http://schemas.microsoft.com/office/drawing/2014/main" id="{00000000-0008-0000-0600-00000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10</xdr:row>
          <xdr:rowOff>171450</xdr:rowOff>
        </xdr:from>
        <xdr:to>
          <xdr:col>1</xdr:col>
          <xdr:colOff>342900</xdr:colOff>
          <xdr:row>11</xdr:row>
          <xdr:rowOff>171450</xdr:rowOff>
        </xdr:to>
        <xdr:sp macro="" textlink="">
          <xdr:nvSpPr>
            <xdr:cNvPr id="9225" name="Case à cocher 10" hidden="1">
              <a:extLst>
                <a:ext uri="{63B3BB69-23CF-44E3-9099-C40C66FF867C}">
                  <a14:compatExt spid="_x0000_s9225"/>
                </a:ext>
                <a:ext uri="{FF2B5EF4-FFF2-40B4-BE49-F238E27FC236}">
                  <a16:creationId xmlns:a16="http://schemas.microsoft.com/office/drawing/2014/main" id="{00000000-0008-0000-0600-00000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11</xdr:row>
          <xdr:rowOff>171450</xdr:rowOff>
        </xdr:from>
        <xdr:to>
          <xdr:col>1</xdr:col>
          <xdr:colOff>342900</xdr:colOff>
          <xdr:row>12</xdr:row>
          <xdr:rowOff>171450</xdr:rowOff>
        </xdr:to>
        <xdr:sp macro="" textlink="">
          <xdr:nvSpPr>
            <xdr:cNvPr id="9226" name="Case à cocher 11" hidden="1">
              <a:extLst>
                <a:ext uri="{63B3BB69-23CF-44E3-9099-C40C66FF867C}">
                  <a14:compatExt spid="_x0000_s9226"/>
                </a:ext>
                <a:ext uri="{FF2B5EF4-FFF2-40B4-BE49-F238E27FC236}">
                  <a16:creationId xmlns:a16="http://schemas.microsoft.com/office/drawing/2014/main" id="{00000000-0008-0000-0600-00000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12</xdr:row>
          <xdr:rowOff>171450</xdr:rowOff>
        </xdr:from>
        <xdr:to>
          <xdr:col>1</xdr:col>
          <xdr:colOff>342900</xdr:colOff>
          <xdr:row>13</xdr:row>
          <xdr:rowOff>171450</xdr:rowOff>
        </xdr:to>
        <xdr:sp macro="" textlink="">
          <xdr:nvSpPr>
            <xdr:cNvPr id="9227" name="Check Box 11" hidden="1">
              <a:extLst>
                <a:ext uri="{63B3BB69-23CF-44E3-9099-C40C66FF867C}">
                  <a14:compatExt spid="_x0000_s9227"/>
                </a:ext>
                <a:ext uri="{FF2B5EF4-FFF2-40B4-BE49-F238E27FC236}">
                  <a16:creationId xmlns:a16="http://schemas.microsoft.com/office/drawing/2014/main" id="{00000000-0008-0000-0600-00000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530679</xdr:colOff>
      <xdr:row>0</xdr:row>
      <xdr:rowOff>69396</xdr:rowOff>
    </xdr:from>
    <xdr:to>
      <xdr:col>18</xdr:col>
      <xdr:colOff>449036</xdr:colOff>
      <xdr:row>13</xdr:row>
      <xdr:rowOff>122464</xdr:rowOff>
    </xdr:to>
    <xdr:graphicFrame macro="">
      <xdr:nvGraphicFramePr>
        <xdr:cNvPr id="13" name="Chart 1">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161925</xdr:colOff>
          <xdr:row>13</xdr:row>
          <xdr:rowOff>180975</xdr:rowOff>
        </xdr:from>
        <xdr:to>
          <xdr:col>1</xdr:col>
          <xdr:colOff>342900</xdr:colOff>
          <xdr:row>15</xdr:row>
          <xdr:rowOff>0</xdr:rowOff>
        </xdr:to>
        <xdr:sp macro="" textlink="">
          <xdr:nvSpPr>
            <xdr:cNvPr id="9228" name="Check Box 13" hidden="1">
              <a:extLst>
                <a:ext uri="{63B3BB69-23CF-44E3-9099-C40C66FF867C}">
                  <a14:compatExt spid="_x0000_s9228"/>
                </a:ext>
                <a:ext uri="{FF2B5EF4-FFF2-40B4-BE49-F238E27FC236}">
                  <a16:creationId xmlns:a16="http://schemas.microsoft.com/office/drawing/2014/main" id="{00000000-0008-0000-0600-00000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180975</xdr:rowOff>
        </xdr:from>
        <xdr:to>
          <xdr:col>1</xdr:col>
          <xdr:colOff>342900</xdr:colOff>
          <xdr:row>16</xdr:row>
          <xdr:rowOff>0</xdr:rowOff>
        </xdr:to>
        <xdr:sp macro="" textlink="">
          <xdr:nvSpPr>
            <xdr:cNvPr id="9229" name="Check Box 14" hidden="1">
              <a:extLst>
                <a:ext uri="{63B3BB69-23CF-44E3-9099-C40C66FF867C}">
                  <a14:compatExt spid="_x0000_s9229"/>
                </a:ext>
                <a:ext uri="{FF2B5EF4-FFF2-40B4-BE49-F238E27FC236}">
                  <a16:creationId xmlns:a16="http://schemas.microsoft.com/office/drawing/2014/main" id="{00000000-0008-0000-0600-00000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0</xdr:rowOff>
        </xdr:from>
        <xdr:to>
          <xdr:col>1</xdr:col>
          <xdr:colOff>342900</xdr:colOff>
          <xdr:row>17</xdr:row>
          <xdr:rowOff>0</xdr:rowOff>
        </xdr:to>
        <xdr:sp macro="" textlink="">
          <xdr:nvSpPr>
            <xdr:cNvPr id="9230" name="Check Box 15" hidden="1">
              <a:extLst>
                <a:ext uri="{63B3BB69-23CF-44E3-9099-C40C66FF867C}">
                  <a14:compatExt spid="_x0000_s9230"/>
                </a:ext>
                <a:ext uri="{FF2B5EF4-FFF2-40B4-BE49-F238E27FC236}">
                  <a16:creationId xmlns:a16="http://schemas.microsoft.com/office/drawing/2014/main" id="{00000000-0008-0000-0600-00000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180975</xdr:rowOff>
        </xdr:from>
        <xdr:to>
          <xdr:col>1</xdr:col>
          <xdr:colOff>342900</xdr:colOff>
          <xdr:row>18</xdr:row>
          <xdr:rowOff>0</xdr:rowOff>
        </xdr:to>
        <xdr:sp macro="" textlink="">
          <xdr:nvSpPr>
            <xdr:cNvPr id="9231" name="Check Box 16" hidden="1">
              <a:extLst>
                <a:ext uri="{63B3BB69-23CF-44E3-9099-C40C66FF867C}">
                  <a14:compatExt spid="_x0000_s9231"/>
                </a:ext>
                <a:ext uri="{FF2B5EF4-FFF2-40B4-BE49-F238E27FC236}">
                  <a16:creationId xmlns:a16="http://schemas.microsoft.com/office/drawing/2014/main" id="{00000000-0008-0000-0600-00000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180975</xdr:rowOff>
        </xdr:from>
        <xdr:to>
          <xdr:col>1</xdr:col>
          <xdr:colOff>342900</xdr:colOff>
          <xdr:row>19</xdr:row>
          <xdr:rowOff>0</xdr:rowOff>
        </xdr:to>
        <xdr:sp macro="" textlink="">
          <xdr:nvSpPr>
            <xdr:cNvPr id="9232" name="Check Box 17" hidden="1">
              <a:extLst>
                <a:ext uri="{63B3BB69-23CF-44E3-9099-C40C66FF867C}">
                  <a14:compatExt spid="_x0000_s9232"/>
                </a:ext>
                <a:ext uri="{FF2B5EF4-FFF2-40B4-BE49-F238E27FC236}">
                  <a16:creationId xmlns:a16="http://schemas.microsoft.com/office/drawing/2014/main" id="{00000000-0008-0000-0600-00001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0</xdr:rowOff>
        </xdr:from>
        <xdr:to>
          <xdr:col>1</xdr:col>
          <xdr:colOff>342900</xdr:colOff>
          <xdr:row>20</xdr:row>
          <xdr:rowOff>0</xdr:rowOff>
        </xdr:to>
        <xdr:sp macro="" textlink="">
          <xdr:nvSpPr>
            <xdr:cNvPr id="9233" name="Check Box 18" hidden="1">
              <a:extLst>
                <a:ext uri="{63B3BB69-23CF-44E3-9099-C40C66FF867C}">
                  <a14:compatExt spid="_x0000_s9233"/>
                </a:ext>
                <a:ext uri="{FF2B5EF4-FFF2-40B4-BE49-F238E27FC236}">
                  <a16:creationId xmlns:a16="http://schemas.microsoft.com/office/drawing/2014/main" id="{00000000-0008-0000-0600-00001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0</xdr:rowOff>
        </xdr:from>
        <xdr:to>
          <xdr:col>1</xdr:col>
          <xdr:colOff>342900</xdr:colOff>
          <xdr:row>21</xdr:row>
          <xdr:rowOff>0</xdr:rowOff>
        </xdr:to>
        <xdr:sp macro="" textlink="">
          <xdr:nvSpPr>
            <xdr:cNvPr id="9234" name="Check Box 19" hidden="1">
              <a:extLst>
                <a:ext uri="{63B3BB69-23CF-44E3-9099-C40C66FF867C}">
                  <a14:compatExt spid="_x0000_s9234"/>
                </a:ext>
                <a:ext uri="{FF2B5EF4-FFF2-40B4-BE49-F238E27FC236}">
                  <a16:creationId xmlns:a16="http://schemas.microsoft.com/office/drawing/2014/main" id="{00000000-0008-0000-0600-00001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13</xdr:row>
      <xdr:rowOff>152397</xdr:rowOff>
    </xdr:from>
    <xdr:to>
      <xdr:col>18</xdr:col>
      <xdr:colOff>435427</xdr:colOff>
      <xdr:row>29</xdr:row>
      <xdr:rowOff>68035</xdr:rowOff>
    </xdr:to>
    <xdr:graphicFrame macro="">
      <xdr:nvGraphicFramePr>
        <xdr:cNvPr id="21" name="Chart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161925</xdr:colOff>
          <xdr:row>21</xdr:row>
          <xdr:rowOff>9525</xdr:rowOff>
        </xdr:from>
        <xdr:to>
          <xdr:col>1</xdr:col>
          <xdr:colOff>342900</xdr:colOff>
          <xdr:row>22</xdr:row>
          <xdr:rowOff>9525</xdr:rowOff>
        </xdr:to>
        <xdr:sp macro="" textlink="">
          <xdr:nvSpPr>
            <xdr:cNvPr id="9235" name="Check Box 20" hidden="1">
              <a:extLst>
                <a:ext uri="{63B3BB69-23CF-44E3-9099-C40C66FF867C}">
                  <a14:compatExt spid="_x0000_s9235"/>
                </a:ext>
                <a:ext uri="{FF2B5EF4-FFF2-40B4-BE49-F238E27FC236}">
                  <a16:creationId xmlns:a16="http://schemas.microsoft.com/office/drawing/2014/main" id="{00000000-0008-0000-0600-00001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9525</xdr:rowOff>
        </xdr:from>
        <xdr:to>
          <xdr:col>1</xdr:col>
          <xdr:colOff>342900</xdr:colOff>
          <xdr:row>23</xdr:row>
          <xdr:rowOff>9525</xdr:rowOff>
        </xdr:to>
        <xdr:sp macro="" textlink="">
          <xdr:nvSpPr>
            <xdr:cNvPr id="9236" name="Check Box 21" hidden="1">
              <a:extLst>
                <a:ext uri="{63B3BB69-23CF-44E3-9099-C40C66FF867C}">
                  <a14:compatExt spid="_x0000_s9236"/>
                </a:ext>
                <a:ext uri="{FF2B5EF4-FFF2-40B4-BE49-F238E27FC236}">
                  <a16:creationId xmlns:a16="http://schemas.microsoft.com/office/drawing/2014/main" id="{00000000-0008-0000-0600-00001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180975</xdr:rowOff>
        </xdr:from>
        <xdr:to>
          <xdr:col>1</xdr:col>
          <xdr:colOff>342900</xdr:colOff>
          <xdr:row>23</xdr:row>
          <xdr:rowOff>180975</xdr:rowOff>
        </xdr:to>
        <xdr:sp macro="" textlink="">
          <xdr:nvSpPr>
            <xdr:cNvPr id="9237" name="Check Box 21" hidden="1">
              <a:extLst>
                <a:ext uri="{63B3BB69-23CF-44E3-9099-C40C66FF867C}">
                  <a14:compatExt spid="_x0000_s9237"/>
                </a:ext>
                <a:ext uri="{FF2B5EF4-FFF2-40B4-BE49-F238E27FC236}">
                  <a16:creationId xmlns:a16="http://schemas.microsoft.com/office/drawing/2014/main" id="{00000000-0008-0000-0600-00001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0</xdr:rowOff>
        </xdr:from>
        <xdr:to>
          <xdr:col>1</xdr:col>
          <xdr:colOff>342900</xdr:colOff>
          <xdr:row>25</xdr:row>
          <xdr:rowOff>0</xdr:rowOff>
        </xdr:to>
        <xdr:sp macro="" textlink="">
          <xdr:nvSpPr>
            <xdr:cNvPr id="9238" name="Check Box 22" hidden="1">
              <a:extLst>
                <a:ext uri="{63B3BB69-23CF-44E3-9099-C40C66FF867C}">
                  <a14:compatExt spid="_x0000_s9238"/>
                </a:ext>
                <a:ext uri="{FF2B5EF4-FFF2-40B4-BE49-F238E27FC236}">
                  <a16:creationId xmlns:a16="http://schemas.microsoft.com/office/drawing/2014/main" id="{00000000-0008-0000-0600-00001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171450</xdr:rowOff>
        </xdr:from>
        <xdr:to>
          <xdr:col>1</xdr:col>
          <xdr:colOff>342900</xdr:colOff>
          <xdr:row>26</xdr:row>
          <xdr:rowOff>171450</xdr:rowOff>
        </xdr:to>
        <xdr:sp macro="" textlink="">
          <xdr:nvSpPr>
            <xdr:cNvPr id="9239" name="Check Box 23" hidden="1">
              <a:extLst>
                <a:ext uri="{63B3BB69-23CF-44E3-9099-C40C66FF867C}">
                  <a14:compatExt spid="_x0000_s9239"/>
                </a:ext>
                <a:ext uri="{FF2B5EF4-FFF2-40B4-BE49-F238E27FC236}">
                  <a16:creationId xmlns:a16="http://schemas.microsoft.com/office/drawing/2014/main" id="{00000000-0008-0000-0600-00001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180975</xdr:rowOff>
        </xdr:from>
        <xdr:to>
          <xdr:col>1</xdr:col>
          <xdr:colOff>342900</xdr:colOff>
          <xdr:row>27</xdr:row>
          <xdr:rowOff>180975</xdr:rowOff>
        </xdr:to>
        <xdr:sp macro="" textlink="">
          <xdr:nvSpPr>
            <xdr:cNvPr id="9240" name="Check Box 24" hidden="1">
              <a:extLst>
                <a:ext uri="{63B3BB69-23CF-44E3-9099-C40C66FF867C}">
                  <a14:compatExt spid="_x0000_s9240"/>
                </a:ext>
                <a:ext uri="{FF2B5EF4-FFF2-40B4-BE49-F238E27FC236}">
                  <a16:creationId xmlns:a16="http://schemas.microsoft.com/office/drawing/2014/main" id="{00000000-0008-0000-0600-00001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28</xdr:row>
          <xdr:rowOff>9525</xdr:rowOff>
        </xdr:from>
        <xdr:to>
          <xdr:col>1</xdr:col>
          <xdr:colOff>342900</xdr:colOff>
          <xdr:row>29</xdr:row>
          <xdr:rowOff>9525</xdr:rowOff>
        </xdr:to>
        <xdr:sp macro="" textlink="">
          <xdr:nvSpPr>
            <xdr:cNvPr id="9241" name="Check Box 25" hidden="1">
              <a:extLst>
                <a:ext uri="{63B3BB69-23CF-44E3-9099-C40C66FF867C}">
                  <a14:compatExt spid="_x0000_s9241"/>
                </a:ext>
                <a:ext uri="{FF2B5EF4-FFF2-40B4-BE49-F238E27FC236}">
                  <a16:creationId xmlns:a16="http://schemas.microsoft.com/office/drawing/2014/main" id="{00000000-0008-0000-0600-00001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29</xdr:row>
          <xdr:rowOff>0</xdr:rowOff>
        </xdr:from>
        <xdr:to>
          <xdr:col>1</xdr:col>
          <xdr:colOff>342900</xdr:colOff>
          <xdr:row>30</xdr:row>
          <xdr:rowOff>0</xdr:rowOff>
        </xdr:to>
        <xdr:sp macro="" textlink="">
          <xdr:nvSpPr>
            <xdr:cNvPr id="9242" name="Check Box 26" hidden="1">
              <a:extLst>
                <a:ext uri="{63B3BB69-23CF-44E3-9099-C40C66FF867C}">
                  <a14:compatExt spid="_x0000_s9242"/>
                </a:ext>
                <a:ext uri="{FF2B5EF4-FFF2-40B4-BE49-F238E27FC236}">
                  <a16:creationId xmlns:a16="http://schemas.microsoft.com/office/drawing/2014/main" id="{00000000-0008-0000-0600-00001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30</xdr:row>
          <xdr:rowOff>0</xdr:rowOff>
        </xdr:from>
        <xdr:to>
          <xdr:col>1</xdr:col>
          <xdr:colOff>342900</xdr:colOff>
          <xdr:row>31</xdr:row>
          <xdr:rowOff>0</xdr:rowOff>
        </xdr:to>
        <xdr:sp macro="" textlink="">
          <xdr:nvSpPr>
            <xdr:cNvPr id="9243" name="Check Box 27" hidden="1">
              <a:extLst>
                <a:ext uri="{63B3BB69-23CF-44E3-9099-C40C66FF867C}">
                  <a14:compatExt spid="_x0000_s9243"/>
                </a:ext>
                <a:ext uri="{FF2B5EF4-FFF2-40B4-BE49-F238E27FC236}">
                  <a16:creationId xmlns:a16="http://schemas.microsoft.com/office/drawing/2014/main" id="{00000000-0008-0000-0600-00001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31</xdr:row>
          <xdr:rowOff>0</xdr:rowOff>
        </xdr:from>
        <xdr:to>
          <xdr:col>1</xdr:col>
          <xdr:colOff>342900</xdr:colOff>
          <xdr:row>32</xdr:row>
          <xdr:rowOff>0</xdr:rowOff>
        </xdr:to>
        <xdr:sp macro="" textlink="">
          <xdr:nvSpPr>
            <xdr:cNvPr id="9244" name="Check Box 28" hidden="1">
              <a:extLst>
                <a:ext uri="{63B3BB69-23CF-44E3-9099-C40C66FF867C}">
                  <a14:compatExt spid="_x0000_s9244"/>
                </a:ext>
                <a:ext uri="{FF2B5EF4-FFF2-40B4-BE49-F238E27FC236}">
                  <a16:creationId xmlns:a16="http://schemas.microsoft.com/office/drawing/2014/main" id="{00000000-0008-0000-0600-00001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171450</xdr:rowOff>
        </xdr:from>
        <xdr:to>
          <xdr:col>1</xdr:col>
          <xdr:colOff>333375</xdr:colOff>
          <xdr:row>32</xdr:row>
          <xdr:rowOff>171450</xdr:rowOff>
        </xdr:to>
        <xdr:sp macro="" textlink="">
          <xdr:nvSpPr>
            <xdr:cNvPr id="9245" name="Check Box 29" hidden="1">
              <a:extLst>
                <a:ext uri="{63B3BB69-23CF-44E3-9099-C40C66FF867C}">
                  <a14:compatExt spid="_x0000_s9245"/>
                </a:ext>
                <a:ext uri="{FF2B5EF4-FFF2-40B4-BE49-F238E27FC236}">
                  <a16:creationId xmlns:a16="http://schemas.microsoft.com/office/drawing/2014/main" id="{00000000-0008-0000-0600-00001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19050</xdr:rowOff>
        </xdr:from>
        <xdr:to>
          <xdr:col>1</xdr:col>
          <xdr:colOff>342900</xdr:colOff>
          <xdr:row>4</xdr:row>
          <xdr:rowOff>19050</xdr:rowOff>
        </xdr:to>
        <xdr:sp macro="" textlink="">
          <xdr:nvSpPr>
            <xdr:cNvPr id="13313" name="Case à cocher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4</xdr:row>
          <xdr:rowOff>9525</xdr:rowOff>
        </xdr:from>
        <xdr:to>
          <xdr:col>1</xdr:col>
          <xdr:colOff>342900</xdr:colOff>
          <xdr:row>5</xdr:row>
          <xdr:rowOff>9525</xdr:rowOff>
        </xdr:to>
        <xdr:sp macro="" textlink="">
          <xdr:nvSpPr>
            <xdr:cNvPr id="13314" name="Case à cocher 2" hidden="1">
              <a:extLst>
                <a:ext uri="{63B3BB69-23CF-44E3-9099-C40C66FF867C}">
                  <a14:compatExt spid="_x0000_s13314"/>
                </a:ext>
                <a:ext uri="{FF2B5EF4-FFF2-40B4-BE49-F238E27FC236}">
                  <a16:creationId xmlns:a16="http://schemas.microsoft.com/office/drawing/2014/main" id="{00000000-0008-0000-0700-00000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5</xdr:row>
          <xdr:rowOff>19050</xdr:rowOff>
        </xdr:from>
        <xdr:to>
          <xdr:col>1</xdr:col>
          <xdr:colOff>342900</xdr:colOff>
          <xdr:row>6</xdr:row>
          <xdr:rowOff>19050</xdr:rowOff>
        </xdr:to>
        <xdr:sp macro="" textlink="">
          <xdr:nvSpPr>
            <xdr:cNvPr id="13315" name="Case à cocher 4" hidden="1">
              <a:extLst>
                <a:ext uri="{63B3BB69-23CF-44E3-9099-C40C66FF867C}">
                  <a14:compatExt spid="_x0000_s13315"/>
                </a:ext>
                <a:ext uri="{FF2B5EF4-FFF2-40B4-BE49-F238E27FC236}">
                  <a16:creationId xmlns:a16="http://schemas.microsoft.com/office/drawing/2014/main" id="{00000000-0008-0000-0700-000003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7</xdr:row>
          <xdr:rowOff>9525</xdr:rowOff>
        </xdr:from>
        <xdr:to>
          <xdr:col>1</xdr:col>
          <xdr:colOff>342900</xdr:colOff>
          <xdr:row>8</xdr:row>
          <xdr:rowOff>9525</xdr:rowOff>
        </xdr:to>
        <xdr:sp macro="" textlink="">
          <xdr:nvSpPr>
            <xdr:cNvPr id="13316" name="Case à cocher 5" hidden="1">
              <a:extLst>
                <a:ext uri="{63B3BB69-23CF-44E3-9099-C40C66FF867C}">
                  <a14:compatExt spid="_x0000_s13316"/>
                </a:ext>
                <a:ext uri="{FF2B5EF4-FFF2-40B4-BE49-F238E27FC236}">
                  <a16:creationId xmlns:a16="http://schemas.microsoft.com/office/drawing/2014/main" id="{00000000-0008-0000-0700-000004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6</xdr:row>
          <xdr:rowOff>19050</xdr:rowOff>
        </xdr:from>
        <xdr:to>
          <xdr:col>1</xdr:col>
          <xdr:colOff>342900</xdr:colOff>
          <xdr:row>7</xdr:row>
          <xdr:rowOff>19050</xdr:rowOff>
        </xdr:to>
        <xdr:sp macro="" textlink="">
          <xdr:nvSpPr>
            <xdr:cNvPr id="13317" name="Case à cocher 6" hidden="1">
              <a:extLst>
                <a:ext uri="{63B3BB69-23CF-44E3-9099-C40C66FF867C}">
                  <a14:compatExt spid="_x0000_s13317"/>
                </a:ext>
                <a:ext uri="{FF2B5EF4-FFF2-40B4-BE49-F238E27FC236}">
                  <a16:creationId xmlns:a16="http://schemas.microsoft.com/office/drawing/2014/main" id="{00000000-0008-0000-0700-00000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8</xdr:row>
          <xdr:rowOff>19050</xdr:rowOff>
        </xdr:from>
        <xdr:to>
          <xdr:col>1</xdr:col>
          <xdr:colOff>342900</xdr:colOff>
          <xdr:row>9</xdr:row>
          <xdr:rowOff>19050</xdr:rowOff>
        </xdr:to>
        <xdr:sp macro="" textlink="">
          <xdr:nvSpPr>
            <xdr:cNvPr id="13318" name="Case à cocher 7" hidden="1">
              <a:extLst>
                <a:ext uri="{63B3BB69-23CF-44E3-9099-C40C66FF867C}">
                  <a14:compatExt spid="_x0000_s13318"/>
                </a:ext>
                <a:ext uri="{FF2B5EF4-FFF2-40B4-BE49-F238E27FC236}">
                  <a16:creationId xmlns:a16="http://schemas.microsoft.com/office/drawing/2014/main" id="{00000000-0008-0000-0700-000006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9</xdr:row>
          <xdr:rowOff>9525</xdr:rowOff>
        </xdr:from>
        <xdr:to>
          <xdr:col>1</xdr:col>
          <xdr:colOff>342900</xdr:colOff>
          <xdr:row>10</xdr:row>
          <xdr:rowOff>9525</xdr:rowOff>
        </xdr:to>
        <xdr:sp macro="" textlink="">
          <xdr:nvSpPr>
            <xdr:cNvPr id="13319" name="Case à cocher 8" hidden="1">
              <a:extLst>
                <a:ext uri="{63B3BB69-23CF-44E3-9099-C40C66FF867C}">
                  <a14:compatExt spid="_x0000_s13319"/>
                </a:ext>
                <a:ext uri="{FF2B5EF4-FFF2-40B4-BE49-F238E27FC236}">
                  <a16:creationId xmlns:a16="http://schemas.microsoft.com/office/drawing/2014/main" id="{00000000-0008-0000-0700-000007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10</xdr:row>
          <xdr:rowOff>9525</xdr:rowOff>
        </xdr:from>
        <xdr:to>
          <xdr:col>1</xdr:col>
          <xdr:colOff>342900</xdr:colOff>
          <xdr:row>11</xdr:row>
          <xdr:rowOff>9525</xdr:rowOff>
        </xdr:to>
        <xdr:sp macro="" textlink="">
          <xdr:nvSpPr>
            <xdr:cNvPr id="13320" name="Case à cocher 9" hidden="1">
              <a:extLst>
                <a:ext uri="{63B3BB69-23CF-44E3-9099-C40C66FF867C}">
                  <a14:compatExt spid="_x0000_s13320"/>
                </a:ext>
                <a:ext uri="{FF2B5EF4-FFF2-40B4-BE49-F238E27FC236}">
                  <a16:creationId xmlns:a16="http://schemas.microsoft.com/office/drawing/2014/main" id="{00000000-0008-0000-0700-000008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10</xdr:row>
          <xdr:rowOff>171450</xdr:rowOff>
        </xdr:from>
        <xdr:to>
          <xdr:col>1</xdr:col>
          <xdr:colOff>342900</xdr:colOff>
          <xdr:row>11</xdr:row>
          <xdr:rowOff>171450</xdr:rowOff>
        </xdr:to>
        <xdr:sp macro="" textlink="">
          <xdr:nvSpPr>
            <xdr:cNvPr id="13321" name="Case à cocher 10" hidden="1">
              <a:extLst>
                <a:ext uri="{63B3BB69-23CF-44E3-9099-C40C66FF867C}">
                  <a14:compatExt spid="_x0000_s13321"/>
                </a:ext>
                <a:ext uri="{FF2B5EF4-FFF2-40B4-BE49-F238E27FC236}">
                  <a16:creationId xmlns:a16="http://schemas.microsoft.com/office/drawing/2014/main" id="{00000000-0008-0000-0700-000009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11</xdr:row>
          <xdr:rowOff>171450</xdr:rowOff>
        </xdr:from>
        <xdr:to>
          <xdr:col>1</xdr:col>
          <xdr:colOff>342900</xdr:colOff>
          <xdr:row>12</xdr:row>
          <xdr:rowOff>171450</xdr:rowOff>
        </xdr:to>
        <xdr:sp macro="" textlink="">
          <xdr:nvSpPr>
            <xdr:cNvPr id="13322" name="Case à cocher 11"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12</xdr:row>
          <xdr:rowOff>171450</xdr:rowOff>
        </xdr:from>
        <xdr:to>
          <xdr:col>1</xdr:col>
          <xdr:colOff>342900</xdr:colOff>
          <xdr:row>13</xdr:row>
          <xdr:rowOff>171450</xdr:rowOff>
        </xdr:to>
        <xdr:sp macro="" textlink="">
          <xdr:nvSpPr>
            <xdr:cNvPr id="13323" name="Check Box 11" hidden="1">
              <a:extLst>
                <a:ext uri="{63B3BB69-23CF-44E3-9099-C40C66FF867C}">
                  <a14:compatExt spid="_x0000_s13323"/>
                </a:ext>
                <a:ext uri="{FF2B5EF4-FFF2-40B4-BE49-F238E27FC236}">
                  <a16:creationId xmlns:a16="http://schemas.microsoft.com/office/drawing/2014/main" id="{00000000-0008-0000-0700-00000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530679</xdr:colOff>
      <xdr:row>0</xdr:row>
      <xdr:rowOff>69396</xdr:rowOff>
    </xdr:from>
    <xdr:to>
      <xdr:col>18</xdr:col>
      <xdr:colOff>449036</xdr:colOff>
      <xdr:row>13</xdr:row>
      <xdr:rowOff>122464</xdr:rowOff>
    </xdr:to>
    <xdr:graphicFrame macro="">
      <xdr:nvGraphicFramePr>
        <xdr:cNvPr id="13" name="Chart 1">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161925</xdr:colOff>
          <xdr:row>13</xdr:row>
          <xdr:rowOff>180975</xdr:rowOff>
        </xdr:from>
        <xdr:to>
          <xdr:col>1</xdr:col>
          <xdr:colOff>342900</xdr:colOff>
          <xdr:row>15</xdr:row>
          <xdr:rowOff>0</xdr:rowOff>
        </xdr:to>
        <xdr:sp macro="" textlink="">
          <xdr:nvSpPr>
            <xdr:cNvPr id="13324" name="Check Box 13" hidden="1">
              <a:extLst>
                <a:ext uri="{63B3BB69-23CF-44E3-9099-C40C66FF867C}">
                  <a14:compatExt spid="_x0000_s13324"/>
                </a:ext>
                <a:ext uri="{FF2B5EF4-FFF2-40B4-BE49-F238E27FC236}">
                  <a16:creationId xmlns:a16="http://schemas.microsoft.com/office/drawing/2014/main" id="{00000000-0008-0000-0700-00000C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180975</xdr:rowOff>
        </xdr:from>
        <xdr:to>
          <xdr:col>1</xdr:col>
          <xdr:colOff>342900</xdr:colOff>
          <xdr:row>16</xdr:row>
          <xdr:rowOff>0</xdr:rowOff>
        </xdr:to>
        <xdr:sp macro="" textlink="">
          <xdr:nvSpPr>
            <xdr:cNvPr id="13325" name="Check Box 14" hidden="1">
              <a:extLst>
                <a:ext uri="{63B3BB69-23CF-44E3-9099-C40C66FF867C}">
                  <a14:compatExt spid="_x0000_s13325"/>
                </a:ext>
                <a:ext uri="{FF2B5EF4-FFF2-40B4-BE49-F238E27FC236}">
                  <a16:creationId xmlns:a16="http://schemas.microsoft.com/office/drawing/2014/main" id="{00000000-0008-0000-0700-00000D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0</xdr:rowOff>
        </xdr:from>
        <xdr:to>
          <xdr:col>1</xdr:col>
          <xdr:colOff>342900</xdr:colOff>
          <xdr:row>17</xdr:row>
          <xdr:rowOff>0</xdr:rowOff>
        </xdr:to>
        <xdr:sp macro="" textlink="">
          <xdr:nvSpPr>
            <xdr:cNvPr id="13326" name="Check Box 15" hidden="1">
              <a:extLst>
                <a:ext uri="{63B3BB69-23CF-44E3-9099-C40C66FF867C}">
                  <a14:compatExt spid="_x0000_s13326"/>
                </a:ext>
                <a:ext uri="{FF2B5EF4-FFF2-40B4-BE49-F238E27FC236}">
                  <a16:creationId xmlns:a16="http://schemas.microsoft.com/office/drawing/2014/main" id="{00000000-0008-0000-0700-00000E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180975</xdr:rowOff>
        </xdr:from>
        <xdr:to>
          <xdr:col>1</xdr:col>
          <xdr:colOff>342900</xdr:colOff>
          <xdr:row>18</xdr:row>
          <xdr:rowOff>0</xdr:rowOff>
        </xdr:to>
        <xdr:sp macro="" textlink="">
          <xdr:nvSpPr>
            <xdr:cNvPr id="13327" name="Check Box 16" hidden="1">
              <a:extLst>
                <a:ext uri="{63B3BB69-23CF-44E3-9099-C40C66FF867C}">
                  <a14:compatExt spid="_x0000_s13327"/>
                </a:ext>
                <a:ext uri="{FF2B5EF4-FFF2-40B4-BE49-F238E27FC236}">
                  <a16:creationId xmlns:a16="http://schemas.microsoft.com/office/drawing/2014/main" id="{00000000-0008-0000-0700-00000F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180975</xdr:rowOff>
        </xdr:from>
        <xdr:to>
          <xdr:col>1</xdr:col>
          <xdr:colOff>342900</xdr:colOff>
          <xdr:row>19</xdr:row>
          <xdr:rowOff>0</xdr:rowOff>
        </xdr:to>
        <xdr:sp macro="" textlink="">
          <xdr:nvSpPr>
            <xdr:cNvPr id="13328" name="Check Box 17" hidden="1">
              <a:extLst>
                <a:ext uri="{63B3BB69-23CF-44E3-9099-C40C66FF867C}">
                  <a14:compatExt spid="_x0000_s13328"/>
                </a:ext>
                <a:ext uri="{FF2B5EF4-FFF2-40B4-BE49-F238E27FC236}">
                  <a16:creationId xmlns:a16="http://schemas.microsoft.com/office/drawing/2014/main" id="{00000000-0008-0000-0700-000010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0</xdr:rowOff>
        </xdr:from>
        <xdr:to>
          <xdr:col>1</xdr:col>
          <xdr:colOff>342900</xdr:colOff>
          <xdr:row>20</xdr:row>
          <xdr:rowOff>0</xdr:rowOff>
        </xdr:to>
        <xdr:sp macro="" textlink="">
          <xdr:nvSpPr>
            <xdr:cNvPr id="13329" name="Check Box 18" hidden="1">
              <a:extLst>
                <a:ext uri="{63B3BB69-23CF-44E3-9099-C40C66FF867C}">
                  <a14:compatExt spid="_x0000_s13329"/>
                </a:ext>
                <a:ext uri="{FF2B5EF4-FFF2-40B4-BE49-F238E27FC236}">
                  <a16:creationId xmlns:a16="http://schemas.microsoft.com/office/drawing/2014/main" id="{00000000-0008-0000-0700-00001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0</xdr:rowOff>
        </xdr:from>
        <xdr:to>
          <xdr:col>1</xdr:col>
          <xdr:colOff>342900</xdr:colOff>
          <xdr:row>21</xdr:row>
          <xdr:rowOff>0</xdr:rowOff>
        </xdr:to>
        <xdr:sp macro="" textlink="">
          <xdr:nvSpPr>
            <xdr:cNvPr id="13330" name="Check Box 19" hidden="1">
              <a:extLst>
                <a:ext uri="{63B3BB69-23CF-44E3-9099-C40C66FF867C}">
                  <a14:compatExt spid="_x0000_s13330"/>
                </a:ext>
                <a:ext uri="{FF2B5EF4-FFF2-40B4-BE49-F238E27FC236}">
                  <a16:creationId xmlns:a16="http://schemas.microsoft.com/office/drawing/2014/main" id="{00000000-0008-0000-0700-00001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13</xdr:row>
      <xdr:rowOff>152397</xdr:rowOff>
    </xdr:from>
    <xdr:to>
      <xdr:col>18</xdr:col>
      <xdr:colOff>435427</xdr:colOff>
      <xdr:row>29</xdr:row>
      <xdr:rowOff>68035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161925</xdr:colOff>
          <xdr:row>21</xdr:row>
          <xdr:rowOff>9525</xdr:rowOff>
        </xdr:from>
        <xdr:to>
          <xdr:col>1</xdr:col>
          <xdr:colOff>342900</xdr:colOff>
          <xdr:row>22</xdr:row>
          <xdr:rowOff>9525</xdr:rowOff>
        </xdr:to>
        <xdr:sp macro="" textlink="">
          <xdr:nvSpPr>
            <xdr:cNvPr id="13331" name="Check Box 20" hidden="1">
              <a:extLst>
                <a:ext uri="{63B3BB69-23CF-44E3-9099-C40C66FF867C}">
                  <a14:compatExt spid="_x0000_s13331"/>
                </a:ext>
                <a:ext uri="{FF2B5EF4-FFF2-40B4-BE49-F238E27FC236}">
                  <a16:creationId xmlns:a16="http://schemas.microsoft.com/office/drawing/2014/main" id="{00000000-0008-0000-0700-000013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9525</xdr:rowOff>
        </xdr:from>
        <xdr:to>
          <xdr:col>1</xdr:col>
          <xdr:colOff>342900</xdr:colOff>
          <xdr:row>23</xdr:row>
          <xdr:rowOff>9525</xdr:rowOff>
        </xdr:to>
        <xdr:sp macro="" textlink="">
          <xdr:nvSpPr>
            <xdr:cNvPr id="13332" name="Check Box 21" hidden="1">
              <a:extLst>
                <a:ext uri="{63B3BB69-23CF-44E3-9099-C40C66FF867C}">
                  <a14:compatExt spid="_x0000_s13332"/>
                </a:ext>
                <a:ext uri="{FF2B5EF4-FFF2-40B4-BE49-F238E27FC236}">
                  <a16:creationId xmlns:a16="http://schemas.microsoft.com/office/drawing/2014/main" id="{00000000-0008-0000-0700-000014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180975</xdr:rowOff>
        </xdr:from>
        <xdr:to>
          <xdr:col>1</xdr:col>
          <xdr:colOff>342900</xdr:colOff>
          <xdr:row>23</xdr:row>
          <xdr:rowOff>180975</xdr:rowOff>
        </xdr:to>
        <xdr:sp macro="" textlink="">
          <xdr:nvSpPr>
            <xdr:cNvPr id="13333" name="Check Box 21" hidden="1">
              <a:extLst>
                <a:ext uri="{63B3BB69-23CF-44E3-9099-C40C66FF867C}">
                  <a14:compatExt spid="_x0000_s13333"/>
                </a:ext>
                <a:ext uri="{FF2B5EF4-FFF2-40B4-BE49-F238E27FC236}">
                  <a16:creationId xmlns:a16="http://schemas.microsoft.com/office/drawing/2014/main" id="{00000000-0008-0000-0700-00001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0</xdr:rowOff>
        </xdr:from>
        <xdr:to>
          <xdr:col>1</xdr:col>
          <xdr:colOff>342900</xdr:colOff>
          <xdr:row>25</xdr:row>
          <xdr:rowOff>0</xdr:rowOff>
        </xdr:to>
        <xdr:sp macro="" textlink="">
          <xdr:nvSpPr>
            <xdr:cNvPr id="13334" name="Check Box 22" hidden="1">
              <a:extLst>
                <a:ext uri="{63B3BB69-23CF-44E3-9099-C40C66FF867C}">
                  <a14:compatExt spid="_x0000_s13334"/>
                </a:ext>
                <a:ext uri="{FF2B5EF4-FFF2-40B4-BE49-F238E27FC236}">
                  <a16:creationId xmlns:a16="http://schemas.microsoft.com/office/drawing/2014/main" id="{00000000-0008-0000-0700-000016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171450</xdr:rowOff>
        </xdr:from>
        <xdr:to>
          <xdr:col>1</xdr:col>
          <xdr:colOff>342900</xdr:colOff>
          <xdr:row>26</xdr:row>
          <xdr:rowOff>171450</xdr:rowOff>
        </xdr:to>
        <xdr:sp macro="" textlink="">
          <xdr:nvSpPr>
            <xdr:cNvPr id="13335" name="Check Box 23" hidden="1">
              <a:extLst>
                <a:ext uri="{63B3BB69-23CF-44E3-9099-C40C66FF867C}">
                  <a14:compatExt spid="_x0000_s13335"/>
                </a:ext>
                <a:ext uri="{FF2B5EF4-FFF2-40B4-BE49-F238E27FC236}">
                  <a16:creationId xmlns:a16="http://schemas.microsoft.com/office/drawing/2014/main" id="{00000000-0008-0000-0700-000017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180975</xdr:rowOff>
        </xdr:from>
        <xdr:to>
          <xdr:col>1</xdr:col>
          <xdr:colOff>342900</xdr:colOff>
          <xdr:row>27</xdr:row>
          <xdr:rowOff>180975</xdr:rowOff>
        </xdr:to>
        <xdr:sp macro="" textlink="">
          <xdr:nvSpPr>
            <xdr:cNvPr id="13336" name="Check Box 24" hidden="1">
              <a:extLst>
                <a:ext uri="{63B3BB69-23CF-44E3-9099-C40C66FF867C}">
                  <a14:compatExt spid="_x0000_s13336"/>
                </a:ext>
                <a:ext uri="{FF2B5EF4-FFF2-40B4-BE49-F238E27FC236}">
                  <a16:creationId xmlns:a16="http://schemas.microsoft.com/office/drawing/2014/main" id="{00000000-0008-0000-0700-000018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28</xdr:row>
          <xdr:rowOff>9525</xdr:rowOff>
        </xdr:from>
        <xdr:to>
          <xdr:col>1</xdr:col>
          <xdr:colOff>342900</xdr:colOff>
          <xdr:row>29</xdr:row>
          <xdr:rowOff>9525</xdr:rowOff>
        </xdr:to>
        <xdr:sp macro="" textlink="">
          <xdr:nvSpPr>
            <xdr:cNvPr id="13337" name="Check Box 25" hidden="1">
              <a:extLst>
                <a:ext uri="{63B3BB69-23CF-44E3-9099-C40C66FF867C}">
                  <a14:compatExt spid="_x0000_s13337"/>
                </a:ext>
                <a:ext uri="{FF2B5EF4-FFF2-40B4-BE49-F238E27FC236}">
                  <a16:creationId xmlns:a16="http://schemas.microsoft.com/office/drawing/2014/main" id="{00000000-0008-0000-0700-000019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29</xdr:row>
          <xdr:rowOff>0</xdr:rowOff>
        </xdr:from>
        <xdr:to>
          <xdr:col>1</xdr:col>
          <xdr:colOff>342900</xdr:colOff>
          <xdr:row>30</xdr:row>
          <xdr:rowOff>0</xdr:rowOff>
        </xdr:to>
        <xdr:sp macro="" textlink="">
          <xdr:nvSpPr>
            <xdr:cNvPr id="13338" name="Check Box 26" hidden="1">
              <a:extLst>
                <a:ext uri="{63B3BB69-23CF-44E3-9099-C40C66FF867C}">
                  <a14:compatExt spid="_x0000_s13338"/>
                </a:ext>
                <a:ext uri="{FF2B5EF4-FFF2-40B4-BE49-F238E27FC236}">
                  <a16:creationId xmlns:a16="http://schemas.microsoft.com/office/drawing/2014/main" id="{00000000-0008-0000-0700-00001A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30</xdr:row>
          <xdr:rowOff>0</xdr:rowOff>
        </xdr:from>
        <xdr:to>
          <xdr:col>1</xdr:col>
          <xdr:colOff>342900</xdr:colOff>
          <xdr:row>31</xdr:row>
          <xdr:rowOff>0</xdr:rowOff>
        </xdr:to>
        <xdr:sp macro="" textlink="">
          <xdr:nvSpPr>
            <xdr:cNvPr id="13339" name="Check Box 27" hidden="1">
              <a:extLst>
                <a:ext uri="{63B3BB69-23CF-44E3-9099-C40C66FF867C}">
                  <a14:compatExt spid="_x0000_s13339"/>
                </a:ext>
                <a:ext uri="{FF2B5EF4-FFF2-40B4-BE49-F238E27FC236}">
                  <a16:creationId xmlns:a16="http://schemas.microsoft.com/office/drawing/2014/main" id="{00000000-0008-0000-0700-00001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31</xdr:row>
          <xdr:rowOff>0</xdr:rowOff>
        </xdr:from>
        <xdr:to>
          <xdr:col>1</xdr:col>
          <xdr:colOff>342900</xdr:colOff>
          <xdr:row>32</xdr:row>
          <xdr:rowOff>0</xdr:rowOff>
        </xdr:to>
        <xdr:sp macro="" textlink="">
          <xdr:nvSpPr>
            <xdr:cNvPr id="13340" name="Check Box 28" hidden="1">
              <a:extLst>
                <a:ext uri="{63B3BB69-23CF-44E3-9099-C40C66FF867C}">
                  <a14:compatExt spid="_x0000_s13340"/>
                </a:ext>
                <a:ext uri="{FF2B5EF4-FFF2-40B4-BE49-F238E27FC236}">
                  <a16:creationId xmlns:a16="http://schemas.microsoft.com/office/drawing/2014/main" id="{00000000-0008-0000-0700-00001C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171450</xdr:rowOff>
        </xdr:from>
        <xdr:to>
          <xdr:col>1</xdr:col>
          <xdr:colOff>333375</xdr:colOff>
          <xdr:row>32</xdr:row>
          <xdr:rowOff>171450</xdr:rowOff>
        </xdr:to>
        <xdr:sp macro="" textlink="">
          <xdr:nvSpPr>
            <xdr:cNvPr id="13341" name="Check Box 29" hidden="1">
              <a:extLst>
                <a:ext uri="{63B3BB69-23CF-44E3-9099-C40C66FF867C}">
                  <a14:compatExt spid="_x0000_s13341"/>
                </a:ext>
                <a:ext uri="{FF2B5EF4-FFF2-40B4-BE49-F238E27FC236}">
                  <a16:creationId xmlns:a16="http://schemas.microsoft.com/office/drawing/2014/main" id="{00000000-0008-0000-0700-00001D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33</xdr:row>
          <xdr:rowOff>0</xdr:rowOff>
        </xdr:from>
        <xdr:to>
          <xdr:col>1</xdr:col>
          <xdr:colOff>323850</xdr:colOff>
          <xdr:row>34</xdr:row>
          <xdr:rowOff>0</xdr:rowOff>
        </xdr:to>
        <xdr:sp macro="" textlink="">
          <xdr:nvSpPr>
            <xdr:cNvPr id="13342" name="Check Box 30" hidden="1">
              <a:extLst>
                <a:ext uri="{63B3BB69-23CF-44E3-9099-C40C66FF867C}">
                  <a14:compatExt spid="_x0000_s13342"/>
                </a:ext>
                <a:ext uri="{FF2B5EF4-FFF2-40B4-BE49-F238E27FC236}">
                  <a16:creationId xmlns:a16="http://schemas.microsoft.com/office/drawing/2014/main" id="{00000000-0008-0000-0700-00001E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19050</xdr:rowOff>
        </xdr:from>
        <xdr:to>
          <xdr:col>1</xdr:col>
          <xdr:colOff>342900</xdr:colOff>
          <xdr:row>4</xdr:row>
          <xdr:rowOff>19050</xdr:rowOff>
        </xdr:to>
        <xdr:sp macro="" textlink="">
          <xdr:nvSpPr>
            <xdr:cNvPr id="18433" name="Case à cocher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4</xdr:row>
          <xdr:rowOff>9525</xdr:rowOff>
        </xdr:from>
        <xdr:to>
          <xdr:col>1</xdr:col>
          <xdr:colOff>342900</xdr:colOff>
          <xdr:row>5</xdr:row>
          <xdr:rowOff>9525</xdr:rowOff>
        </xdr:to>
        <xdr:sp macro="" textlink="">
          <xdr:nvSpPr>
            <xdr:cNvPr id="18434" name="Case à cocher 2" hidden="1">
              <a:extLst>
                <a:ext uri="{63B3BB69-23CF-44E3-9099-C40C66FF867C}">
                  <a14:compatExt spid="_x0000_s18434"/>
                </a:ext>
                <a:ext uri="{FF2B5EF4-FFF2-40B4-BE49-F238E27FC236}">
                  <a16:creationId xmlns:a16="http://schemas.microsoft.com/office/drawing/2014/main" id="{00000000-0008-0000-0800-00000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5</xdr:row>
          <xdr:rowOff>19050</xdr:rowOff>
        </xdr:from>
        <xdr:to>
          <xdr:col>1</xdr:col>
          <xdr:colOff>342900</xdr:colOff>
          <xdr:row>6</xdr:row>
          <xdr:rowOff>19050</xdr:rowOff>
        </xdr:to>
        <xdr:sp macro="" textlink="">
          <xdr:nvSpPr>
            <xdr:cNvPr id="18435" name="Case à cocher 4" hidden="1">
              <a:extLst>
                <a:ext uri="{63B3BB69-23CF-44E3-9099-C40C66FF867C}">
                  <a14:compatExt spid="_x0000_s18435"/>
                </a:ext>
                <a:ext uri="{FF2B5EF4-FFF2-40B4-BE49-F238E27FC236}">
                  <a16:creationId xmlns:a16="http://schemas.microsoft.com/office/drawing/2014/main" id="{00000000-0008-0000-0800-000003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7</xdr:row>
          <xdr:rowOff>9525</xdr:rowOff>
        </xdr:from>
        <xdr:to>
          <xdr:col>1</xdr:col>
          <xdr:colOff>342900</xdr:colOff>
          <xdr:row>8</xdr:row>
          <xdr:rowOff>9525</xdr:rowOff>
        </xdr:to>
        <xdr:sp macro="" textlink="">
          <xdr:nvSpPr>
            <xdr:cNvPr id="18436" name="Case à cocher 5" hidden="1">
              <a:extLst>
                <a:ext uri="{63B3BB69-23CF-44E3-9099-C40C66FF867C}">
                  <a14:compatExt spid="_x0000_s18436"/>
                </a:ext>
                <a:ext uri="{FF2B5EF4-FFF2-40B4-BE49-F238E27FC236}">
                  <a16:creationId xmlns:a16="http://schemas.microsoft.com/office/drawing/2014/main" id="{00000000-0008-0000-0800-000004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6</xdr:row>
          <xdr:rowOff>19050</xdr:rowOff>
        </xdr:from>
        <xdr:to>
          <xdr:col>1</xdr:col>
          <xdr:colOff>342900</xdr:colOff>
          <xdr:row>7</xdr:row>
          <xdr:rowOff>19050</xdr:rowOff>
        </xdr:to>
        <xdr:sp macro="" textlink="">
          <xdr:nvSpPr>
            <xdr:cNvPr id="18437" name="Case à cocher 6" hidden="1">
              <a:extLst>
                <a:ext uri="{63B3BB69-23CF-44E3-9099-C40C66FF867C}">
                  <a14:compatExt spid="_x0000_s18437"/>
                </a:ext>
                <a:ext uri="{FF2B5EF4-FFF2-40B4-BE49-F238E27FC236}">
                  <a16:creationId xmlns:a16="http://schemas.microsoft.com/office/drawing/2014/main" id="{00000000-0008-0000-0800-000005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8</xdr:row>
          <xdr:rowOff>19050</xdr:rowOff>
        </xdr:from>
        <xdr:to>
          <xdr:col>1</xdr:col>
          <xdr:colOff>342900</xdr:colOff>
          <xdr:row>9</xdr:row>
          <xdr:rowOff>19050</xdr:rowOff>
        </xdr:to>
        <xdr:sp macro="" textlink="">
          <xdr:nvSpPr>
            <xdr:cNvPr id="18438" name="Case à cocher 7" hidden="1">
              <a:extLst>
                <a:ext uri="{63B3BB69-23CF-44E3-9099-C40C66FF867C}">
                  <a14:compatExt spid="_x0000_s18438"/>
                </a:ext>
                <a:ext uri="{FF2B5EF4-FFF2-40B4-BE49-F238E27FC236}">
                  <a16:creationId xmlns:a16="http://schemas.microsoft.com/office/drawing/2014/main" id="{00000000-0008-0000-0800-000006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9</xdr:row>
          <xdr:rowOff>9525</xdr:rowOff>
        </xdr:from>
        <xdr:to>
          <xdr:col>1</xdr:col>
          <xdr:colOff>342900</xdr:colOff>
          <xdr:row>10</xdr:row>
          <xdr:rowOff>9525</xdr:rowOff>
        </xdr:to>
        <xdr:sp macro="" textlink="">
          <xdr:nvSpPr>
            <xdr:cNvPr id="18439" name="Case à cocher 8" hidden="1">
              <a:extLst>
                <a:ext uri="{63B3BB69-23CF-44E3-9099-C40C66FF867C}">
                  <a14:compatExt spid="_x0000_s18439"/>
                </a:ext>
                <a:ext uri="{FF2B5EF4-FFF2-40B4-BE49-F238E27FC236}">
                  <a16:creationId xmlns:a16="http://schemas.microsoft.com/office/drawing/2014/main" id="{00000000-0008-0000-0800-000007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10</xdr:row>
          <xdr:rowOff>9525</xdr:rowOff>
        </xdr:from>
        <xdr:to>
          <xdr:col>1</xdr:col>
          <xdr:colOff>342900</xdr:colOff>
          <xdr:row>11</xdr:row>
          <xdr:rowOff>9525</xdr:rowOff>
        </xdr:to>
        <xdr:sp macro="" textlink="">
          <xdr:nvSpPr>
            <xdr:cNvPr id="18440" name="Case à cocher 9" hidden="1">
              <a:extLst>
                <a:ext uri="{63B3BB69-23CF-44E3-9099-C40C66FF867C}">
                  <a14:compatExt spid="_x0000_s18440"/>
                </a:ext>
                <a:ext uri="{FF2B5EF4-FFF2-40B4-BE49-F238E27FC236}">
                  <a16:creationId xmlns:a16="http://schemas.microsoft.com/office/drawing/2014/main" id="{00000000-0008-0000-0800-000008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10</xdr:row>
          <xdr:rowOff>171450</xdr:rowOff>
        </xdr:from>
        <xdr:to>
          <xdr:col>1</xdr:col>
          <xdr:colOff>342900</xdr:colOff>
          <xdr:row>11</xdr:row>
          <xdr:rowOff>171450</xdr:rowOff>
        </xdr:to>
        <xdr:sp macro="" textlink="">
          <xdr:nvSpPr>
            <xdr:cNvPr id="18441" name="Case à cocher 10" hidden="1">
              <a:extLst>
                <a:ext uri="{63B3BB69-23CF-44E3-9099-C40C66FF867C}">
                  <a14:compatExt spid="_x0000_s18441"/>
                </a:ext>
                <a:ext uri="{FF2B5EF4-FFF2-40B4-BE49-F238E27FC236}">
                  <a16:creationId xmlns:a16="http://schemas.microsoft.com/office/drawing/2014/main" id="{00000000-0008-0000-0800-000009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11</xdr:row>
          <xdr:rowOff>171450</xdr:rowOff>
        </xdr:from>
        <xdr:to>
          <xdr:col>1</xdr:col>
          <xdr:colOff>342900</xdr:colOff>
          <xdr:row>12</xdr:row>
          <xdr:rowOff>171450</xdr:rowOff>
        </xdr:to>
        <xdr:sp macro="" textlink="">
          <xdr:nvSpPr>
            <xdr:cNvPr id="18442" name="Case à cocher 11" hidden="1">
              <a:extLst>
                <a:ext uri="{63B3BB69-23CF-44E3-9099-C40C66FF867C}">
                  <a14:compatExt spid="_x0000_s18442"/>
                </a:ext>
                <a:ext uri="{FF2B5EF4-FFF2-40B4-BE49-F238E27FC236}">
                  <a16:creationId xmlns:a16="http://schemas.microsoft.com/office/drawing/2014/main" id="{00000000-0008-0000-0800-00000A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12</xdr:row>
          <xdr:rowOff>171450</xdr:rowOff>
        </xdr:from>
        <xdr:to>
          <xdr:col>1</xdr:col>
          <xdr:colOff>342900</xdr:colOff>
          <xdr:row>13</xdr:row>
          <xdr:rowOff>171450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800-00000B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530679</xdr:colOff>
      <xdr:row>0</xdr:row>
      <xdr:rowOff>69396</xdr:rowOff>
    </xdr:from>
    <xdr:to>
      <xdr:col>18</xdr:col>
      <xdr:colOff>449036</xdr:colOff>
      <xdr:row>13</xdr:row>
      <xdr:rowOff>122464</xdr:rowOff>
    </xdr:to>
    <xdr:graphicFrame macro="">
      <xdr:nvGraphicFramePr>
        <xdr:cNvPr id="13" name="Chart 1">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161925</xdr:colOff>
          <xdr:row>13</xdr:row>
          <xdr:rowOff>180975</xdr:rowOff>
        </xdr:from>
        <xdr:to>
          <xdr:col>1</xdr:col>
          <xdr:colOff>342900</xdr:colOff>
          <xdr:row>15</xdr:row>
          <xdr:rowOff>0</xdr:rowOff>
        </xdr:to>
        <xdr:sp macro="" textlink="">
          <xdr:nvSpPr>
            <xdr:cNvPr id="18444" name="Check Box 13" hidden="1">
              <a:extLst>
                <a:ext uri="{63B3BB69-23CF-44E3-9099-C40C66FF867C}">
                  <a14:compatExt spid="_x0000_s18444"/>
                </a:ext>
                <a:ext uri="{FF2B5EF4-FFF2-40B4-BE49-F238E27FC236}">
                  <a16:creationId xmlns:a16="http://schemas.microsoft.com/office/drawing/2014/main" id="{00000000-0008-0000-0800-00000C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180975</xdr:rowOff>
        </xdr:from>
        <xdr:to>
          <xdr:col>1</xdr:col>
          <xdr:colOff>342900</xdr:colOff>
          <xdr:row>16</xdr:row>
          <xdr:rowOff>0</xdr:rowOff>
        </xdr:to>
        <xdr:sp macro="" textlink="">
          <xdr:nvSpPr>
            <xdr:cNvPr id="18445" name="Check Box 14" hidden="1">
              <a:extLst>
                <a:ext uri="{63B3BB69-23CF-44E3-9099-C40C66FF867C}">
                  <a14:compatExt spid="_x0000_s18445"/>
                </a:ext>
                <a:ext uri="{FF2B5EF4-FFF2-40B4-BE49-F238E27FC236}">
                  <a16:creationId xmlns:a16="http://schemas.microsoft.com/office/drawing/2014/main" id="{00000000-0008-0000-0800-00000D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0</xdr:rowOff>
        </xdr:from>
        <xdr:to>
          <xdr:col>1</xdr:col>
          <xdr:colOff>342900</xdr:colOff>
          <xdr:row>17</xdr:row>
          <xdr:rowOff>0</xdr:rowOff>
        </xdr:to>
        <xdr:sp macro="" textlink="">
          <xdr:nvSpPr>
            <xdr:cNvPr id="18446" name="Check Box 15" hidden="1">
              <a:extLst>
                <a:ext uri="{63B3BB69-23CF-44E3-9099-C40C66FF867C}">
                  <a14:compatExt spid="_x0000_s18446"/>
                </a:ext>
                <a:ext uri="{FF2B5EF4-FFF2-40B4-BE49-F238E27FC236}">
                  <a16:creationId xmlns:a16="http://schemas.microsoft.com/office/drawing/2014/main" id="{00000000-0008-0000-0800-00000E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180975</xdr:rowOff>
        </xdr:from>
        <xdr:to>
          <xdr:col>1</xdr:col>
          <xdr:colOff>342900</xdr:colOff>
          <xdr:row>18</xdr:row>
          <xdr:rowOff>0</xdr:rowOff>
        </xdr:to>
        <xdr:sp macro="" textlink="">
          <xdr:nvSpPr>
            <xdr:cNvPr id="18447" name="Check Box 16" hidden="1">
              <a:extLst>
                <a:ext uri="{63B3BB69-23CF-44E3-9099-C40C66FF867C}">
                  <a14:compatExt spid="_x0000_s18447"/>
                </a:ext>
                <a:ext uri="{FF2B5EF4-FFF2-40B4-BE49-F238E27FC236}">
                  <a16:creationId xmlns:a16="http://schemas.microsoft.com/office/drawing/2014/main" id="{00000000-0008-0000-0800-00000F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180975</xdr:rowOff>
        </xdr:from>
        <xdr:to>
          <xdr:col>1</xdr:col>
          <xdr:colOff>342900</xdr:colOff>
          <xdr:row>19</xdr:row>
          <xdr:rowOff>0</xdr:rowOff>
        </xdr:to>
        <xdr:sp macro="" textlink="">
          <xdr:nvSpPr>
            <xdr:cNvPr id="18448" name="Check Box 17" hidden="1">
              <a:extLst>
                <a:ext uri="{63B3BB69-23CF-44E3-9099-C40C66FF867C}">
                  <a14:compatExt spid="_x0000_s18448"/>
                </a:ext>
                <a:ext uri="{FF2B5EF4-FFF2-40B4-BE49-F238E27FC236}">
                  <a16:creationId xmlns:a16="http://schemas.microsoft.com/office/drawing/2014/main" id="{00000000-0008-0000-0800-000010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0</xdr:rowOff>
        </xdr:from>
        <xdr:to>
          <xdr:col>1</xdr:col>
          <xdr:colOff>342900</xdr:colOff>
          <xdr:row>20</xdr:row>
          <xdr:rowOff>0</xdr:rowOff>
        </xdr:to>
        <xdr:sp macro="" textlink="">
          <xdr:nvSpPr>
            <xdr:cNvPr id="18449" name="Check Box 18" hidden="1">
              <a:extLst>
                <a:ext uri="{63B3BB69-23CF-44E3-9099-C40C66FF867C}">
                  <a14:compatExt spid="_x0000_s18449"/>
                </a:ext>
                <a:ext uri="{FF2B5EF4-FFF2-40B4-BE49-F238E27FC236}">
                  <a16:creationId xmlns:a16="http://schemas.microsoft.com/office/drawing/2014/main" id="{00000000-0008-0000-0800-00001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0</xdr:rowOff>
        </xdr:from>
        <xdr:to>
          <xdr:col>1</xdr:col>
          <xdr:colOff>342900</xdr:colOff>
          <xdr:row>21</xdr:row>
          <xdr:rowOff>0</xdr:rowOff>
        </xdr:to>
        <xdr:sp macro="" textlink="">
          <xdr:nvSpPr>
            <xdr:cNvPr id="18450" name="Check Box 19" hidden="1">
              <a:extLst>
                <a:ext uri="{63B3BB69-23CF-44E3-9099-C40C66FF867C}">
                  <a14:compatExt spid="_x0000_s18450"/>
                </a:ext>
                <a:ext uri="{FF2B5EF4-FFF2-40B4-BE49-F238E27FC236}">
                  <a16:creationId xmlns:a16="http://schemas.microsoft.com/office/drawing/2014/main" id="{00000000-0008-0000-0800-00001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13</xdr:row>
      <xdr:rowOff>152397</xdr:rowOff>
    </xdr:from>
    <xdr:to>
      <xdr:col>18</xdr:col>
      <xdr:colOff>435427</xdr:colOff>
      <xdr:row>29</xdr:row>
      <xdr:rowOff>68035</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161925</xdr:colOff>
          <xdr:row>21</xdr:row>
          <xdr:rowOff>9525</xdr:rowOff>
        </xdr:from>
        <xdr:to>
          <xdr:col>1</xdr:col>
          <xdr:colOff>342900</xdr:colOff>
          <xdr:row>22</xdr:row>
          <xdr:rowOff>9525</xdr:rowOff>
        </xdr:to>
        <xdr:sp macro="" textlink="">
          <xdr:nvSpPr>
            <xdr:cNvPr id="18451" name="Check Box 20" hidden="1">
              <a:extLst>
                <a:ext uri="{63B3BB69-23CF-44E3-9099-C40C66FF867C}">
                  <a14:compatExt spid="_x0000_s18451"/>
                </a:ext>
                <a:ext uri="{FF2B5EF4-FFF2-40B4-BE49-F238E27FC236}">
                  <a16:creationId xmlns:a16="http://schemas.microsoft.com/office/drawing/2014/main" id="{00000000-0008-0000-0800-000013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9525</xdr:rowOff>
        </xdr:from>
        <xdr:to>
          <xdr:col>1</xdr:col>
          <xdr:colOff>342900</xdr:colOff>
          <xdr:row>23</xdr:row>
          <xdr:rowOff>9525</xdr:rowOff>
        </xdr:to>
        <xdr:sp macro="" textlink="">
          <xdr:nvSpPr>
            <xdr:cNvPr id="18452" name="Check Box 21" hidden="1">
              <a:extLst>
                <a:ext uri="{63B3BB69-23CF-44E3-9099-C40C66FF867C}">
                  <a14:compatExt spid="_x0000_s18452"/>
                </a:ext>
                <a:ext uri="{FF2B5EF4-FFF2-40B4-BE49-F238E27FC236}">
                  <a16:creationId xmlns:a16="http://schemas.microsoft.com/office/drawing/2014/main" id="{00000000-0008-0000-0800-000014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180975</xdr:rowOff>
        </xdr:from>
        <xdr:to>
          <xdr:col>1</xdr:col>
          <xdr:colOff>342900</xdr:colOff>
          <xdr:row>23</xdr:row>
          <xdr:rowOff>180975</xdr:rowOff>
        </xdr:to>
        <xdr:sp macro="" textlink="">
          <xdr:nvSpPr>
            <xdr:cNvPr id="18453" name="Check Box 21" hidden="1">
              <a:extLst>
                <a:ext uri="{63B3BB69-23CF-44E3-9099-C40C66FF867C}">
                  <a14:compatExt spid="_x0000_s18453"/>
                </a:ext>
                <a:ext uri="{FF2B5EF4-FFF2-40B4-BE49-F238E27FC236}">
                  <a16:creationId xmlns:a16="http://schemas.microsoft.com/office/drawing/2014/main" id="{00000000-0008-0000-0800-000015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0</xdr:rowOff>
        </xdr:from>
        <xdr:to>
          <xdr:col>1</xdr:col>
          <xdr:colOff>342900</xdr:colOff>
          <xdr:row>25</xdr:row>
          <xdr:rowOff>0</xdr:rowOff>
        </xdr:to>
        <xdr:sp macro="" textlink="">
          <xdr:nvSpPr>
            <xdr:cNvPr id="18454" name="Check Box 22" hidden="1">
              <a:extLst>
                <a:ext uri="{63B3BB69-23CF-44E3-9099-C40C66FF867C}">
                  <a14:compatExt spid="_x0000_s18454"/>
                </a:ext>
                <a:ext uri="{FF2B5EF4-FFF2-40B4-BE49-F238E27FC236}">
                  <a16:creationId xmlns:a16="http://schemas.microsoft.com/office/drawing/2014/main" id="{00000000-0008-0000-0800-000016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171450</xdr:rowOff>
        </xdr:from>
        <xdr:to>
          <xdr:col>1</xdr:col>
          <xdr:colOff>342900</xdr:colOff>
          <xdr:row>26</xdr:row>
          <xdr:rowOff>171450</xdr:rowOff>
        </xdr:to>
        <xdr:sp macro="" textlink="">
          <xdr:nvSpPr>
            <xdr:cNvPr id="18455" name="Check Box 23" hidden="1">
              <a:extLst>
                <a:ext uri="{63B3BB69-23CF-44E3-9099-C40C66FF867C}">
                  <a14:compatExt spid="_x0000_s18455"/>
                </a:ext>
                <a:ext uri="{FF2B5EF4-FFF2-40B4-BE49-F238E27FC236}">
                  <a16:creationId xmlns:a16="http://schemas.microsoft.com/office/drawing/2014/main" id="{00000000-0008-0000-0800-000017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180975</xdr:rowOff>
        </xdr:from>
        <xdr:to>
          <xdr:col>1</xdr:col>
          <xdr:colOff>342900</xdr:colOff>
          <xdr:row>27</xdr:row>
          <xdr:rowOff>180975</xdr:rowOff>
        </xdr:to>
        <xdr:sp macro="" textlink="">
          <xdr:nvSpPr>
            <xdr:cNvPr id="18456" name="Check Box 24" hidden="1">
              <a:extLst>
                <a:ext uri="{63B3BB69-23CF-44E3-9099-C40C66FF867C}">
                  <a14:compatExt spid="_x0000_s18456"/>
                </a:ext>
                <a:ext uri="{FF2B5EF4-FFF2-40B4-BE49-F238E27FC236}">
                  <a16:creationId xmlns:a16="http://schemas.microsoft.com/office/drawing/2014/main" id="{00000000-0008-0000-0800-000018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28</xdr:row>
          <xdr:rowOff>9525</xdr:rowOff>
        </xdr:from>
        <xdr:to>
          <xdr:col>1</xdr:col>
          <xdr:colOff>342900</xdr:colOff>
          <xdr:row>29</xdr:row>
          <xdr:rowOff>9525</xdr:rowOff>
        </xdr:to>
        <xdr:sp macro="" textlink="">
          <xdr:nvSpPr>
            <xdr:cNvPr id="18457" name="Check Box 25" hidden="1">
              <a:extLst>
                <a:ext uri="{63B3BB69-23CF-44E3-9099-C40C66FF867C}">
                  <a14:compatExt spid="_x0000_s18457"/>
                </a:ext>
                <a:ext uri="{FF2B5EF4-FFF2-40B4-BE49-F238E27FC236}">
                  <a16:creationId xmlns:a16="http://schemas.microsoft.com/office/drawing/2014/main" id="{00000000-0008-0000-0800-000019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29</xdr:row>
          <xdr:rowOff>0</xdr:rowOff>
        </xdr:from>
        <xdr:to>
          <xdr:col>1</xdr:col>
          <xdr:colOff>342900</xdr:colOff>
          <xdr:row>30</xdr:row>
          <xdr:rowOff>0</xdr:rowOff>
        </xdr:to>
        <xdr:sp macro="" textlink="">
          <xdr:nvSpPr>
            <xdr:cNvPr id="18458" name="Check Box 26" hidden="1">
              <a:extLst>
                <a:ext uri="{63B3BB69-23CF-44E3-9099-C40C66FF867C}">
                  <a14:compatExt spid="_x0000_s18458"/>
                </a:ext>
                <a:ext uri="{FF2B5EF4-FFF2-40B4-BE49-F238E27FC236}">
                  <a16:creationId xmlns:a16="http://schemas.microsoft.com/office/drawing/2014/main" id="{00000000-0008-0000-0800-00001A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30</xdr:row>
          <xdr:rowOff>0</xdr:rowOff>
        </xdr:from>
        <xdr:to>
          <xdr:col>1</xdr:col>
          <xdr:colOff>342900</xdr:colOff>
          <xdr:row>31</xdr:row>
          <xdr:rowOff>0</xdr:rowOff>
        </xdr:to>
        <xdr:sp macro="" textlink="">
          <xdr:nvSpPr>
            <xdr:cNvPr id="18459" name="Check Box 27" hidden="1">
              <a:extLst>
                <a:ext uri="{63B3BB69-23CF-44E3-9099-C40C66FF867C}">
                  <a14:compatExt spid="_x0000_s18459"/>
                </a:ext>
                <a:ext uri="{FF2B5EF4-FFF2-40B4-BE49-F238E27FC236}">
                  <a16:creationId xmlns:a16="http://schemas.microsoft.com/office/drawing/2014/main" id="{00000000-0008-0000-0800-00001B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31</xdr:row>
          <xdr:rowOff>0</xdr:rowOff>
        </xdr:from>
        <xdr:to>
          <xdr:col>1</xdr:col>
          <xdr:colOff>342900</xdr:colOff>
          <xdr:row>32</xdr:row>
          <xdr:rowOff>0</xdr:rowOff>
        </xdr:to>
        <xdr:sp macro="" textlink="">
          <xdr:nvSpPr>
            <xdr:cNvPr id="18460" name="Check Box 28" hidden="1">
              <a:extLst>
                <a:ext uri="{63B3BB69-23CF-44E3-9099-C40C66FF867C}">
                  <a14:compatExt spid="_x0000_s18460"/>
                </a:ext>
                <a:ext uri="{FF2B5EF4-FFF2-40B4-BE49-F238E27FC236}">
                  <a16:creationId xmlns:a16="http://schemas.microsoft.com/office/drawing/2014/main" id="{00000000-0008-0000-0800-00001C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171450</xdr:rowOff>
        </xdr:from>
        <xdr:to>
          <xdr:col>1</xdr:col>
          <xdr:colOff>333375</xdr:colOff>
          <xdr:row>32</xdr:row>
          <xdr:rowOff>171450</xdr:rowOff>
        </xdr:to>
        <xdr:sp macro="" textlink="">
          <xdr:nvSpPr>
            <xdr:cNvPr id="18461" name="Check Box 29" hidden="1">
              <a:extLst>
                <a:ext uri="{63B3BB69-23CF-44E3-9099-C40C66FF867C}">
                  <a14:compatExt spid="_x0000_s18461"/>
                </a:ext>
                <a:ext uri="{FF2B5EF4-FFF2-40B4-BE49-F238E27FC236}">
                  <a16:creationId xmlns:a16="http://schemas.microsoft.com/office/drawing/2014/main" id="{00000000-0008-0000-0800-00001D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33</xdr:row>
          <xdr:rowOff>0</xdr:rowOff>
        </xdr:from>
        <xdr:to>
          <xdr:col>1</xdr:col>
          <xdr:colOff>323850</xdr:colOff>
          <xdr:row>34</xdr:row>
          <xdr:rowOff>0</xdr:rowOff>
        </xdr:to>
        <xdr:sp macro="" textlink="">
          <xdr:nvSpPr>
            <xdr:cNvPr id="18462" name="Check Box 30" hidden="1">
              <a:extLst>
                <a:ext uri="{63B3BB69-23CF-44E3-9099-C40C66FF867C}">
                  <a14:compatExt spid="_x0000_s18462"/>
                </a:ext>
                <a:ext uri="{FF2B5EF4-FFF2-40B4-BE49-F238E27FC236}">
                  <a16:creationId xmlns:a16="http://schemas.microsoft.com/office/drawing/2014/main" id="{00000000-0008-0000-0800-00001E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19050</xdr:rowOff>
        </xdr:from>
        <xdr:to>
          <xdr:col>1</xdr:col>
          <xdr:colOff>342900</xdr:colOff>
          <xdr:row>4</xdr:row>
          <xdr:rowOff>19050</xdr:rowOff>
        </xdr:to>
        <xdr:sp macro="" textlink="">
          <xdr:nvSpPr>
            <xdr:cNvPr id="20481" name="Case à cocher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4</xdr:row>
          <xdr:rowOff>9525</xdr:rowOff>
        </xdr:from>
        <xdr:to>
          <xdr:col>1</xdr:col>
          <xdr:colOff>342900</xdr:colOff>
          <xdr:row>5</xdr:row>
          <xdr:rowOff>9525</xdr:rowOff>
        </xdr:to>
        <xdr:sp macro="" textlink="">
          <xdr:nvSpPr>
            <xdr:cNvPr id="20482" name="Case à cocher 2"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5</xdr:row>
          <xdr:rowOff>19050</xdr:rowOff>
        </xdr:from>
        <xdr:to>
          <xdr:col>1</xdr:col>
          <xdr:colOff>342900</xdr:colOff>
          <xdr:row>6</xdr:row>
          <xdr:rowOff>19050</xdr:rowOff>
        </xdr:to>
        <xdr:sp macro="" textlink="">
          <xdr:nvSpPr>
            <xdr:cNvPr id="20483" name="Case à cocher 4"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7</xdr:row>
          <xdr:rowOff>9525</xdr:rowOff>
        </xdr:from>
        <xdr:to>
          <xdr:col>1</xdr:col>
          <xdr:colOff>342900</xdr:colOff>
          <xdr:row>8</xdr:row>
          <xdr:rowOff>9525</xdr:rowOff>
        </xdr:to>
        <xdr:sp macro="" textlink="">
          <xdr:nvSpPr>
            <xdr:cNvPr id="20484" name="Case à cocher 5"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6</xdr:row>
          <xdr:rowOff>19050</xdr:rowOff>
        </xdr:from>
        <xdr:to>
          <xdr:col>1</xdr:col>
          <xdr:colOff>342900</xdr:colOff>
          <xdr:row>7</xdr:row>
          <xdr:rowOff>19050</xdr:rowOff>
        </xdr:to>
        <xdr:sp macro="" textlink="">
          <xdr:nvSpPr>
            <xdr:cNvPr id="20485" name="Case à cocher 6"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8</xdr:row>
          <xdr:rowOff>19050</xdr:rowOff>
        </xdr:from>
        <xdr:to>
          <xdr:col>1</xdr:col>
          <xdr:colOff>342900</xdr:colOff>
          <xdr:row>9</xdr:row>
          <xdr:rowOff>19050</xdr:rowOff>
        </xdr:to>
        <xdr:sp macro="" textlink="">
          <xdr:nvSpPr>
            <xdr:cNvPr id="20486" name="Case à cocher 7"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9</xdr:row>
          <xdr:rowOff>9525</xdr:rowOff>
        </xdr:from>
        <xdr:to>
          <xdr:col>1</xdr:col>
          <xdr:colOff>342900</xdr:colOff>
          <xdr:row>10</xdr:row>
          <xdr:rowOff>9525</xdr:rowOff>
        </xdr:to>
        <xdr:sp macro="" textlink="">
          <xdr:nvSpPr>
            <xdr:cNvPr id="20487" name="Case à cocher 8"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10</xdr:row>
          <xdr:rowOff>9525</xdr:rowOff>
        </xdr:from>
        <xdr:to>
          <xdr:col>1</xdr:col>
          <xdr:colOff>342900</xdr:colOff>
          <xdr:row>11</xdr:row>
          <xdr:rowOff>9525</xdr:rowOff>
        </xdr:to>
        <xdr:sp macro="" textlink="">
          <xdr:nvSpPr>
            <xdr:cNvPr id="20488" name="Case à cocher 9"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10</xdr:row>
          <xdr:rowOff>171450</xdr:rowOff>
        </xdr:from>
        <xdr:to>
          <xdr:col>1</xdr:col>
          <xdr:colOff>342900</xdr:colOff>
          <xdr:row>11</xdr:row>
          <xdr:rowOff>171450</xdr:rowOff>
        </xdr:to>
        <xdr:sp macro="" textlink="">
          <xdr:nvSpPr>
            <xdr:cNvPr id="20489" name="Case à cocher 10" hidden="1">
              <a:extLst>
                <a:ext uri="{63B3BB69-23CF-44E3-9099-C40C66FF867C}">
                  <a14:compatExt spid="_x0000_s20489"/>
                </a:ext>
                <a:ext uri="{FF2B5EF4-FFF2-40B4-BE49-F238E27FC236}">
                  <a16:creationId xmlns:a16="http://schemas.microsoft.com/office/drawing/2014/main" id="{00000000-0008-0000-0900-00000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11</xdr:row>
          <xdr:rowOff>171450</xdr:rowOff>
        </xdr:from>
        <xdr:to>
          <xdr:col>1</xdr:col>
          <xdr:colOff>342900</xdr:colOff>
          <xdr:row>12</xdr:row>
          <xdr:rowOff>171450</xdr:rowOff>
        </xdr:to>
        <xdr:sp macro="" textlink="">
          <xdr:nvSpPr>
            <xdr:cNvPr id="20490" name="Case à cocher 11" hidden="1">
              <a:extLst>
                <a:ext uri="{63B3BB69-23CF-44E3-9099-C40C66FF867C}">
                  <a14:compatExt spid="_x0000_s20490"/>
                </a:ext>
                <a:ext uri="{FF2B5EF4-FFF2-40B4-BE49-F238E27FC236}">
                  <a16:creationId xmlns:a16="http://schemas.microsoft.com/office/drawing/2014/main" id="{00000000-0008-0000-0900-00000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12</xdr:row>
          <xdr:rowOff>171450</xdr:rowOff>
        </xdr:from>
        <xdr:to>
          <xdr:col>1</xdr:col>
          <xdr:colOff>342900</xdr:colOff>
          <xdr:row>13</xdr:row>
          <xdr:rowOff>171450</xdr:rowOff>
        </xdr:to>
        <xdr:sp macro="" textlink="">
          <xdr:nvSpPr>
            <xdr:cNvPr id="20491" name="Check Box 11" hidden="1">
              <a:extLst>
                <a:ext uri="{63B3BB69-23CF-44E3-9099-C40C66FF867C}">
                  <a14:compatExt spid="_x0000_s20491"/>
                </a:ext>
                <a:ext uri="{FF2B5EF4-FFF2-40B4-BE49-F238E27FC236}">
                  <a16:creationId xmlns:a16="http://schemas.microsoft.com/office/drawing/2014/main" id="{00000000-0008-0000-0900-00000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530679</xdr:colOff>
      <xdr:row>0</xdr:row>
      <xdr:rowOff>69396</xdr:rowOff>
    </xdr:from>
    <xdr:to>
      <xdr:col>18</xdr:col>
      <xdr:colOff>449036</xdr:colOff>
      <xdr:row>13</xdr:row>
      <xdr:rowOff>122464</xdr:rowOff>
    </xdr:to>
    <xdr:graphicFrame macro="">
      <xdr:nvGraphicFramePr>
        <xdr:cNvPr id="13" name="Chart 1">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161925</xdr:colOff>
          <xdr:row>13</xdr:row>
          <xdr:rowOff>180975</xdr:rowOff>
        </xdr:from>
        <xdr:to>
          <xdr:col>1</xdr:col>
          <xdr:colOff>342900</xdr:colOff>
          <xdr:row>15</xdr:row>
          <xdr:rowOff>0</xdr:rowOff>
        </xdr:to>
        <xdr:sp macro="" textlink="">
          <xdr:nvSpPr>
            <xdr:cNvPr id="20492" name="Check Box 13" hidden="1">
              <a:extLst>
                <a:ext uri="{63B3BB69-23CF-44E3-9099-C40C66FF867C}">
                  <a14:compatExt spid="_x0000_s20492"/>
                </a:ext>
                <a:ext uri="{FF2B5EF4-FFF2-40B4-BE49-F238E27FC236}">
                  <a16:creationId xmlns:a16="http://schemas.microsoft.com/office/drawing/2014/main" id="{00000000-0008-0000-0900-00000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180975</xdr:rowOff>
        </xdr:from>
        <xdr:to>
          <xdr:col>1</xdr:col>
          <xdr:colOff>342900</xdr:colOff>
          <xdr:row>16</xdr:row>
          <xdr:rowOff>0</xdr:rowOff>
        </xdr:to>
        <xdr:sp macro="" textlink="">
          <xdr:nvSpPr>
            <xdr:cNvPr id="20493" name="Check Box 14" hidden="1">
              <a:extLst>
                <a:ext uri="{63B3BB69-23CF-44E3-9099-C40C66FF867C}">
                  <a14:compatExt spid="_x0000_s20493"/>
                </a:ext>
                <a:ext uri="{FF2B5EF4-FFF2-40B4-BE49-F238E27FC236}">
                  <a16:creationId xmlns:a16="http://schemas.microsoft.com/office/drawing/2014/main" id="{00000000-0008-0000-0900-00000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0</xdr:rowOff>
        </xdr:from>
        <xdr:to>
          <xdr:col>1</xdr:col>
          <xdr:colOff>342900</xdr:colOff>
          <xdr:row>17</xdr:row>
          <xdr:rowOff>0</xdr:rowOff>
        </xdr:to>
        <xdr:sp macro="" textlink="">
          <xdr:nvSpPr>
            <xdr:cNvPr id="20494" name="Check Box 15" hidden="1">
              <a:extLst>
                <a:ext uri="{63B3BB69-23CF-44E3-9099-C40C66FF867C}">
                  <a14:compatExt spid="_x0000_s20494"/>
                </a:ext>
                <a:ext uri="{FF2B5EF4-FFF2-40B4-BE49-F238E27FC236}">
                  <a16:creationId xmlns:a16="http://schemas.microsoft.com/office/drawing/2014/main" id="{00000000-0008-0000-0900-00000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180975</xdr:rowOff>
        </xdr:from>
        <xdr:to>
          <xdr:col>1</xdr:col>
          <xdr:colOff>342900</xdr:colOff>
          <xdr:row>18</xdr:row>
          <xdr:rowOff>0</xdr:rowOff>
        </xdr:to>
        <xdr:sp macro="" textlink="">
          <xdr:nvSpPr>
            <xdr:cNvPr id="20495" name="Check Box 16" hidden="1">
              <a:extLst>
                <a:ext uri="{63B3BB69-23CF-44E3-9099-C40C66FF867C}">
                  <a14:compatExt spid="_x0000_s20495"/>
                </a:ext>
                <a:ext uri="{FF2B5EF4-FFF2-40B4-BE49-F238E27FC236}">
                  <a16:creationId xmlns:a16="http://schemas.microsoft.com/office/drawing/2014/main" id="{00000000-0008-0000-0900-00000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180975</xdr:rowOff>
        </xdr:from>
        <xdr:to>
          <xdr:col>1</xdr:col>
          <xdr:colOff>342900</xdr:colOff>
          <xdr:row>19</xdr:row>
          <xdr:rowOff>0</xdr:rowOff>
        </xdr:to>
        <xdr:sp macro="" textlink="">
          <xdr:nvSpPr>
            <xdr:cNvPr id="20496" name="Check Box 17"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0</xdr:rowOff>
        </xdr:from>
        <xdr:to>
          <xdr:col>1</xdr:col>
          <xdr:colOff>342900</xdr:colOff>
          <xdr:row>20</xdr:row>
          <xdr:rowOff>0</xdr:rowOff>
        </xdr:to>
        <xdr:sp macro="" textlink="">
          <xdr:nvSpPr>
            <xdr:cNvPr id="20497" name="Check Box 18"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0</xdr:rowOff>
        </xdr:from>
        <xdr:to>
          <xdr:col>1</xdr:col>
          <xdr:colOff>342900</xdr:colOff>
          <xdr:row>21</xdr:row>
          <xdr:rowOff>0</xdr:rowOff>
        </xdr:to>
        <xdr:sp macro="" textlink="">
          <xdr:nvSpPr>
            <xdr:cNvPr id="20498" name="Check Box 19" hidden="1">
              <a:extLst>
                <a:ext uri="{63B3BB69-23CF-44E3-9099-C40C66FF867C}">
                  <a14:compatExt spid="_x0000_s20498"/>
                </a:ext>
                <a:ext uri="{FF2B5EF4-FFF2-40B4-BE49-F238E27FC236}">
                  <a16:creationId xmlns:a16="http://schemas.microsoft.com/office/drawing/2014/main" id="{00000000-0008-0000-0900-00001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13</xdr:row>
      <xdr:rowOff>152397</xdr:rowOff>
    </xdr:from>
    <xdr:to>
      <xdr:col>18</xdr:col>
      <xdr:colOff>435427</xdr:colOff>
      <xdr:row>29</xdr:row>
      <xdr:rowOff>68035</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161925</xdr:colOff>
          <xdr:row>21</xdr:row>
          <xdr:rowOff>9525</xdr:rowOff>
        </xdr:from>
        <xdr:to>
          <xdr:col>1</xdr:col>
          <xdr:colOff>342900</xdr:colOff>
          <xdr:row>22</xdr:row>
          <xdr:rowOff>9525</xdr:rowOff>
        </xdr:to>
        <xdr:sp macro="" textlink="">
          <xdr:nvSpPr>
            <xdr:cNvPr id="20499" name="Check Box 2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9525</xdr:rowOff>
        </xdr:from>
        <xdr:to>
          <xdr:col>1</xdr:col>
          <xdr:colOff>342900</xdr:colOff>
          <xdr:row>23</xdr:row>
          <xdr:rowOff>9525</xdr:rowOff>
        </xdr:to>
        <xdr:sp macro="" textlink="">
          <xdr:nvSpPr>
            <xdr:cNvPr id="20500" name="Check Box 2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180975</xdr:rowOff>
        </xdr:from>
        <xdr:to>
          <xdr:col>1</xdr:col>
          <xdr:colOff>342900</xdr:colOff>
          <xdr:row>23</xdr:row>
          <xdr:rowOff>180975</xdr:rowOff>
        </xdr:to>
        <xdr:sp macro="" textlink="">
          <xdr:nvSpPr>
            <xdr:cNvPr id="20501" name="Check Box 21" hidden="1">
              <a:extLst>
                <a:ext uri="{63B3BB69-23CF-44E3-9099-C40C66FF867C}">
                  <a14:compatExt spid="_x0000_s20501"/>
                </a:ext>
                <a:ext uri="{FF2B5EF4-FFF2-40B4-BE49-F238E27FC236}">
                  <a16:creationId xmlns:a16="http://schemas.microsoft.com/office/drawing/2014/main" id="{00000000-0008-0000-0900-00001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0</xdr:rowOff>
        </xdr:from>
        <xdr:to>
          <xdr:col>1</xdr:col>
          <xdr:colOff>342900</xdr:colOff>
          <xdr:row>25</xdr:row>
          <xdr:rowOff>0</xdr:rowOff>
        </xdr:to>
        <xdr:sp macro="" textlink="">
          <xdr:nvSpPr>
            <xdr:cNvPr id="20502" name="Check Box 2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171450</xdr:rowOff>
        </xdr:from>
        <xdr:to>
          <xdr:col>1</xdr:col>
          <xdr:colOff>342900</xdr:colOff>
          <xdr:row>26</xdr:row>
          <xdr:rowOff>171450</xdr:rowOff>
        </xdr:to>
        <xdr:sp macro="" textlink="">
          <xdr:nvSpPr>
            <xdr:cNvPr id="20503" name="Check Box 2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180975</xdr:rowOff>
        </xdr:from>
        <xdr:to>
          <xdr:col>1</xdr:col>
          <xdr:colOff>342900</xdr:colOff>
          <xdr:row>27</xdr:row>
          <xdr:rowOff>180975</xdr:rowOff>
        </xdr:to>
        <xdr:sp macro="" textlink="">
          <xdr:nvSpPr>
            <xdr:cNvPr id="20504" name="Check Box 2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28</xdr:row>
          <xdr:rowOff>9525</xdr:rowOff>
        </xdr:from>
        <xdr:to>
          <xdr:col>1</xdr:col>
          <xdr:colOff>342900</xdr:colOff>
          <xdr:row>29</xdr:row>
          <xdr:rowOff>9525</xdr:rowOff>
        </xdr:to>
        <xdr:sp macro="" textlink="">
          <xdr:nvSpPr>
            <xdr:cNvPr id="20505" name="Check Box 25" hidden="1">
              <a:extLst>
                <a:ext uri="{63B3BB69-23CF-44E3-9099-C40C66FF867C}">
                  <a14:compatExt spid="_x0000_s20505"/>
                </a:ext>
                <a:ext uri="{FF2B5EF4-FFF2-40B4-BE49-F238E27FC236}">
                  <a16:creationId xmlns:a16="http://schemas.microsoft.com/office/drawing/2014/main" id="{00000000-0008-0000-0900-00001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29</xdr:row>
          <xdr:rowOff>0</xdr:rowOff>
        </xdr:from>
        <xdr:to>
          <xdr:col>1</xdr:col>
          <xdr:colOff>342900</xdr:colOff>
          <xdr:row>30</xdr:row>
          <xdr:rowOff>0</xdr:rowOff>
        </xdr:to>
        <xdr:sp macro="" textlink="">
          <xdr:nvSpPr>
            <xdr:cNvPr id="20506" name="Check Box 26" hidden="1">
              <a:extLst>
                <a:ext uri="{63B3BB69-23CF-44E3-9099-C40C66FF867C}">
                  <a14:compatExt spid="_x0000_s20506"/>
                </a:ext>
                <a:ext uri="{FF2B5EF4-FFF2-40B4-BE49-F238E27FC236}">
                  <a16:creationId xmlns:a16="http://schemas.microsoft.com/office/drawing/2014/main" id="{00000000-0008-0000-0900-00001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30</xdr:row>
          <xdr:rowOff>0</xdr:rowOff>
        </xdr:from>
        <xdr:to>
          <xdr:col>1</xdr:col>
          <xdr:colOff>342900</xdr:colOff>
          <xdr:row>31</xdr:row>
          <xdr:rowOff>0</xdr:rowOff>
        </xdr:to>
        <xdr:sp macro="" textlink="">
          <xdr:nvSpPr>
            <xdr:cNvPr id="20507" name="Check Box 27" hidden="1">
              <a:extLst>
                <a:ext uri="{63B3BB69-23CF-44E3-9099-C40C66FF867C}">
                  <a14:compatExt spid="_x0000_s20507"/>
                </a:ext>
                <a:ext uri="{FF2B5EF4-FFF2-40B4-BE49-F238E27FC236}">
                  <a16:creationId xmlns:a16="http://schemas.microsoft.com/office/drawing/2014/main" id="{00000000-0008-0000-0900-00001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31</xdr:row>
          <xdr:rowOff>0</xdr:rowOff>
        </xdr:from>
        <xdr:to>
          <xdr:col>1</xdr:col>
          <xdr:colOff>342900</xdr:colOff>
          <xdr:row>32</xdr:row>
          <xdr:rowOff>0</xdr:rowOff>
        </xdr:to>
        <xdr:sp macro="" textlink="">
          <xdr:nvSpPr>
            <xdr:cNvPr id="20508" name="Check Box 28"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171450</xdr:rowOff>
        </xdr:from>
        <xdr:to>
          <xdr:col>1</xdr:col>
          <xdr:colOff>333375</xdr:colOff>
          <xdr:row>32</xdr:row>
          <xdr:rowOff>171450</xdr:rowOff>
        </xdr:to>
        <xdr:sp macro="" textlink="">
          <xdr:nvSpPr>
            <xdr:cNvPr id="20509" name="Check Box 29"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33</xdr:row>
          <xdr:rowOff>0</xdr:rowOff>
        </xdr:from>
        <xdr:to>
          <xdr:col>1</xdr:col>
          <xdr:colOff>323850</xdr:colOff>
          <xdr:row>34</xdr:row>
          <xdr:rowOff>0</xdr:rowOff>
        </xdr:to>
        <xdr:sp macro="" textlink="">
          <xdr:nvSpPr>
            <xdr:cNvPr id="20510" name="Check Box 30"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19050</xdr:rowOff>
        </xdr:from>
        <xdr:to>
          <xdr:col>1</xdr:col>
          <xdr:colOff>342900</xdr:colOff>
          <xdr:row>4</xdr:row>
          <xdr:rowOff>19050</xdr:rowOff>
        </xdr:to>
        <xdr:sp macro="" textlink="">
          <xdr:nvSpPr>
            <xdr:cNvPr id="22529" name="Case à cocher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4</xdr:row>
          <xdr:rowOff>9525</xdr:rowOff>
        </xdr:from>
        <xdr:to>
          <xdr:col>1</xdr:col>
          <xdr:colOff>342900</xdr:colOff>
          <xdr:row>5</xdr:row>
          <xdr:rowOff>9525</xdr:rowOff>
        </xdr:to>
        <xdr:sp macro="" textlink="">
          <xdr:nvSpPr>
            <xdr:cNvPr id="22530" name="Case à cocher 2" hidden="1">
              <a:extLst>
                <a:ext uri="{63B3BB69-23CF-44E3-9099-C40C66FF867C}">
                  <a14:compatExt spid="_x0000_s22530"/>
                </a:ext>
                <a:ext uri="{FF2B5EF4-FFF2-40B4-BE49-F238E27FC236}">
                  <a16:creationId xmlns:a16="http://schemas.microsoft.com/office/drawing/2014/main" id="{00000000-0008-0000-0A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5</xdr:row>
          <xdr:rowOff>19050</xdr:rowOff>
        </xdr:from>
        <xdr:to>
          <xdr:col>1</xdr:col>
          <xdr:colOff>342900</xdr:colOff>
          <xdr:row>6</xdr:row>
          <xdr:rowOff>19050</xdr:rowOff>
        </xdr:to>
        <xdr:sp macro="" textlink="">
          <xdr:nvSpPr>
            <xdr:cNvPr id="22531" name="Case à cocher 4" hidden="1">
              <a:extLst>
                <a:ext uri="{63B3BB69-23CF-44E3-9099-C40C66FF867C}">
                  <a14:compatExt spid="_x0000_s22531"/>
                </a:ext>
                <a:ext uri="{FF2B5EF4-FFF2-40B4-BE49-F238E27FC236}">
                  <a16:creationId xmlns:a16="http://schemas.microsoft.com/office/drawing/2014/main" id="{00000000-0008-0000-0A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7</xdr:row>
          <xdr:rowOff>9525</xdr:rowOff>
        </xdr:from>
        <xdr:to>
          <xdr:col>1</xdr:col>
          <xdr:colOff>342900</xdr:colOff>
          <xdr:row>8</xdr:row>
          <xdr:rowOff>9525</xdr:rowOff>
        </xdr:to>
        <xdr:sp macro="" textlink="">
          <xdr:nvSpPr>
            <xdr:cNvPr id="22532" name="Case à cocher 5" hidden="1">
              <a:extLst>
                <a:ext uri="{63B3BB69-23CF-44E3-9099-C40C66FF867C}">
                  <a14:compatExt spid="_x0000_s22532"/>
                </a:ext>
                <a:ext uri="{FF2B5EF4-FFF2-40B4-BE49-F238E27FC236}">
                  <a16:creationId xmlns:a16="http://schemas.microsoft.com/office/drawing/2014/main" id="{00000000-0008-0000-0A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6</xdr:row>
          <xdr:rowOff>19050</xdr:rowOff>
        </xdr:from>
        <xdr:to>
          <xdr:col>1</xdr:col>
          <xdr:colOff>342900</xdr:colOff>
          <xdr:row>7</xdr:row>
          <xdr:rowOff>19050</xdr:rowOff>
        </xdr:to>
        <xdr:sp macro="" textlink="">
          <xdr:nvSpPr>
            <xdr:cNvPr id="22533" name="Case à cocher 6" hidden="1">
              <a:extLst>
                <a:ext uri="{63B3BB69-23CF-44E3-9099-C40C66FF867C}">
                  <a14:compatExt spid="_x0000_s22533"/>
                </a:ext>
                <a:ext uri="{FF2B5EF4-FFF2-40B4-BE49-F238E27FC236}">
                  <a16:creationId xmlns:a16="http://schemas.microsoft.com/office/drawing/2014/main" id="{00000000-0008-0000-0A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8</xdr:row>
          <xdr:rowOff>19050</xdr:rowOff>
        </xdr:from>
        <xdr:to>
          <xdr:col>1</xdr:col>
          <xdr:colOff>342900</xdr:colOff>
          <xdr:row>9</xdr:row>
          <xdr:rowOff>19050</xdr:rowOff>
        </xdr:to>
        <xdr:sp macro="" textlink="">
          <xdr:nvSpPr>
            <xdr:cNvPr id="22534" name="Case à cocher 7" hidden="1">
              <a:extLst>
                <a:ext uri="{63B3BB69-23CF-44E3-9099-C40C66FF867C}">
                  <a14:compatExt spid="_x0000_s22534"/>
                </a:ext>
                <a:ext uri="{FF2B5EF4-FFF2-40B4-BE49-F238E27FC236}">
                  <a16:creationId xmlns:a16="http://schemas.microsoft.com/office/drawing/2014/main" id="{00000000-0008-0000-0A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9</xdr:row>
          <xdr:rowOff>9525</xdr:rowOff>
        </xdr:from>
        <xdr:to>
          <xdr:col>1</xdr:col>
          <xdr:colOff>342900</xdr:colOff>
          <xdr:row>10</xdr:row>
          <xdr:rowOff>9525</xdr:rowOff>
        </xdr:to>
        <xdr:sp macro="" textlink="">
          <xdr:nvSpPr>
            <xdr:cNvPr id="22535" name="Case à cocher 8" hidden="1">
              <a:extLst>
                <a:ext uri="{63B3BB69-23CF-44E3-9099-C40C66FF867C}">
                  <a14:compatExt spid="_x0000_s22535"/>
                </a:ext>
                <a:ext uri="{FF2B5EF4-FFF2-40B4-BE49-F238E27FC236}">
                  <a16:creationId xmlns:a16="http://schemas.microsoft.com/office/drawing/2014/main" id="{00000000-0008-0000-0A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10</xdr:row>
          <xdr:rowOff>9525</xdr:rowOff>
        </xdr:from>
        <xdr:to>
          <xdr:col>1</xdr:col>
          <xdr:colOff>342900</xdr:colOff>
          <xdr:row>11</xdr:row>
          <xdr:rowOff>9525</xdr:rowOff>
        </xdr:to>
        <xdr:sp macro="" textlink="">
          <xdr:nvSpPr>
            <xdr:cNvPr id="22536" name="Case à cocher 9" hidden="1">
              <a:extLst>
                <a:ext uri="{63B3BB69-23CF-44E3-9099-C40C66FF867C}">
                  <a14:compatExt spid="_x0000_s22536"/>
                </a:ext>
                <a:ext uri="{FF2B5EF4-FFF2-40B4-BE49-F238E27FC236}">
                  <a16:creationId xmlns:a16="http://schemas.microsoft.com/office/drawing/2014/main" id="{00000000-0008-0000-0A00-00000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10</xdr:row>
          <xdr:rowOff>171450</xdr:rowOff>
        </xdr:from>
        <xdr:to>
          <xdr:col>1</xdr:col>
          <xdr:colOff>342900</xdr:colOff>
          <xdr:row>11</xdr:row>
          <xdr:rowOff>171450</xdr:rowOff>
        </xdr:to>
        <xdr:sp macro="" textlink="">
          <xdr:nvSpPr>
            <xdr:cNvPr id="22537" name="Case à cocher 10"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11</xdr:row>
          <xdr:rowOff>171450</xdr:rowOff>
        </xdr:from>
        <xdr:to>
          <xdr:col>1</xdr:col>
          <xdr:colOff>342900</xdr:colOff>
          <xdr:row>12</xdr:row>
          <xdr:rowOff>171450</xdr:rowOff>
        </xdr:to>
        <xdr:sp macro="" textlink="">
          <xdr:nvSpPr>
            <xdr:cNvPr id="22538" name="Case à cocher 11"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12</xdr:row>
          <xdr:rowOff>171450</xdr:rowOff>
        </xdr:from>
        <xdr:to>
          <xdr:col>1</xdr:col>
          <xdr:colOff>342900</xdr:colOff>
          <xdr:row>13</xdr:row>
          <xdr:rowOff>171450</xdr:rowOff>
        </xdr:to>
        <xdr:sp macro="" textlink="">
          <xdr:nvSpPr>
            <xdr:cNvPr id="22539" name="Check Box 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530679</xdr:colOff>
      <xdr:row>0</xdr:row>
      <xdr:rowOff>69396</xdr:rowOff>
    </xdr:from>
    <xdr:to>
      <xdr:col>18</xdr:col>
      <xdr:colOff>449036</xdr:colOff>
      <xdr:row>13</xdr:row>
      <xdr:rowOff>122464</xdr:rowOff>
    </xdr:to>
    <xdr:graphicFrame macro="">
      <xdr:nvGraphicFramePr>
        <xdr:cNvPr id="13" name="Chart 1">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161925</xdr:colOff>
          <xdr:row>13</xdr:row>
          <xdr:rowOff>180975</xdr:rowOff>
        </xdr:from>
        <xdr:to>
          <xdr:col>1</xdr:col>
          <xdr:colOff>342900</xdr:colOff>
          <xdr:row>15</xdr:row>
          <xdr:rowOff>0</xdr:rowOff>
        </xdr:to>
        <xdr:sp macro="" textlink="">
          <xdr:nvSpPr>
            <xdr:cNvPr id="22540" name="Check Box 13"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180975</xdr:rowOff>
        </xdr:from>
        <xdr:to>
          <xdr:col>1</xdr:col>
          <xdr:colOff>342900</xdr:colOff>
          <xdr:row>16</xdr:row>
          <xdr:rowOff>0</xdr:rowOff>
        </xdr:to>
        <xdr:sp macro="" textlink="">
          <xdr:nvSpPr>
            <xdr:cNvPr id="22541" name="Check Box 14"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0</xdr:rowOff>
        </xdr:from>
        <xdr:to>
          <xdr:col>1</xdr:col>
          <xdr:colOff>342900</xdr:colOff>
          <xdr:row>17</xdr:row>
          <xdr:rowOff>0</xdr:rowOff>
        </xdr:to>
        <xdr:sp macro="" textlink="">
          <xdr:nvSpPr>
            <xdr:cNvPr id="22542" name="Check Box 15"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180975</xdr:rowOff>
        </xdr:from>
        <xdr:to>
          <xdr:col>1</xdr:col>
          <xdr:colOff>342900</xdr:colOff>
          <xdr:row>18</xdr:row>
          <xdr:rowOff>0</xdr:rowOff>
        </xdr:to>
        <xdr:sp macro="" textlink="">
          <xdr:nvSpPr>
            <xdr:cNvPr id="22543" name="Check Box 16"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180975</xdr:rowOff>
        </xdr:from>
        <xdr:to>
          <xdr:col>1</xdr:col>
          <xdr:colOff>342900</xdr:colOff>
          <xdr:row>19</xdr:row>
          <xdr:rowOff>0</xdr:rowOff>
        </xdr:to>
        <xdr:sp macro="" textlink="">
          <xdr:nvSpPr>
            <xdr:cNvPr id="22544" name="Check Box 17"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0</xdr:rowOff>
        </xdr:from>
        <xdr:to>
          <xdr:col>1</xdr:col>
          <xdr:colOff>342900</xdr:colOff>
          <xdr:row>20</xdr:row>
          <xdr:rowOff>0</xdr:rowOff>
        </xdr:to>
        <xdr:sp macro="" textlink="">
          <xdr:nvSpPr>
            <xdr:cNvPr id="22545" name="Check Box 18" hidden="1">
              <a:extLst>
                <a:ext uri="{63B3BB69-23CF-44E3-9099-C40C66FF867C}">
                  <a14:compatExt spid="_x0000_s22545"/>
                </a:ext>
                <a:ext uri="{FF2B5EF4-FFF2-40B4-BE49-F238E27FC236}">
                  <a16:creationId xmlns:a16="http://schemas.microsoft.com/office/drawing/2014/main" id="{00000000-0008-0000-0A00-00001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0</xdr:rowOff>
        </xdr:from>
        <xdr:to>
          <xdr:col>1</xdr:col>
          <xdr:colOff>342900</xdr:colOff>
          <xdr:row>21</xdr:row>
          <xdr:rowOff>0</xdr:rowOff>
        </xdr:to>
        <xdr:sp macro="" textlink="">
          <xdr:nvSpPr>
            <xdr:cNvPr id="22546" name="Check Box 19"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13</xdr:row>
      <xdr:rowOff>152397</xdr:rowOff>
    </xdr:from>
    <xdr:to>
      <xdr:col>18</xdr:col>
      <xdr:colOff>435427</xdr:colOff>
      <xdr:row>29</xdr:row>
      <xdr:rowOff>68035</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161925</xdr:colOff>
          <xdr:row>21</xdr:row>
          <xdr:rowOff>9525</xdr:rowOff>
        </xdr:from>
        <xdr:to>
          <xdr:col>1</xdr:col>
          <xdr:colOff>342900</xdr:colOff>
          <xdr:row>22</xdr:row>
          <xdr:rowOff>9525</xdr:rowOff>
        </xdr:to>
        <xdr:sp macro="" textlink="">
          <xdr:nvSpPr>
            <xdr:cNvPr id="22547" name="Check Box 20" hidden="1">
              <a:extLst>
                <a:ext uri="{63B3BB69-23CF-44E3-9099-C40C66FF867C}">
                  <a14:compatExt spid="_x0000_s22547"/>
                </a:ext>
                <a:ext uri="{FF2B5EF4-FFF2-40B4-BE49-F238E27FC236}">
                  <a16:creationId xmlns:a16="http://schemas.microsoft.com/office/drawing/2014/main" id="{00000000-0008-0000-0A00-00001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9525</xdr:rowOff>
        </xdr:from>
        <xdr:to>
          <xdr:col>1</xdr:col>
          <xdr:colOff>342900</xdr:colOff>
          <xdr:row>23</xdr:row>
          <xdr:rowOff>9525</xdr:rowOff>
        </xdr:to>
        <xdr:sp macro="" textlink="">
          <xdr:nvSpPr>
            <xdr:cNvPr id="22548" name="Check Box 21"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180975</xdr:rowOff>
        </xdr:from>
        <xdr:to>
          <xdr:col>1</xdr:col>
          <xdr:colOff>342900</xdr:colOff>
          <xdr:row>23</xdr:row>
          <xdr:rowOff>180975</xdr:rowOff>
        </xdr:to>
        <xdr:sp macro="" textlink="">
          <xdr:nvSpPr>
            <xdr:cNvPr id="22549" name="Check Box 21" hidden="1">
              <a:extLst>
                <a:ext uri="{63B3BB69-23CF-44E3-9099-C40C66FF867C}">
                  <a14:compatExt spid="_x0000_s22549"/>
                </a:ext>
                <a:ext uri="{FF2B5EF4-FFF2-40B4-BE49-F238E27FC236}">
                  <a16:creationId xmlns:a16="http://schemas.microsoft.com/office/drawing/2014/main" id="{00000000-0008-0000-0A00-00001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0</xdr:rowOff>
        </xdr:from>
        <xdr:to>
          <xdr:col>1</xdr:col>
          <xdr:colOff>342900</xdr:colOff>
          <xdr:row>25</xdr:row>
          <xdr:rowOff>0</xdr:rowOff>
        </xdr:to>
        <xdr:sp macro="" textlink="">
          <xdr:nvSpPr>
            <xdr:cNvPr id="22550" name="Check Box 22" hidden="1">
              <a:extLst>
                <a:ext uri="{63B3BB69-23CF-44E3-9099-C40C66FF867C}">
                  <a14:compatExt spid="_x0000_s22550"/>
                </a:ext>
                <a:ext uri="{FF2B5EF4-FFF2-40B4-BE49-F238E27FC236}">
                  <a16:creationId xmlns:a16="http://schemas.microsoft.com/office/drawing/2014/main" id="{00000000-0008-0000-0A00-00001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171450</xdr:rowOff>
        </xdr:from>
        <xdr:to>
          <xdr:col>1</xdr:col>
          <xdr:colOff>342900</xdr:colOff>
          <xdr:row>26</xdr:row>
          <xdr:rowOff>171450</xdr:rowOff>
        </xdr:to>
        <xdr:sp macro="" textlink="">
          <xdr:nvSpPr>
            <xdr:cNvPr id="22551" name="Check Box 23" hidden="1">
              <a:extLst>
                <a:ext uri="{63B3BB69-23CF-44E3-9099-C40C66FF867C}">
                  <a14:compatExt spid="_x0000_s22551"/>
                </a:ext>
                <a:ext uri="{FF2B5EF4-FFF2-40B4-BE49-F238E27FC236}">
                  <a16:creationId xmlns:a16="http://schemas.microsoft.com/office/drawing/2014/main" id="{00000000-0008-0000-0A00-00001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180975</xdr:rowOff>
        </xdr:from>
        <xdr:to>
          <xdr:col>1</xdr:col>
          <xdr:colOff>342900</xdr:colOff>
          <xdr:row>27</xdr:row>
          <xdr:rowOff>180975</xdr:rowOff>
        </xdr:to>
        <xdr:sp macro="" textlink="">
          <xdr:nvSpPr>
            <xdr:cNvPr id="22552" name="Check Box 24" hidden="1">
              <a:extLst>
                <a:ext uri="{63B3BB69-23CF-44E3-9099-C40C66FF867C}">
                  <a14:compatExt spid="_x0000_s22552"/>
                </a:ext>
                <a:ext uri="{FF2B5EF4-FFF2-40B4-BE49-F238E27FC236}">
                  <a16:creationId xmlns:a16="http://schemas.microsoft.com/office/drawing/2014/main" id="{00000000-0008-0000-0A00-00001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28</xdr:row>
          <xdr:rowOff>9525</xdr:rowOff>
        </xdr:from>
        <xdr:to>
          <xdr:col>1</xdr:col>
          <xdr:colOff>342900</xdr:colOff>
          <xdr:row>29</xdr:row>
          <xdr:rowOff>9525</xdr:rowOff>
        </xdr:to>
        <xdr:sp macro="" textlink="">
          <xdr:nvSpPr>
            <xdr:cNvPr id="22553" name="Check Box 25"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29</xdr:row>
          <xdr:rowOff>0</xdr:rowOff>
        </xdr:from>
        <xdr:to>
          <xdr:col>1</xdr:col>
          <xdr:colOff>342900</xdr:colOff>
          <xdr:row>30</xdr:row>
          <xdr:rowOff>0</xdr:rowOff>
        </xdr:to>
        <xdr:sp macro="" textlink="">
          <xdr:nvSpPr>
            <xdr:cNvPr id="22554" name="Check Box 26"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30</xdr:row>
          <xdr:rowOff>0</xdr:rowOff>
        </xdr:from>
        <xdr:to>
          <xdr:col>1</xdr:col>
          <xdr:colOff>342900</xdr:colOff>
          <xdr:row>31</xdr:row>
          <xdr:rowOff>0</xdr:rowOff>
        </xdr:to>
        <xdr:sp macro="" textlink="">
          <xdr:nvSpPr>
            <xdr:cNvPr id="22555" name="Check Box 27"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31</xdr:row>
          <xdr:rowOff>0</xdr:rowOff>
        </xdr:from>
        <xdr:to>
          <xdr:col>1</xdr:col>
          <xdr:colOff>342900</xdr:colOff>
          <xdr:row>32</xdr:row>
          <xdr:rowOff>0</xdr:rowOff>
        </xdr:to>
        <xdr:sp macro="" textlink="">
          <xdr:nvSpPr>
            <xdr:cNvPr id="22556" name="Check Box 28"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171450</xdr:rowOff>
        </xdr:from>
        <xdr:to>
          <xdr:col>1</xdr:col>
          <xdr:colOff>333375</xdr:colOff>
          <xdr:row>32</xdr:row>
          <xdr:rowOff>171450</xdr:rowOff>
        </xdr:to>
        <xdr:sp macro="" textlink="">
          <xdr:nvSpPr>
            <xdr:cNvPr id="22557" name="Check Box 29" hidden="1">
              <a:extLst>
                <a:ext uri="{63B3BB69-23CF-44E3-9099-C40C66FF867C}">
                  <a14:compatExt spid="_x0000_s22557"/>
                </a:ext>
                <a:ext uri="{FF2B5EF4-FFF2-40B4-BE49-F238E27FC236}">
                  <a16:creationId xmlns:a16="http://schemas.microsoft.com/office/drawing/2014/main" id="{00000000-0008-0000-0A00-00001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33</xdr:row>
          <xdr:rowOff>0</xdr:rowOff>
        </xdr:from>
        <xdr:to>
          <xdr:col>1</xdr:col>
          <xdr:colOff>323850</xdr:colOff>
          <xdr:row>34</xdr:row>
          <xdr:rowOff>0</xdr:rowOff>
        </xdr:to>
        <xdr:sp macro="" textlink="">
          <xdr:nvSpPr>
            <xdr:cNvPr id="22558" name="Check Box 30" hidden="1">
              <a:extLst>
                <a:ext uri="{63B3BB69-23CF-44E3-9099-C40C66FF867C}">
                  <a14:compatExt spid="_x0000_s22558"/>
                </a:ext>
                <a:ext uri="{FF2B5EF4-FFF2-40B4-BE49-F238E27FC236}">
                  <a16:creationId xmlns:a16="http://schemas.microsoft.com/office/drawing/2014/main" id="{00000000-0008-0000-0A00-00001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19050</xdr:rowOff>
        </xdr:from>
        <xdr:to>
          <xdr:col>1</xdr:col>
          <xdr:colOff>342900</xdr:colOff>
          <xdr:row>4</xdr:row>
          <xdr:rowOff>19050</xdr:rowOff>
        </xdr:to>
        <xdr:sp macro="" textlink="">
          <xdr:nvSpPr>
            <xdr:cNvPr id="25601" name="Case à cocher 1" hidden="1">
              <a:extLst>
                <a:ext uri="{63B3BB69-23CF-44E3-9099-C40C66FF867C}">
                  <a14:compatExt spid="_x0000_s25601"/>
                </a:ext>
                <a:ext uri="{FF2B5EF4-FFF2-40B4-BE49-F238E27FC236}">
                  <a16:creationId xmlns:a16="http://schemas.microsoft.com/office/drawing/2014/main" id="{00000000-0008-0000-0B00-00000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4</xdr:row>
          <xdr:rowOff>9525</xdr:rowOff>
        </xdr:from>
        <xdr:to>
          <xdr:col>1</xdr:col>
          <xdr:colOff>342900</xdr:colOff>
          <xdr:row>5</xdr:row>
          <xdr:rowOff>9525</xdr:rowOff>
        </xdr:to>
        <xdr:sp macro="" textlink="">
          <xdr:nvSpPr>
            <xdr:cNvPr id="25602" name="Case à cocher 2" hidden="1">
              <a:extLst>
                <a:ext uri="{63B3BB69-23CF-44E3-9099-C40C66FF867C}">
                  <a14:compatExt spid="_x0000_s25602"/>
                </a:ext>
                <a:ext uri="{FF2B5EF4-FFF2-40B4-BE49-F238E27FC236}">
                  <a16:creationId xmlns:a16="http://schemas.microsoft.com/office/drawing/2014/main" id="{00000000-0008-0000-0B00-00000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5</xdr:row>
          <xdr:rowOff>19050</xdr:rowOff>
        </xdr:from>
        <xdr:to>
          <xdr:col>1</xdr:col>
          <xdr:colOff>342900</xdr:colOff>
          <xdr:row>6</xdr:row>
          <xdr:rowOff>19050</xdr:rowOff>
        </xdr:to>
        <xdr:sp macro="" textlink="">
          <xdr:nvSpPr>
            <xdr:cNvPr id="25603" name="Case à cocher 4" hidden="1">
              <a:extLst>
                <a:ext uri="{63B3BB69-23CF-44E3-9099-C40C66FF867C}">
                  <a14:compatExt spid="_x0000_s25603"/>
                </a:ext>
                <a:ext uri="{FF2B5EF4-FFF2-40B4-BE49-F238E27FC236}">
                  <a16:creationId xmlns:a16="http://schemas.microsoft.com/office/drawing/2014/main" id="{00000000-0008-0000-0B00-00000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7</xdr:row>
          <xdr:rowOff>9525</xdr:rowOff>
        </xdr:from>
        <xdr:to>
          <xdr:col>1</xdr:col>
          <xdr:colOff>342900</xdr:colOff>
          <xdr:row>8</xdr:row>
          <xdr:rowOff>9525</xdr:rowOff>
        </xdr:to>
        <xdr:sp macro="" textlink="">
          <xdr:nvSpPr>
            <xdr:cNvPr id="25604" name="Case à cocher 5" hidden="1">
              <a:extLst>
                <a:ext uri="{63B3BB69-23CF-44E3-9099-C40C66FF867C}">
                  <a14:compatExt spid="_x0000_s25604"/>
                </a:ext>
                <a:ext uri="{FF2B5EF4-FFF2-40B4-BE49-F238E27FC236}">
                  <a16:creationId xmlns:a16="http://schemas.microsoft.com/office/drawing/2014/main" id="{00000000-0008-0000-0B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6</xdr:row>
          <xdr:rowOff>19050</xdr:rowOff>
        </xdr:from>
        <xdr:to>
          <xdr:col>1</xdr:col>
          <xdr:colOff>342900</xdr:colOff>
          <xdr:row>7</xdr:row>
          <xdr:rowOff>19050</xdr:rowOff>
        </xdr:to>
        <xdr:sp macro="" textlink="">
          <xdr:nvSpPr>
            <xdr:cNvPr id="25605" name="Case à cocher 6" hidden="1">
              <a:extLst>
                <a:ext uri="{63B3BB69-23CF-44E3-9099-C40C66FF867C}">
                  <a14:compatExt spid="_x0000_s25605"/>
                </a:ext>
                <a:ext uri="{FF2B5EF4-FFF2-40B4-BE49-F238E27FC236}">
                  <a16:creationId xmlns:a16="http://schemas.microsoft.com/office/drawing/2014/main" id="{00000000-0008-0000-0B00-00000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8</xdr:row>
          <xdr:rowOff>19050</xdr:rowOff>
        </xdr:from>
        <xdr:to>
          <xdr:col>1</xdr:col>
          <xdr:colOff>342900</xdr:colOff>
          <xdr:row>9</xdr:row>
          <xdr:rowOff>19050</xdr:rowOff>
        </xdr:to>
        <xdr:sp macro="" textlink="">
          <xdr:nvSpPr>
            <xdr:cNvPr id="25606" name="Case à cocher 7" hidden="1">
              <a:extLst>
                <a:ext uri="{63B3BB69-23CF-44E3-9099-C40C66FF867C}">
                  <a14:compatExt spid="_x0000_s25606"/>
                </a:ext>
                <a:ext uri="{FF2B5EF4-FFF2-40B4-BE49-F238E27FC236}">
                  <a16:creationId xmlns:a16="http://schemas.microsoft.com/office/drawing/2014/main" id="{00000000-0008-0000-0B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9</xdr:row>
          <xdr:rowOff>9525</xdr:rowOff>
        </xdr:from>
        <xdr:to>
          <xdr:col>1</xdr:col>
          <xdr:colOff>342900</xdr:colOff>
          <xdr:row>10</xdr:row>
          <xdr:rowOff>9525</xdr:rowOff>
        </xdr:to>
        <xdr:sp macro="" textlink="">
          <xdr:nvSpPr>
            <xdr:cNvPr id="25607" name="Case à cocher 8" hidden="1">
              <a:extLst>
                <a:ext uri="{63B3BB69-23CF-44E3-9099-C40C66FF867C}">
                  <a14:compatExt spid="_x0000_s25607"/>
                </a:ext>
                <a:ext uri="{FF2B5EF4-FFF2-40B4-BE49-F238E27FC236}">
                  <a16:creationId xmlns:a16="http://schemas.microsoft.com/office/drawing/2014/main" id="{00000000-0008-0000-0B00-00000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10</xdr:row>
          <xdr:rowOff>9525</xdr:rowOff>
        </xdr:from>
        <xdr:to>
          <xdr:col>1</xdr:col>
          <xdr:colOff>342900</xdr:colOff>
          <xdr:row>11</xdr:row>
          <xdr:rowOff>9525</xdr:rowOff>
        </xdr:to>
        <xdr:sp macro="" textlink="">
          <xdr:nvSpPr>
            <xdr:cNvPr id="25608" name="Case à cocher 9" hidden="1">
              <a:extLst>
                <a:ext uri="{63B3BB69-23CF-44E3-9099-C40C66FF867C}">
                  <a14:compatExt spid="_x0000_s25608"/>
                </a:ext>
                <a:ext uri="{FF2B5EF4-FFF2-40B4-BE49-F238E27FC236}">
                  <a16:creationId xmlns:a16="http://schemas.microsoft.com/office/drawing/2014/main" id="{00000000-0008-0000-0B00-00000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10</xdr:row>
          <xdr:rowOff>171450</xdr:rowOff>
        </xdr:from>
        <xdr:to>
          <xdr:col>1</xdr:col>
          <xdr:colOff>342900</xdr:colOff>
          <xdr:row>11</xdr:row>
          <xdr:rowOff>171450</xdr:rowOff>
        </xdr:to>
        <xdr:sp macro="" textlink="">
          <xdr:nvSpPr>
            <xdr:cNvPr id="25609" name="Case à cocher 10" hidden="1">
              <a:extLst>
                <a:ext uri="{63B3BB69-23CF-44E3-9099-C40C66FF867C}">
                  <a14:compatExt spid="_x0000_s25609"/>
                </a:ext>
                <a:ext uri="{FF2B5EF4-FFF2-40B4-BE49-F238E27FC236}">
                  <a16:creationId xmlns:a16="http://schemas.microsoft.com/office/drawing/2014/main" id="{00000000-0008-0000-0B00-00000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11</xdr:row>
          <xdr:rowOff>171450</xdr:rowOff>
        </xdr:from>
        <xdr:to>
          <xdr:col>1</xdr:col>
          <xdr:colOff>342900</xdr:colOff>
          <xdr:row>12</xdr:row>
          <xdr:rowOff>171450</xdr:rowOff>
        </xdr:to>
        <xdr:sp macro="" textlink="">
          <xdr:nvSpPr>
            <xdr:cNvPr id="25610" name="Case à cocher 11" hidden="1">
              <a:extLst>
                <a:ext uri="{63B3BB69-23CF-44E3-9099-C40C66FF867C}">
                  <a14:compatExt spid="_x0000_s25610"/>
                </a:ext>
                <a:ext uri="{FF2B5EF4-FFF2-40B4-BE49-F238E27FC236}">
                  <a16:creationId xmlns:a16="http://schemas.microsoft.com/office/drawing/2014/main" id="{00000000-0008-0000-0B00-00000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12</xdr:row>
          <xdr:rowOff>171450</xdr:rowOff>
        </xdr:from>
        <xdr:to>
          <xdr:col>1</xdr:col>
          <xdr:colOff>342900</xdr:colOff>
          <xdr:row>13</xdr:row>
          <xdr:rowOff>171450</xdr:rowOff>
        </xdr:to>
        <xdr:sp macro="" textlink="">
          <xdr:nvSpPr>
            <xdr:cNvPr id="25611" name="Check Box 11" hidden="1">
              <a:extLst>
                <a:ext uri="{63B3BB69-23CF-44E3-9099-C40C66FF867C}">
                  <a14:compatExt spid="_x0000_s25611"/>
                </a:ext>
                <a:ext uri="{FF2B5EF4-FFF2-40B4-BE49-F238E27FC236}">
                  <a16:creationId xmlns:a16="http://schemas.microsoft.com/office/drawing/2014/main" id="{00000000-0008-0000-0B00-00000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530679</xdr:colOff>
      <xdr:row>0</xdr:row>
      <xdr:rowOff>69396</xdr:rowOff>
    </xdr:from>
    <xdr:to>
      <xdr:col>18</xdr:col>
      <xdr:colOff>449036</xdr:colOff>
      <xdr:row>13</xdr:row>
      <xdr:rowOff>122464</xdr:rowOff>
    </xdr:to>
    <xdr:graphicFrame macro="">
      <xdr:nvGraphicFramePr>
        <xdr:cNvPr id="13" name="Chart 1">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161925</xdr:colOff>
          <xdr:row>13</xdr:row>
          <xdr:rowOff>180975</xdr:rowOff>
        </xdr:from>
        <xdr:to>
          <xdr:col>1</xdr:col>
          <xdr:colOff>342900</xdr:colOff>
          <xdr:row>15</xdr:row>
          <xdr:rowOff>0</xdr:rowOff>
        </xdr:to>
        <xdr:sp macro="" textlink="">
          <xdr:nvSpPr>
            <xdr:cNvPr id="25612" name="Check Box 13" hidden="1">
              <a:extLst>
                <a:ext uri="{63B3BB69-23CF-44E3-9099-C40C66FF867C}">
                  <a14:compatExt spid="_x0000_s25612"/>
                </a:ext>
                <a:ext uri="{FF2B5EF4-FFF2-40B4-BE49-F238E27FC236}">
                  <a16:creationId xmlns:a16="http://schemas.microsoft.com/office/drawing/2014/main" id="{00000000-0008-0000-0B00-00000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180975</xdr:rowOff>
        </xdr:from>
        <xdr:to>
          <xdr:col>1</xdr:col>
          <xdr:colOff>342900</xdr:colOff>
          <xdr:row>16</xdr:row>
          <xdr:rowOff>0</xdr:rowOff>
        </xdr:to>
        <xdr:sp macro="" textlink="">
          <xdr:nvSpPr>
            <xdr:cNvPr id="25613" name="Check Box 14" hidden="1">
              <a:extLst>
                <a:ext uri="{63B3BB69-23CF-44E3-9099-C40C66FF867C}">
                  <a14:compatExt spid="_x0000_s25613"/>
                </a:ext>
                <a:ext uri="{FF2B5EF4-FFF2-40B4-BE49-F238E27FC236}">
                  <a16:creationId xmlns:a16="http://schemas.microsoft.com/office/drawing/2014/main" id="{00000000-0008-0000-0B00-00000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0</xdr:rowOff>
        </xdr:from>
        <xdr:to>
          <xdr:col>1</xdr:col>
          <xdr:colOff>342900</xdr:colOff>
          <xdr:row>17</xdr:row>
          <xdr:rowOff>0</xdr:rowOff>
        </xdr:to>
        <xdr:sp macro="" textlink="">
          <xdr:nvSpPr>
            <xdr:cNvPr id="25614" name="Check Box 15" hidden="1">
              <a:extLst>
                <a:ext uri="{63B3BB69-23CF-44E3-9099-C40C66FF867C}">
                  <a14:compatExt spid="_x0000_s25614"/>
                </a:ext>
                <a:ext uri="{FF2B5EF4-FFF2-40B4-BE49-F238E27FC236}">
                  <a16:creationId xmlns:a16="http://schemas.microsoft.com/office/drawing/2014/main" id="{00000000-0008-0000-0B00-00000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180975</xdr:rowOff>
        </xdr:from>
        <xdr:to>
          <xdr:col>1</xdr:col>
          <xdr:colOff>342900</xdr:colOff>
          <xdr:row>18</xdr:row>
          <xdr:rowOff>0</xdr:rowOff>
        </xdr:to>
        <xdr:sp macro="" textlink="">
          <xdr:nvSpPr>
            <xdr:cNvPr id="25615" name="Check Box 16" hidden="1">
              <a:extLst>
                <a:ext uri="{63B3BB69-23CF-44E3-9099-C40C66FF867C}">
                  <a14:compatExt spid="_x0000_s25615"/>
                </a:ext>
                <a:ext uri="{FF2B5EF4-FFF2-40B4-BE49-F238E27FC236}">
                  <a16:creationId xmlns:a16="http://schemas.microsoft.com/office/drawing/2014/main" id="{00000000-0008-0000-0B00-00000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180975</xdr:rowOff>
        </xdr:from>
        <xdr:to>
          <xdr:col>1</xdr:col>
          <xdr:colOff>342900</xdr:colOff>
          <xdr:row>19</xdr:row>
          <xdr:rowOff>0</xdr:rowOff>
        </xdr:to>
        <xdr:sp macro="" textlink="">
          <xdr:nvSpPr>
            <xdr:cNvPr id="25616" name="Check Box 17" hidden="1">
              <a:extLst>
                <a:ext uri="{63B3BB69-23CF-44E3-9099-C40C66FF867C}">
                  <a14:compatExt spid="_x0000_s25616"/>
                </a:ext>
                <a:ext uri="{FF2B5EF4-FFF2-40B4-BE49-F238E27FC236}">
                  <a16:creationId xmlns:a16="http://schemas.microsoft.com/office/drawing/2014/main" id="{00000000-0008-0000-0B00-00001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0</xdr:rowOff>
        </xdr:from>
        <xdr:to>
          <xdr:col>1</xdr:col>
          <xdr:colOff>342900</xdr:colOff>
          <xdr:row>20</xdr:row>
          <xdr:rowOff>0</xdr:rowOff>
        </xdr:to>
        <xdr:sp macro="" textlink="">
          <xdr:nvSpPr>
            <xdr:cNvPr id="25617" name="Check Box 18" hidden="1">
              <a:extLst>
                <a:ext uri="{63B3BB69-23CF-44E3-9099-C40C66FF867C}">
                  <a14:compatExt spid="_x0000_s25617"/>
                </a:ext>
                <a:ext uri="{FF2B5EF4-FFF2-40B4-BE49-F238E27FC236}">
                  <a16:creationId xmlns:a16="http://schemas.microsoft.com/office/drawing/2014/main" id="{00000000-0008-0000-0B00-00001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0</xdr:rowOff>
        </xdr:from>
        <xdr:to>
          <xdr:col>1</xdr:col>
          <xdr:colOff>342900</xdr:colOff>
          <xdr:row>21</xdr:row>
          <xdr:rowOff>0</xdr:rowOff>
        </xdr:to>
        <xdr:sp macro="" textlink="">
          <xdr:nvSpPr>
            <xdr:cNvPr id="25618" name="Check Box 19" hidden="1">
              <a:extLst>
                <a:ext uri="{63B3BB69-23CF-44E3-9099-C40C66FF867C}">
                  <a14:compatExt spid="_x0000_s25618"/>
                </a:ext>
                <a:ext uri="{FF2B5EF4-FFF2-40B4-BE49-F238E27FC236}">
                  <a16:creationId xmlns:a16="http://schemas.microsoft.com/office/drawing/2014/main" id="{00000000-0008-0000-0B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13</xdr:row>
      <xdr:rowOff>152397</xdr:rowOff>
    </xdr:from>
    <xdr:to>
      <xdr:col>18</xdr:col>
      <xdr:colOff>435427</xdr:colOff>
      <xdr:row>29</xdr:row>
      <xdr:rowOff>68035</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161925</xdr:colOff>
          <xdr:row>21</xdr:row>
          <xdr:rowOff>9525</xdr:rowOff>
        </xdr:from>
        <xdr:to>
          <xdr:col>1</xdr:col>
          <xdr:colOff>342900</xdr:colOff>
          <xdr:row>22</xdr:row>
          <xdr:rowOff>9525</xdr:rowOff>
        </xdr:to>
        <xdr:sp macro="" textlink="">
          <xdr:nvSpPr>
            <xdr:cNvPr id="25619" name="Check Box 20" hidden="1">
              <a:extLst>
                <a:ext uri="{63B3BB69-23CF-44E3-9099-C40C66FF867C}">
                  <a14:compatExt spid="_x0000_s25619"/>
                </a:ext>
                <a:ext uri="{FF2B5EF4-FFF2-40B4-BE49-F238E27FC236}">
                  <a16:creationId xmlns:a16="http://schemas.microsoft.com/office/drawing/2014/main" id="{00000000-0008-0000-0B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9525</xdr:rowOff>
        </xdr:from>
        <xdr:to>
          <xdr:col>1</xdr:col>
          <xdr:colOff>342900</xdr:colOff>
          <xdr:row>23</xdr:row>
          <xdr:rowOff>9525</xdr:rowOff>
        </xdr:to>
        <xdr:sp macro="" textlink="">
          <xdr:nvSpPr>
            <xdr:cNvPr id="25620" name="Check Box 21" hidden="1">
              <a:extLst>
                <a:ext uri="{63B3BB69-23CF-44E3-9099-C40C66FF867C}">
                  <a14:compatExt spid="_x0000_s25620"/>
                </a:ext>
                <a:ext uri="{FF2B5EF4-FFF2-40B4-BE49-F238E27FC236}">
                  <a16:creationId xmlns:a16="http://schemas.microsoft.com/office/drawing/2014/main" id="{00000000-0008-0000-0B00-00001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180975</xdr:rowOff>
        </xdr:from>
        <xdr:to>
          <xdr:col>1</xdr:col>
          <xdr:colOff>342900</xdr:colOff>
          <xdr:row>23</xdr:row>
          <xdr:rowOff>180975</xdr:rowOff>
        </xdr:to>
        <xdr:sp macro="" textlink="">
          <xdr:nvSpPr>
            <xdr:cNvPr id="25621" name="Check Box 21" hidden="1">
              <a:extLst>
                <a:ext uri="{63B3BB69-23CF-44E3-9099-C40C66FF867C}">
                  <a14:compatExt spid="_x0000_s25621"/>
                </a:ext>
                <a:ext uri="{FF2B5EF4-FFF2-40B4-BE49-F238E27FC236}">
                  <a16:creationId xmlns:a16="http://schemas.microsoft.com/office/drawing/2014/main" id="{00000000-0008-0000-0B00-00001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0</xdr:rowOff>
        </xdr:from>
        <xdr:to>
          <xdr:col>1</xdr:col>
          <xdr:colOff>342900</xdr:colOff>
          <xdr:row>25</xdr:row>
          <xdr:rowOff>0</xdr:rowOff>
        </xdr:to>
        <xdr:sp macro="" textlink="">
          <xdr:nvSpPr>
            <xdr:cNvPr id="25622" name="Check Box 22" hidden="1">
              <a:extLst>
                <a:ext uri="{63B3BB69-23CF-44E3-9099-C40C66FF867C}">
                  <a14:compatExt spid="_x0000_s25622"/>
                </a:ext>
                <a:ext uri="{FF2B5EF4-FFF2-40B4-BE49-F238E27FC236}">
                  <a16:creationId xmlns:a16="http://schemas.microsoft.com/office/drawing/2014/main" id="{00000000-0008-0000-0B00-00001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171450</xdr:rowOff>
        </xdr:from>
        <xdr:to>
          <xdr:col>1</xdr:col>
          <xdr:colOff>342900</xdr:colOff>
          <xdr:row>26</xdr:row>
          <xdr:rowOff>171450</xdr:rowOff>
        </xdr:to>
        <xdr:sp macro="" textlink="">
          <xdr:nvSpPr>
            <xdr:cNvPr id="25623" name="Check Box 23" hidden="1">
              <a:extLst>
                <a:ext uri="{63B3BB69-23CF-44E3-9099-C40C66FF867C}">
                  <a14:compatExt spid="_x0000_s25623"/>
                </a:ext>
                <a:ext uri="{FF2B5EF4-FFF2-40B4-BE49-F238E27FC236}">
                  <a16:creationId xmlns:a16="http://schemas.microsoft.com/office/drawing/2014/main" id="{00000000-0008-0000-0B00-00001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180975</xdr:rowOff>
        </xdr:from>
        <xdr:to>
          <xdr:col>1</xdr:col>
          <xdr:colOff>342900</xdr:colOff>
          <xdr:row>27</xdr:row>
          <xdr:rowOff>180975</xdr:rowOff>
        </xdr:to>
        <xdr:sp macro="" textlink="">
          <xdr:nvSpPr>
            <xdr:cNvPr id="25624" name="Check Box 24" hidden="1">
              <a:extLst>
                <a:ext uri="{63B3BB69-23CF-44E3-9099-C40C66FF867C}">
                  <a14:compatExt spid="_x0000_s25624"/>
                </a:ext>
                <a:ext uri="{FF2B5EF4-FFF2-40B4-BE49-F238E27FC236}">
                  <a16:creationId xmlns:a16="http://schemas.microsoft.com/office/drawing/2014/main" id="{00000000-0008-0000-0B00-00001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28</xdr:row>
          <xdr:rowOff>9525</xdr:rowOff>
        </xdr:from>
        <xdr:to>
          <xdr:col>1</xdr:col>
          <xdr:colOff>342900</xdr:colOff>
          <xdr:row>29</xdr:row>
          <xdr:rowOff>9525</xdr:rowOff>
        </xdr:to>
        <xdr:sp macro="" textlink="">
          <xdr:nvSpPr>
            <xdr:cNvPr id="25625" name="Check Box 25" hidden="1">
              <a:extLst>
                <a:ext uri="{63B3BB69-23CF-44E3-9099-C40C66FF867C}">
                  <a14:compatExt spid="_x0000_s25625"/>
                </a:ext>
                <a:ext uri="{FF2B5EF4-FFF2-40B4-BE49-F238E27FC236}">
                  <a16:creationId xmlns:a16="http://schemas.microsoft.com/office/drawing/2014/main" id="{00000000-0008-0000-0B00-00001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29</xdr:row>
          <xdr:rowOff>0</xdr:rowOff>
        </xdr:from>
        <xdr:to>
          <xdr:col>1</xdr:col>
          <xdr:colOff>342900</xdr:colOff>
          <xdr:row>30</xdr:row>
          <xdr:rowOff>0</xdr:rowOff>
        </xdr:to>
        <xdr:sp macro="" textlink="">
          <xdr:nvSpPr>
            <xdr:cNvPr id="25626" name="Check Box 26" hidden="1">
              <a:extLst>
                <a:ext uri="{63B3BB69-23CF-44E3-9099-C40C66FF867C}">
                  <a14:compatExt spid="_x0000_s25626"/>
                </a:ext>
                <a:ext uri="{FF2B5EF4-FFF2-40B4-BE49-F238E27FC236}">
                  <a16:creationId xmlns:a16="http://schemas.microsoft.com/office/drawing/2014/main" id="{00000000-0008-0000-0B00-00001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30</xdr:row>
          <xdr:rowOff>0</xdr:rowOff>
        </xdr:from>
        <xdr:to>
          <xdr:col>1</xdr:col>
          <xdr:colOff>342900</xdr:colOff>
          <xdr:row>31</xdr:row>
          <xdr:rowOff>0</xdr:rowOff>
        </xdr:to>
        <xdr:sp macro="" textlink="">
          <xdr:nvSpPr>
            <xdr:cNvPr id="25627" name="Check Box 27" hidden="1">
              <a:extLst>
                <a:ext uri="{63B3BB69-23CF-44E3-9099-C40C66FF867C}">
                  <a14:compatExt spid="_x0000_s25627"/>
                </a:ext>
                <a:ext uri="{FF2B5EF4-FFF2-40B4-BE49-F238E27FC236}">
                  <a16:creationId xmlns:a16="http://schemas.microsoft.com/office/drawing/2014/main" id="{00000000-0008-0000-0B00-00001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31</xdr:row>
          <xdr:rowOff>0</xdr:rowOff>
        </xdr:from>
        <xdr:to>
          <xdr:col>1</xdr:col>
          <xdr:colOff>342900</xdr:colOff>
          <xdr:row>32</xdr:row>
          <xdr:rowOff>0</xdr:rowOff>
        </xdr:to>
        <xdr:sp macro="" textlink="">
          <xdr:nvSpPr>
            <xdr:cNvPr id="25628" name="Check Box 28" hidden="1">
              <a:extLst>
                <a:ext uri="{63B3BB69-23CF-44E3-9099-C40C66FF867C}">
                  <a14:compatExt spid="_x0000_s25628"/>
                </a:ext>
                <a:ext uri="{FF2B5EF4-FFF2-40B4-BE49-F238E27FC236}">
                  <a16:creationId xmlns:a16="http://schemas.microsoft.com/office/drawing/2014/main" id="{00000000-0008-0000-0B00-00001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171450</xdr:rowOff>
        </xdr:from>
        <xdr:to>
          <xdr:col>1</xdr:col>
          <xdr:colOff>333375</xdr:colOff>
          <xdr:row>32</xdr:row>
          <xdr:rowOff>171450</xdr:rowOff>
        </xdr:to>
        <xdr:sp macro="" textlink="">
          <xdr:nvSpPr>
            <xdr:cNvPr id="25629" name="Check Box 29" hidden="1">
              <a:extLst>
                <a:ext uri="{63B3BB69-23CF-44E3-9099-C40C66FF867C}">
                  <a14:compatExt spid="_x0000_s25629"/>
                </a:ext>
                <a:ext uri="{FF2B5EF4-FFF2-40B4-BE49-F238E27FC236}">
                  <a16:creationId xmlns:a16="http://schemas.microsoft.com/office/drawing/2014/main" id="{00000000-0008-0000-0B00-00001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33</xdr:row>
          <xdr:rowOff>0</xdr:rowOff>
        </xdr:from>
        <xdr:to>
          <xdr:col>1</xdr:col>
          <xdr:colOff>323850</xdr:colOff>
          <xdr:row>34</xdr:row>
          <xdr:rowOff>0</xdr:rowOff>
        </xdr:to>
        <xdr:sp macro="" textlink="">
          <xdr:nvSpPr>
            <xdr:cNvPr id="25630" name="Check Box 30" hidden="1">
              <a:extLst>
                <a:ext uri="{63B3BB69-23CF-44E3-9099-C40C66FF867C}">
                  <a14:compatExt spid="_x0000_s25630"/>
                </a:ext>
                <a:ext uri="{FF2B5EF4-FFF2-40B4-BE49-F238E27FC236}">
                  <a16:creationId xmlns:a16="http://schemas.microsoft.com/office/drawing/2014/main" id="{00000000-0008-0000-0B00-00001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19050</xdr:rowOff>
        </xdr:from>
        <xdr:to>
          <xdr:col>1</xdr:col>
          <xdr:colOff>342900</xdr:colOff>
          <xdr:row>4</xdr:row>
          <xdr:rowOff>19050</xdr:rowOff>
        </xdr:to>
        <xdr:sp macro="" textlink="">
          <xdr:nvSpPr>
            <xdr:cNvPr id="28673" name="Case à cocher 1" hidden="1">
              <a:extLst>
                <a:ext uri="{63B3BB69-23CF-44E3-9099-C40C66FF867C}">
                  <a14:compatExt spid="_x0000_s28673"/>
                </a:ext>
                <a:ext uri="{FF2B5EF4-FFF2-40B4-BE49-F238E27FC236}">
                  <a16:creationId xmlns:a16="http://schemas.microsoft.com/office/drawing/2014/main" id="{00000000-0008-0000-0C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4</xdr:row>
          <xdr:rowOff>9525</xdr:rowOff>
        </xdr:from>
        <xdr:to>
          <xdr:col>1</xdr:col>
          <xdr:colOff>342900</xdr:colOff>
          <xdr:row>5</xdr:row>
          <xdr:rowOff>9525</xdr:rowOff>
        </xdr:to>
        <xdr:sp macro="" textlink="">
          <xdr:nvSpPr>
            <xdr:cNvPr id="28674" name="Case à cocher 2" hidden="1">
              <a:extLst>
                <a:ext uri="{63B3BB69-23CF-44E3-9099-C40C66FF867C}">
                  <a14:compatExt spid="_x0000_s28674"/>
                </a:ext>
                <a:ext uri="{FF2B5EF4-FFF2-40B4-BE49-F238E27FC236}">
                  <a16:creationId xmlns:a16="http://schemas.microsoft.com/office/drawing/2014/main" id="{00000000-0008-0000-0C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5</xdr:row>
          <xdr:rowOff>19050</xdr:rowOff>
        </xdr:from>
        <xdr:to>
          <xdr:col>1</xdr:col>
          <xdr:colOff>342900</xdr:colOff>
          <xdr:row>6</xdr:row>
          <xdr:rowOff>19050</xdr:rowOff>
        </xdr:to>
        <xdr:sp macro="" textlink="">
          <xdr:nvSpPr>
            <xdr:cNvPr id="28675" name="Case à cocher 4" hidden="1">
              <a:extLst>
                <a:ext uri="{63B3BB69-23CF-44E3-9099-C40C66FF867C}">
                  <a14:compatExt spid="_x0000_s28675"/>
                </a:ext>
                <a:ext uri="{FF2B5EF4-FFF2-40B4-BE49-F238E27FC236}">
                  <a16:creationId xmlns:a16="http://schemas.microsoft.com/office/drawing/2014/main" id="{00000000-0008-0000-0C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7</xdr:row>
          <xdr:rowOff>9525</xdr:rowOff>
        </xdr:from>
        <xdr:to>
          <xdr:col>1</xdr:col>
          <xdr:colOff>342900</xdr:colOff>
          <xdr:row>8</xdr:row>
          <xdr:rowOff>9525</xdr:rowOff>
        </xdr:to>
        <xdr:sp macro="" textlink="">
          <xdr:nvSpPr>
            <xdr:cNvPr id="28676" name="Case à cocher 5" hidden="1">
              <a:extLst>
                <a:ext uri="{63B3BB69-23CF-44E3-9099-C40C66FF867C}">
                  <a14:compatExt spid="_x0000_s28676"/>
                </a:ext>
                <a:ext uri="{FF2B5EF4-FFF2-40B4-BE49-F238E27FC236}">
                  <a16:creationId xmlns:a16="http://schemas.microsoft.com/office/drawing/2014/main" id="{00000000-0008-0000-0C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6</xdr:row>
          <xdr:rowOff>19050</xdr:rowOff>
        </xdr:from>
        <xdr:to>
          <xdr:col>1</xdr:col>
          <xdr:colOff>342900</xdr:colOff>
          <xdr:row>7</xdr:row>
          <xdr:rowOff>19050</xdr:rowOff>
        </xdr:to>
        <xdr:sp macro="" textlink="">
          <xdr:nvSpPr>
            <xdr:cNvPr id="28677" name="Case à cocher 6" hidden="1">
              <a:extLst>
                <a:ext uri="{63B3BB69-23CF-44E3-9099-C40C66FF867C}">
                  <a14:compatExt spid="_x0000_s28677"/>
                </a:ext>
                <a:ext uri="{FF2B5EF4-FFF2-40B4-BE49-F238E27FC236}">
                  <a16:creationId xmlns:a16="http://schemas.microsoft.com/office/drawing/2014/main" id="{00000000-0008-0000-0C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8</xdr:row>
          <xdr:rowOff>19050</xdr:rowOff>
        </xdr:from>
        <xdr:to>
          <xdr:col>1</xdr:col>
          <xdr:colOff>342900</xdr:colOff>
          <xdr:row>9</xdr:row>
          <xdr:rowOff>19050</xdr:rowOff>
        </xdr:to>
        <xdr:sp macro="" textlink="">
          <xdr:nvSpPr>
            <xdr:cNvPr id="28678" name="Case à cocher 7" hidden="1">
              <a:extLst>
                <a:ext uri="{63B3BB69-23CF-44E3-9099-C40C66FF867C}">
                  <a14:compatExt spid="_x0000_s28678"/>
                </a:ext>
                <a:ext uri="{FF2B5EF4-FFF2-40B4-BE49-F238E27FC236}">
                  <a16:creationId xmlns:a16="http://schemas.microsoft.com/office/drawing/2014/main" id="{00000000-0008-0000-0C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9</xdr:row>
          <xdr:rowOff>9525</xdr:rowOff>
        </xdr:from>
        <xdr:to>
          <xdr:col>1</xdr:col>
          <xdr:colOff>342900</xdr:colOff>
          <xdr:row>10</xdr:row>
          <xdr:rowOff>9525</xdr:rowOff>
        </xdr:to>
        <xdr:sp macro="" textlink="">
          <xdr:nvSpPr>
            <xdr:cNvPr id="28679" name="Case à cocher 8" hidden="1">
              <a:extLst>
                <a:ext uri="{63B3BB69-23CF-44E3-9099-C40C66FF867C}">
                  <a14:compatExt spid="_x0000_s28679"/>
                </a:ext>
                <a:ext uri="{FF2B5EF4-FFF2-40B4-BE49-F238E27FC236}">
                  <a16:creationId xmlns:a16="http://schemas.microsoft.com/office/drawing/2014/main" id="{00000000-0008-0000-0C00-00000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10</xdr:row>
          <xdr:rowOff>9525</xdr:rowOff>
        </xdr:from>
        <xdr:to>
          <xdr:col>1</xdr:col>
          <xdr:colOff>342900</xdr:colOff>
          <xdr:row>11</xdr:row>
          <xdr:rowOff>9525</xdr:rowOff>
        </xdr:to>
        <xdr:sp macro="" textlink="">
          <xdr:nvSpPr>
            <xdr:cNvPr id="28680" name="Case à cocher 9" hidden="1">
              <a:extLst>
                <a:ext uri="{63B3BB69-23CF-44E3-9099-C40C66FF867C}">
                  <a14:compatExt spid="_x0000_s28680"/>
                </a:ext>
                <a:ext uri="{FF2B5EF4-FFF2-40B4-BE49-F238E27FC236}">
                  <a16:creationId xmlns:a16="http://schemas.microsoft.com/office/drawing/2014/main" id="{00000000-0008-0000-0C00-00000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10</xdr:row>
          <xdr:rowOff>171450</xdr:rowOff>
        </xdr:from>
        <xdr:to>
          <xdr:col>1</xdr:col>
          <xdr:colOff>342900</xdr:colOff>
          <xdr:row>11</xdr:row>
          <xdr:rowOff>171450</xdr:rowOff>
        </xdr:to>
        <xdr:sp macro="" textlink="">
          <xdr:nvSpPr>
            <xdr:cNvPr id="28681" name="Case à cocher 10" hidden="1">
              <a:extLst>
                <a:ext uri="{63B3BB69-23CF-44E3-9099-C40C66FF867C}">
                  <a14:compatExt spid="_x0000_s28681"/>
                </a:ext>
                <a:ext uri="{FF2B5EF4-FFF2-40B4-BE49-F238E27FC236}">
                  <a16:creationId xmlns:a16="http://schemas.microsoft.com/office/drawing/2014/main" id="{00000000-0008-0000-0C00-00000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11</xdr:row>
          <xdr:rowOff>171450</xdr:rowOff>
        </xdr:from>
        <xdr:to>
          <xdr:col>1</xdr:col>
          <xdr:colOff>342900</xdr:colOff>
          <xdr:row>12</xdr:row>
          <xdr:rowOff>171450</xdr:rowOff>
        </xdr:to>
        <xdr:sp macro="" textlink="">
          <xdr:nvSpPr>
            <xdr:cNvPr id="28682" name="Case à cocher 11" hidden="1">
              <a:extLst>
                <a:ext uri="{63B3BB69-23CF-44E3-9099-C40C66FF867C}">
                  <a14:compatExt spid="_x0000_s28682"/>
                </a:ext>
                <a:ext uri="{FF2B5EF4-FFF2-40B4-BE49-F238E27FC236}">
                  <a16:creationId xmlns:a16="http://schemas.microsoft.com/office/drawing/2014/main" id="{00000000-0008-0000-0C00-00000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12</xdr:row>
          <xdr:rowOff>171450</xdr:rowOff>
        </xdr:from>
        <xdr:to>
          <xdr:col>1</xdr:col>
          <xdr:colOff>342900</xdr:colOff>
          <xdr:row>13</xdr:row>
          <xdr:rowOff>171450</xdr:rowOff>
        </xdr:to>
        <xdr:sp macro="" textlink="">
          <xdr:nvSpPr>
            <xdr:cNvPr id="28683" name="Check Box 11" hidden="1">
              <a:extLst>
                <a:ext uri="{63B3BB69-23CF-44E3-9099-C40C66FF867C}">
                  <a14:compatExt spid="_x0000_s28683"/>
                </a:ext>
                <a:ext uri="{FF2B5EF4-FFF2-40B4-BE49-F238E27FC236}">
                  <a16:creationId xmlns:a16="http://schemas.microsoft.com/office/drawing/2014/main" id="{00000000-0008-0000-0C00-00000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530679</xdr:colOff>
      <xdr:row>0</xdr:row>
      <xdr:rowOff>69396</xdr:rowOff>
    </xdr:from>
    <xdr:to>
      <xdr:col>18</xdr:col>
      <xdr:colOff>449036</xdr:colOff>
      <xdr:row>13</xdr:row>
      <xdr:rowOff>122464</xdr:rowOff>
    </xdr:to>
    <xdr:graphicFrame macro="">
      <xdr:nvGraphicFramePr>
        <xdr:cNvPr id="13" name="Chart 1">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161925</xdr:colOff>
          <xdr:row>13</xdr:row>
          <xdr:rowOff>180975</xdr:rowOff>
        </xdr:from>
        <xdr:to>
          <xdr:col>1</xdr:col>
          <xdr:colOff>342900</xdr:colOff>
          <xdr:row>15</xdr:row>
          <xdr:rowOff>0</xdr:rowOff>
        </xdr:to>
        <xdr:sp macro="" textlink="">
          <xdr:nvSpPr>
            <xdr:cNvPr id="28684" name="Check Box 13" hidden="1">
              <a:extLst>
                <a:ext uri="{63B3BB69-23CF-44E3-9099-C40C66FF867C}">
                  <a14:compatExt spid="_x0000_s28684"/>
                </a:ext>
                <a:ext uri="{FF2B5EF4-FFF2-40B4-BE49-F238E27FC236}">
                  <a16:creationId xmlns:a16="http://schemas.microsoft.com/office/drawing/2014/main" id="{00000000-0008-0000-0C00-00000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180975</xdr:rowOff>
        </xdr:from>
        <xdr:to>
          <xdr:col>1</xdr:col>
          <xdr:colOff>342900</xdr:colOff>
          <xdr:row>16</xdr:row>
          <xdr:rowOff>0</xdr:rowOff>
        </xdr:to>
        <xdr:sp macro="" textlink="">
          <xdr:nvSpPr>
            <xdr:cNvPr id="28685" name="Check Box 14" hidden="1">
              <a:extLst>
                <a:ext uri="{63B3BB69-23CF-44E3-9099-C40C66FF867C}">
                  <a14:compatExt spid="_x0000_s28685"/>
                </a:ext>
                <a:ext uri="{FF2B5EF4-FFF2-40B4-BE49-F238E27FC236}">
                  <a16:creationId xmlns:a16="http://schemas.microsoft.com/office/drawing/2014/main" id="{00000000-0008-0000-0C00-00000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0</xdr:rowOff>
        </xdr:from>
        <xdr:to>
          <xdr:col>1</xdr:col>
          <xdr:colOff>342900</xdr:colOff>
          <xdr:row>17</xdr:row>
          <xdr:rowOff>0</xdr:rowOff>
        </xdr:to>
        <xdr:sp macro="" textlink="">
          <xdr:nvSpPr>
            <xdr:cNvPr id="28686" name="Check Box 15" hidden="1">
              <a:extLst>
                <a:ext uri="{63B3BB69-23CF-44E3-9099-C40C66FF867C}">
                  <a14:compatExt spid="_x0000_s28686"/>
                </a:ext>
                <a:ext uri="{FF2B5EF4-FFF2-40B4-BE49-F238E27FC236}">
                  <a16:creationId xmlns:a16="http://schemas.microsoft.com/office/drawing/2014/main" id="{00000000-0008-0000-0C00-00000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180975</xdr:rowOff>
        </xdr:from>
        <xdr:to>
          <xdr:col>1</xdr:col>
          <xdr:colOff>342900</xdr:colOff>
          <xdr:row>18</xdr:row>
          <xdr:rowOff>0</xdr:rowOff>
        </xdr:to>
        <xdr:sp macro="" textlink="">
          <xdr:nvSpPr>
            <xdr:cNvPr id="28687" name="Check Box 16" hidden="1">
              <a:extLst>
                <a:ext uri="{63B3BB69-23CF-44E3-9099-C40C66FF867C}">
                  <a14:compatExt spid="_x0000_s28687"/>
                </a:ext>
                <a:ext uri="{FF2B5EF4-FFF2-40B4-BE49-F238E27FC236}">
                  <a16:creationId xmlns:a16="http://schemas.microsoft.com/office/drawing/2014/main" id="{00000000-0008-0000-0C00-00000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180975</xdr:rowOff>
        </xdr:from>
        <xdr:to>
          <xdr:col>1</xdr:col>
          <xdr:colOff>342900</xdr:colOff>
          <xdr:row>19</xdr:row>
          <xdr:rowOff>0</xdr:rowOff>
        </xdr:to>
        <xdr:sp macro="" textlink="">
          <xdr:nvSpPr>
            <xdr:cNvPr id="28688" name="Check Box 17" hidden="1">
              <a:extLst>
                <a:ext uri="{63B3BB69-23CF-44E3-9099-C40C66FF867C}">
                  <a14:compatExt spid="_x0000_s28688"/>
                </a:ext>
                <a:ext uri="{FF2B5EF4-FFF2-40B4-BE49-F238E27FC236}">
                  <a16:creationId xmlns:a16="http://schemas.microsoft.com/office/drawing/2014/main" id="{00000000-0008-0000-0C00-00001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0</xdr:rowOff>
        </xdr:from>
        <xdr:to>
          <xdr:col>1</xdr:col>
          <xdr:colOff>342900</xdr:colOff>
          <xdr:row>20</xdr:row>
          <xdr:rowOff>0</xdr:rowOff>
        </xdr:to>
        <xdr:sp macro="" textlink="">
          <xdr:nvSpPr>
            <xdr:cNvPr id="28689" name="Check Box 18" hidden="1">
              <a:extLst>
                <a:ext uri="{63B3BB69-23CF-44E3-9099-C40C66FF867C}">
                  <a14:compatExt spid="_x0000_s28689"/>
                </a:ext>
                <a:ext uri="{FF2B5EF4-FFF2-40B4-BE49-F238E27FC236}">
                  <a16:creationId xmlns:a16="http://schemas.microsoft.com/office/drawing/2014/main" id="{00000000-0008-0000-0C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0</xdr:rowOff>
        </xdr:from>
        <xdr:to>
          <xdr:col>1</xdr:col>
          <xdr:colOff>342900</xdr:colOff>
          <xdr:row>21</xdr:row>
          <xdr:rowOff>0</xdr:rowOff>
        </xdr:to>
        <xdr:sp macro="" textlink="">
          <xdr:nvSpPr>
            <xdr:cNvPr id="28690" name="Check Box 19" hidden="1">
              <a:extLst>
                <a:ext uri="{63B3BB69-23CF-44E3-9099-C40C66FF867C}">
                  <a14:compatExt spid="_x0000_s28690"/>
                </a:ext>
                <a:ext uri="{FF2B5EF4-FFF2-40B4-BE49-F238E27FC236}">
                  <a16:creationId xmlns:a16="http://schemas.microsoft.com/office/drawing/2014/main" id="{00000000-0008-0000-0C00-00001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13</xdr:row>
      <xdr:rowOff>152397</xdr:rowOff>
    </xdr:from>
    <xdr:to>
      <xdr:col>18</xdr:col>
      <xdr:colOff>435427</xdr:colOff>
      <xdr:row>29</xdr:row>
      <xdr:rowOff>68035</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161925</xdr:colOff>
          <xdr:row>21</xdr:row>
          <xdr:rowOff>9525</xdr:rowOff>
        </xdr:from>
        <xdr:to>
          <xdr:col>1</xdr:col>
          <xdr:colOff>342900</xdr:colOff>
          <xdr:row>22</xdr:row>
          <xdr:rowOff>9525</xdr:rowOff>
        </xdr:to>
        <xdr:sp macro="" textlink="">
          <xdr:nvSpPr>
            <xdr:cNvPr id="28691" name="Check Box 20" hidden="1">
              <a:extLst>
                <a:ext uri="{63B3BB69-23CF-44E3-9099-C40C66FF867C}">
                  <a14:compatExt spid="_x0000_s28691"/>
                </a:ext>
                <a:ext uri="{FF2B5EF4-FFF2-40B4-BE49-F238E27FC236}">
                  <a16:creationId xmlns:a16="http://schemas.microsoft.com/office/drawing/2014/main" id="{00000000-0008-0000-0C00-00001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9525</xdr:rowOff>
        </xdr:from>
        <xdr:to>
          <xdr:col>1</xdr:col>
          <xdr:colOff>342900</xdr:colOff>
          <xdr:row>23</xdr:row>
          <xdr:rowOff>9525</xdr:rowOff>
        </xdr:to>
        <xdr:sp macro="" textlink="">
          <xdr:nvSpPr>
            <xdr:cNvPr id="28692" name="Check Box 21" hidden="1">
              <a:extLst>
                <a:ext uri="{63B3BB69-23CF-44E3-9099-C40C66FF867C}">
                  <a14:compatExt spid="_x0000_s28692"/>
                </a:ext>
                <a:ext uri="{FF2B5EF4-FFF2-40B4-BE49-F238E27FC236}">
                  <a16:creationId xmlns:a16="http://schemas.microsoft.com/office/drawing/2014/main" id="{00000000-0008-0000-0C00-00001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180975</xdr:rowOff>
        </xdr:from>
        <xdr:to>
          <xdr:col>1</xdr:col>
          <xdr:colOff>342900</xdr:colOff>
          <xdr:row>23</xdr:row>
          <xdr:rowOff>180975</xdr:rowOff>
        </xdr:to>
        <xdr:sp macro="" textlink="">
          <xdr:nvSpPr>
            <xdr:cNvPr id="28693" name="Check Box 21" hidden="1">
              <a:extLst>
                <a:ext uri="{63B3BB69-23CF-44E3-9099-C40C66FF867C}">
                  <a14:compatExt spid="_x0000_s28693"/>
                </a:ext>
                <a:ext uri="{FF2B5EF4-FFF2-40B4-BE49-F238E27FC236}">
                  <a16:creationId xmlns:a16="http://schemas.microsoft.com/office/drawing/2014/main" id="{00000000-0008-0000-0C00-00001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0</xdr:rowOff>
        </xdr:from>
        <xdr:to>
          <xdr:col>1</xdr:col>
          <xdr:colOff>342900</xdr:colOff>
          <xdr:row>25</xdr:row>
          <xdr:rowOff>0</xdr:rowOff>
        </xdr:to>
        <xdr:sp macro="" textlink="">
          <xdr:nvSpPr>
            <xdr:cNvPr id="28694" name="Check Box 22" hidden="1">
              <a:extLst>
                <a:ext uri="{63B3BB69-23CF-44E3-9099-C40C66FF867C}">
                  <a14:compatExt spid="_x0000_s28694"/>
                </a:ext>
                <a:ext uri="{FF2B5EF4-FFF2-40B4-BE49-F238E27FC236}">
                  <a16:creationId xmlns:a16="http://schemas.microsoft.com/office/drawing/2014/main" id="{00000000-0008-0000-0C00-00001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171450</xdr:rowOff>
        </xdr:from>
        <xdr:to>
          <xdr:col>1</xdr:col>
          <xdr:colOff>342900</xdr:colOff>
          <xdr:row>26</xdr:row>
          <xdr:rowOff>171450</xdr:rowOff>
        </xdr:to>
        <xdr:sp macro="" textlink="">
          <xdr:nvSpPr>
            <xdr:cNvPr id="28695" name="Check Box 23" hidden="1">
              <a:extLst>
                <a:ext uri="{63B3BB69-23CF-44E3-9099-C40C66FF867C}">
                  <a14:compatExt spid="_x0000_s28695"/>
                </a:ext>
                <a:ext uri="{FF2B5EF4-FFF2-40B4-BE49-F238E27FC236}">
                  <a16:creationId xmlns:a16="http://schemas.microsoft.com/office/drawing/2014/main" id="{00000000-0008-0000-0C00-00001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180975</xdr:rowOff>
        </xdr:from>
        <xdr:to>
          <xdr:col>1</xdr:col>
          <xdr:colOff>342900</xdr:colOff>
          <xdr:row>27</xdr:row>
          <xdr:rowOff>180975</xdr:rowOff>
        </xdr:to>
        <xdr:sp macro="" textlink="">
          <xdr:nvSpPr>
            <xdr:cNvPr id="28696" name="Check Box 24" hidden="1">
              <a:extLst>
                <a:ext uri="{63B3BB69-23CF-44E3-9099-C40C66FF867C}">
                  <a14:compatExt spid="_x0000_s28696"/>
                </a:ext>
                <a:ext uri="{FF2B5EF4-FFF2-40B4-BE49-F238E27FC236}">
                  <a16:creationId xmlns:a16="http://schemas.microsoft.com/office/drawing/2014/main" id="{00000000-0008-0000-0C00-00001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28</xdr:row>
          <xdr:rowOff>9525</xdr:rowOff>
        </xdr:from>
        <xdr:to>
          <xdr:col>1</xdr:col>
          <xdr:colOff>342900</xdr:colOff>
          <xdr:row>29</xdr:row>
          <xdr:rowOff>9525</xdr:rowOff>
        </xdr:to>
        <xdr:sp macro="" textlink="">
          <xdr:nvSpPr>
            <xdr:cNvPr id="28697" name="Check Box 25" hidden="1">
              <a:extLst>
                <a:ext uri="{63B3BB69-23CF-44E3-9099-C40C66FF867C}">
                  <a14:compatExt spid="_x0000_s28697"/>
                </a:ext>
                <a:ext uri="{FF2B5EF4-FFF2-40B4-BE49-F238E27FC236}">
                  <a16:creationId xmlns:a16="http://schemas.microsoft.com/office/drawing/2014/main" id="{00000000-0008-0000-0C00-00001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29</xdr:row>
          <xdr:rowOff>0</xdr:rowOff>
        </xdr:from>
        <xdr:to>
          <xdr:col>1</xdr:col>
          <xdr:colOff>342900</xdr:colOff>
          <xdr:row>30</xdr:row>
          <xdr:rowOff>0</xdr:rowOff>
        </xdr:to>
        <xdr:sp macro="" textlink="">
          <xdr:nvSpPr>
            <xdr:cNvPr id="28698" name="Check Box 26" hidden="1">
              <a:extLst>
                <a:ext uri="{63B3BB69-23CF-44E3-9099-C40C66FF867C}">
                  <a14:compatExt spid="_x0000_s28698"/>
                </a:ext>
                <a:ext uri="{FF2B5EF4-FFF2-40B4-BE49-F238E27FC236}">
                  <a16:creationId xmlns:a16="http://schemas.microsoft.com/office/drawing/2014/main" id="{00000000-0008-0000-0C00-00001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30</xdr:row>
          <xdr:rowOff>0</xdr:rowOff>
        </xdr:from>
        <xdr:to>
          <xdr:col>1</xdr:col>
          <xdr:colOff>342900</xdr:colOff>
          <xdr:row>31</xdr:row>
          <xdr:rowOff>0</xdr:rowOff>
        </xdr:to>
        <xdr:sp macro="" textlink="">
          <xdr:nvSpPr>
            <xdr:cNvPr id="28699" name="Check Box 27" hidden="1">
              <a:extLst>
                <a:ext uri="{63B3BB69-23CF-44E3-9099-C40C66FF867C}">
                  <a14:compatExt spid="_x0000_s28699"/>
                </a:ext>
                <a:ext uri="{FF2B5EF4-FFF2-40B4-BE49-F238E27FC236}">
                  <a16:creationId xmlns:a16="http://schemas.microsoft.com/office/drawing/2014/main" id="{00000000-0008-0000-0C00-00001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31</xdr:row>
          <xdr:rowOff>0</xdr:rowOff>
        </xdr:from>
        <xdr:to>
          <xdr:col>1</xdr:col>
          <xdr:colOff>342900</xdr:colOff>
          <xdr:row>32</xdr:row>
          <xdr:rowOff>0</xdr:rowOff>
        </xdr:to>
        <xdr:sp macro="" textlink="">
          <xdr:nvSpPr>
            <xdr:cNvPr id="28700" name="Check Box 28" hidden="1">
              <a:extLst>
                <a:ext uri="{63B3BB69-23CF-44E3-9099-C40C66FF867C}">
                  <a14:compatExt spid="_x0000_s28700"/>
                </a:ext>
                <a:ext uri="{FF2B5EF4-FFF2-40B4-BE49-F238E27FC236}">
                  <a16:creationId xmlns:a16="http://schemas.microsoft.com/office/drawing/2014/main" id="{00000000-0008-0000-0C00-00001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171450</xdr:rowOff>
        </xdr:from>
        <xdr:to>
          <xdr:col>1</xdr:col>
          <xdr:colOff>333375</xdr:colOff>
          <xdr:row>32</xdr:row>
          <xdr:rowOff>171450</xdr:rowOff>
        </xdr:to>
        <xdr:sp macro="" textlink="">
          <xdr:nvSpPr>
            <xdr:cNvPr id="28701" name="Check Box 29" hidden="1">
              <a:extLst>
                <a:ext uri="{63B3BB69-23CF-44E3-9099-C40C66FF867C}">
                  <a14:compatExt spid="_x0000_s28701"/>
                </a:ext>
                <a:ext uri="{FF2B5EF4-FFF2-40B4-BE49-F238E27FC236}">
                  <a16:creationId xmlns:a16="http://schemas.microsoft.com/office/drawing/2014/main" id="{00000000-0008-0000-0C00-00001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33</xdr:row>
          <xdr:rowOff>0</xdr:rowOff>
        </xdr:from>
        <xdr:to>
          <xdr:col>1</xdr:col>
          <xdr:colOff>323850</xdr:colOff>
          <xdr:row>34</xdr:row>
          <xdr:rowOff>0</xdr:rowOff>
        </xdr:to>
        <xdr:sp macro="" textlink="">
          <xdr:nvSpPr>
            <xdr:cNvPr id="28702" name="Check Box 30" hidden="1">
              <a:extLst>
                <a:ext uri="{63B3BB69-23CF-44E3-9099-C40C66FF867C}">
                  <a14:compatExt spid="_x0000_s28702"/>
                </a:ext>
                <a:ext uri="{FF2B5EF4-FFF2-40B4-BE49-F238E27FC236}">
                  <a16:creationId xmlns:a16="http://schemas.microsoft.com/office/drawing/2014/main" id="{00000000-0008-0000-0C00-00001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19050</xdr:rowOff>
        </xdr:from>
        <xdr:to>
          <xdr:col>1</xdr:col>
          <xdr:colOff>342900</xdr:colOff>
          <xdr:row>4</xdr:row>
          <xdr:rowOff>19050</xdr:rowOff>
        </xdr:to>
        <xdr:sp macro="" textlink="">
          <xdr:nvSpPr>
            <xdr:cNvPr id="30721" name="Case à cocher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4</xdr:row>
          <xdr:rowOff>9525</xdr:rowOff>
        </xdr:from>
        <xdr:to>
          <xdr:col>1</xdr:col>
          <xdr:colOff>342900</xdr:colOff>
          <xdr:row>5</xdr:row>
          <xdr:rowOff>9525</xdr:rowOff>
        </xdr:to>
        <xdr:sp macro="" textlink="">
          <xdr:nvSpPr>
            <xdr:cNvPr id="30722" name="Case à cocher 2" hidden="1">
              <a:extLst>
                <a:ext uri="{63B3BB69-23CF-44E3-9099-C40C66FF867C}">
                  <a14:compatExt spid="_x0000_s30722"/>
                </a:ext>
                <a:ext uri="{FF2B5EF4-FFF2-40B4-BE49-F238E27FC236}">
                  <a16:creationId xmlns:a16="http://schemas.microsoft.com/office/drawing/2014/main" id="{00000000-0008-0000-0D00-00000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5</xdr:row>
          <xdr:rowOff>19050</xdr:rowOff>
        </xdr:from>
        <xdr:to>
          <xdr:col>1</xdr:col>
          <xdr:colOff>342900</xdr:colOff>
          <xdr:row>6</xdr:row>
          <xdr:rowOff>19050</xdr:rowOff>
        </xdr:to>
        <xdr:sp macro="" textlink="">
          <xdr:nvSpPr>
            <xdr:cNvPr id="30723" name="Case à cocher 4" hidden="1">
              <a:extLst>
                <a:ext uri="{63B3BB69-23CF-44E3-9099-C40C66FF867C}">
                  <a14:compatExt spid="_x0000_s30723"/>
                </a:ext>
                <a:ext uri="{FF2B5EF4-FFF2-40B4-BE49-F238E27FC236}">
                  <a16:creationId xmlns:a16="http://schemas.microsoft.com/office/drawing/2014/main" id="{00000000-0008-0000-0D00-000003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7</xdr:row>
          <xdr:rowOff>9525</xdr:rowOff>
        </xdr:from>
        <xdr:to>
          <xdr:col>1</xdr:col>
          <xdr:colOff>342900</xdr:colOff>
          <xdr:row>8</xdr:row>
          <xdr:rowOff>9525</xdr:rowOff>
        </xdr:to>
        <xdr:sp macro="" textlink="">
          <xdr:nvSpPr>
            <xdr:cNvPr id="30724" name="Case à cocher 5" hidden="1">
              <a:extLst>
                <a:ext uri="{63B3BB69-23CF-44E3-9099-C40C66FF867C}">
                  <a14:compatExt spid="_x0000_s30724"/>
                </a:ext>
                <a:ext uri="{FF2B5EF4-FFF2-40B4-BE49-F238E27FC236}">
                  <a16:creationId xmlns:a16="http://schemas.microsoft.com/office/drawing/2014/main" id="{00000000-0008-0000-0D00-00000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6</xdr:row>
          <xdr:rowOff>19050</xdr:rowOff>
        </xdr:from>
        <xdr:to>
          <xdr:col>1</xdr:col>
          <xdr:colOff>342900</xdr:colOff>
          <xdr:row>7</xdr:row>
          <xdr:rowOff>19050</xdr:rowOff>
        </xdr:to>
        <xdr:sp macro="" textlink="">
          <xdr:nvSpPr>
            <xdr:cNvPr id="30725" name="Case à cocher 6" hidden="1">
              <a:extLst>
                <a:ext uri="{63B3BB69-23CF-44E3-9099-C40C66FF867C}">
                  <a14:compatExt spid="_x0000_s30725"/>
                </a:ext>
                <a:ext uri="{FF2B5EF4-FFF2-40B4-BE49-F238E27FC236}">
                  <a16:creationId xmlns:a16="http://schemas.microsoft.com/office/drawing/2014/main" id="{00000000-0008-0000-0D00-000005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8</xdr:row>
          <xdr:rowOff>19050</xdr:rowOff>
        </xdr:from>
        <xdr:to>
          <xdr:col>1</xdr:col>
          <xdr:colOff>342900</xdr:colOff>
          <xdr:row>9</xdr:row>
          <xdr:rowOff>19050</xdr:rowOff>
        </xdr:to>
        <xdr:sp macro="" textlink="">
          <xdr:nvSpPr>
            <xdr:cNvPr id="30726" name="Case à cocher 7" hidden="1">
              <a:extLst>
                <a:ext uri="{63B3BB69-23CF-44E3-9099-C40C66FF867C}">
                  <a14:compatExt spid="_x0000_s30726"/>
                </a:ext>
                <a:ext uri="{FF2B5EF4-FFF2-40B4-BE49-F238E27FC236}">
                  <a16:creationId xmlns:a16="http://schemas.microsoft.com/office/drawing/2014/main" id="{00000000-0008-0000-0D00-00000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9</xdr:row>
          <xdr:rowOff>9525</xdr:rowOff>
        </xdr:from>
        <xdr:to>
          <xdr:col>1</xdr:col>
          <xdr:colOff>342900</xdr:colOff>
          <xdr:row>10</xdr:row>
          <xdr:rowOff>9525</xdr:rowOff>
        </xdr:to>
        <xdr:sp macro="" textlink="">
          <xdr:nvSpPr>
            <xdr:cNvPr id="30727" name="Case à cocher 8" hidden="1">
              <a:extLst>
                <a:ext uri="{63B3BB69-23CF-44E3-9099-C40C66FF867C}">
                  <a14:compatExt spid="_x0000_s30727"/>
                </a:ext>
                <a:ext uri="{FF2B5EF4-FFF2-40B4-BE49-F238E27FC236}">
                  <a16:creationId xmlns:a16="http://schemas.microsoft.com/office/drawing/2014/main" id="{00000000-0008-0000-0D00-00000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10</xdr:row>
          <xdr:rowOff>9525</xdr:rowOff>
        </xdr:from>
        <xdr:to>
          <xdr:col>1</xdr:col>
          <xdr:colOff>342900</xdr:colOff>
          <xdr:row>11</xdr:row>
          <xdr:rowOff>9525</xdr:rowOff>
        </xdr:to>
        <xdr:sp macro="" textlink="">
          <xdr:nvSpPr>
            <xdr:cNvPr id="30728" name="Case à cocher 9" hidden="1">
              <a:extLst>
                <a:ext uri="{63B3BB69-23CF-44E3-9099-C40C66FF867C}">
                  <a14:compatExt spid="_x0000_s30728"/>
                </a:ext>
                <a:ext uri="{FF2B5EF4-FFF2-40B4-BE49-F238E27FC236}">
                  <a16:creationId xmlns:a16="http://schemas.microsoft.com/office/drawing/2014/main" id="{00000000-0008-0000-0D00-00000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10</xdr:row>
          <xdr:rowOff>171450</xdr:rowOff>
        </xdr:from>
        <xdr:to>
          <xdr:col>1</xdr:col>
          <xdr:colOff>342900</xdr:colOff>
          <xdr:row>11</xdr:row>
          <xdr:rowOff>171450</xdr:rowOff>
        </xdr:to>
        <xdr:sp macro="" textlink="">
          <xdr:nvSpPr>
            <xdr:cNvPr id="30729" name="Case à cocher 10" hidden="1">
              <a:extLst>
                <a:ext uri="{63B3BB69-23CF-44E3-9099-C40C66FF867C}">
                  <a14:compatExt spid="_x0000_s30729"/>
                </a:ext>
                <a:ext uri="{FF2B5EF4-FFF2-40B4-BE49-F238E27FC236}">
                  <a16:creationId xmlns:a16="http://schemas.microsoft.com/office/drawing/2014/main" id="{00000000-0008-0000-0D00-00000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11</xdr:row>
          <xdr:rowOff>171450</xdr:rowOff>
        </xdr:from>
        <xdr:to>
          <xdr:col>1</xdr:col>
          <xdr:colOff>342900</xdr:colOff>
          <xdr:row>12</xdr:row>
          <xdr:rowOff>171450</xdr:rowOff>
        </xdr:to>
        <xdr:sp macro="" textlink="">
          <xdr:nvSpPr>
            <xdr:cNvPr id="30730" name="Case à cocher 11" hidden="1">
              <a:extLst>
                <a:ext uri="{63B3BB69-23CF-44E3-9099-C40C66FF867C}">
                  <a14:compatExt spid="_x0000_s30730"/>
                </a:ext>
                <a:ext uri="{FF2B5EF4-FFF2-40B4-BE49-F238E27FC236}">
                  <a16:creationId xmlns:a16="http://schemas.microsoft.com/office/drawing/2014/main" id="{00000000-0008-0000-0D00-00000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12</xdr:row>
          <xdr:rowOff>171450</xdr:rowOff>
        </xdr:from>
        <xdr:to>
          <xdr:col>1</xdr:col>
          <xdr:colOff>342900</xdr:colOff>
          <xdr:row>13</xdr:row>
          <xdr:rowOff>171450</xdr:rowOff>
        </xdr:to>
        <xdr:sp macro="" textlink="">
          <xdr:nvSpPr>
            <xdr:cNvPr id="30731" name="Check Box 11" hidden="1">
              <a:extLst>
                <a:ext uri="{63B3BB69-23CF-44E3-9099-C40C66FF867C}">
                  <a14:compatExt spid="_x0000_s30731"/>
                </a:ext>
                <a:ext uri="{FF2B5EF4-FFF2-40B4-BE49-F238E27FC236}">
                  <a16:creationId xmlns:a16="http://schemas.microsoft.com/office/drawing/2014/main" id="{00000000-0008-0000-0D00-00000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530679</xdr:colOff>
      <xdr:row>0</xdr:row>
      <xdr:rowOff>69396</xdr:rowOff>
    </xdr:from>
    <xdr:to>
      <xdr:col>18</xdr:col>
      <xdr:colOff>449036</xdr:colOff>
      <xdr:row>13</xdr:row>
      <xdr:rowOff>122464</xdr:rowOff>
    </xdr:to>
    <xdr:graphicFrame macro="">
      <xdr:nvGraphicFramePr>
        <xdr:cNvPr id="13" name="Chart 1">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161925</xdr:colOff>
          <xdr:row>13</xdr:row>
          <xdr:rowOff>180975</xdr:rowOff>
        </xdr:from>
        <xdr:to>
          <xdr:col>1</xdr:col>
          <xdr:colOff>342900</xdr:colOff>
          <xdr:row>15</xdr:row>
          <xdr:rowOff>0</xdr:rowOff>
        </xdr:to>
        <xdr:sp macro="" textlink="">
          <xdr:nvSpPr>
            <xdr:cNvPr id="30732" name="Check Box 13" hidden="1">
              <a:extLst>
                <a:ext uri="{63B3BB69-23CF-44E3-9099-C40C66FF867C}">
                  <a14:compatExt spid="_x0000_s30732"/>
                </a:ext>
                <a:ext uri="{FF2B5EF4-FFF2-40B4-BE49-F238E27FC236}">
                  <a16:creationId xmlns:a16="http://schemas.microsoft.com/office/drawing/2014/main" id="{00000000-0008-0000-0D00-00000C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180975</xdr:rowOff>
        </xdr:from>
        <xdr:to>
          <xdr:col>1</xdr:col>
          <xdr:colOff>342900</xdr:colOff>
          <xdr:row>16</xdr:row>
          <xdr:rowOff>0</xdr:rowOff>
        </xdr:to>
        <xdr:sp macro="" textlink="">
          <xdr:nvSpPr>
            <xdr:cNvPr id="30733" name="Check Box 14" hidden="1">
              <a:extLst>
                <a:ext uri="{63B3BB69-23CF-44E3-9099-C40C66FF867C}">
                  <a14:compatExt spid="_x0000_s30733"/>
                </a:ext>
                <a:ext uri="{FF2B5EF4-FFF2-40B4-BE49-F238E27FC236}">
                  <a16:creationId xmlns:a16="http://schemas.microsoft.com/office/drawing/2014/main" id="{00000000-0008-0000-0D00-00000D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0</xdr:rowOff>
        </xdr:from>
        <xdr:to>
          <xdr:col>1</xdr:col>
          <xdr:colOff>342900</xdr:colOff>
          <xdr:row>17</xdr:row>
          <xdr:rowOff>0</xdr:rowOff>
        </xdr:to>
        <xdr:sp macro="" textlink="">
          <xdr:nvSpPr>
            <xdr:cNvPr id="30734" name="Check Box 15" hidden="1">
              <a:extLst>
                <a:ext uri="{63B3BB69-23CF-44E3-9099-C40C66FF867C}">
                  <a14:compatExt spid="_x0000_s30734"/>
                </a:ext>
                <a:ext uri="{FF2B5EF4-FFF2-40B4-BE49-F238E27FC236}">
                  <a16:creationId xmlns:a16="http://schemas.microsoft.com/office/drawing/2014/main" id="{00000000-0008-0000-0D00-00000E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180975</xdr:rowOff>
        </xdr:from>
        <xdr:to>
          <xdr:col>1</xdr:col>
          <xdr:colOff>342900</xdr:colOff>
          <xdr:row>18</xdr:row>
          <xdr:rowOff>0</xdr:rowOff>
        </xdr:to>
        <xdr:sp macro="" textlink="">
          <xdr:nvSpPr>
            <xdr:cNvPr id="30735" name="Check Box 16" hidden="1">
              <a:extLst>
                <a:ext uri="{63B3BB69-23CF-44E3-9099-C40C66FF867C}">
                  <a14:compatExt spid="_x0000_s30735"/>
                </a:ext>
                <a:ext uri="{FF2B5EF4-FFF2-40B4-BE49-F238E27FC236}">
                  <a16:creationId xmlns:a16="http://schemas.microsoft.com/office/drawing/2014/main" id="{00000000-0008-0000-0D00-00000F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180975</xdr:rowOff>
        </xdr:from>
        <xdr:to>
          <xdr:col>1</xdr:col>
          <xdr:colOff>342900</xdr:colOff>
          <xdr:row>19</xdr:row>
          <xdr:rowOff>0</xdr:rowOff>
        </xdr:to>
        <xdr:sp macro="" textlink="">
          <xdr:nvSpPr>
            <xdr:cNvPr id="30736" name="Check Box 17" hidden="1">
              <a:extLst>
                <a:ext uri="{63B3BB69-23CF-44E3-9099-C40C66FF867C}">
                  <a14:compatExt spid="_x0000_s30736"/>
                </a:ext>
                <a:ext uri="{FF2B5EF4-FFF2-40B4-BE49-F238E27FC236}">
                  <a16:creationId xmlns:a16="http://schemas.microsoft.com/office/drawing/2014/main" id="{00000000-0008-0000-0D00-000010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0</xdr:rowOff>
        </xdr:from>
        <xdr:to>
          <xdr:col>1</xdr:col>
          <xdr:colOff>342900</xdr:colOff>
          <xdr:row>20</xdr:row>
          <xdr:rowOff>0</xdr:rowOff>
        </xdr:to>
        <xdr:sp macro="" textlink="">
          <xdr:nvSpPr>
            <xdr:cNvPr id="30737" name="Check Box 18" hidden="1">
              <a:extLst>
                <a:ext uri="{63B3BB69-23CF-44E3-9099-C40C66FF867C}">
                  <a14:compatExt spid="_x0000_s30737"/>
                </a:ext>
                <a:ext uri="{FF2B5EF4-FFF2-40B4-BE49-F238E27FC236}">
                  <a16:creationId xmlns:a16="http://schemas.microsoft.com/office/drawing/2014/main" id="{00000000-0008-0000-0D00-00001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0</xdr:rowOff>
        </xdr:from>
        <xdr:to>
          <xdr:col>1</xdr:col>
          <xdr:colOff>342900</xdr:colOff>
          <xdr:row>21</xdr:row>
          <xdr:rowOff>0</xdr:rowOff>
        </xdr:to>
        <xdr:sp macro="" textlink="">
          <xdr:nvSpPr>
            <xdr:cNvPr id="30738" name="Check Box 19" hidden="1">
              <a:extLst>
                <a:ext uri="{63B3BB69-23CF-44E3-9099-C40C66FF867C}">
                  <a14:compatExt spid="_x0000_s30738"/>
                </a:ext>
                <a:ext uri="{FF2B5EF4-FFF2-40B4-BE49-F238E27FC236}">
                  <a16:creationId xmlns:a16="http://schemas.microsoft.com/office/drawing/2014/main" id="{00000000-0008-0000-0D00-00001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13</xdr:row>
      <xdr:rowOff>152397</xdr:rowOff>
    </xdr:from>
    <xdr:to>
      <xdr:col>18</xdr:col>
      <xdr:colOff>435427</xdr:colOff>
      <xdr:row>29</xdr:row>
      <xdr:rowOff>68035</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161925</xdr:colOff>
          <xdr:row>21</xdr:row>
          <xdr:rowOff>9525</xdr:rowOff>
        </xdr:from>
        <xdr:to>
          <xdr:col>1</xdr:col>
          <xdr:colOff>342900</xdr:colOff>
          <xdr:row>22</xdr:row>
          <xdr:rowOff>9525</xdr:rowOff>
        </xdr:to>
        <xdr:sp macro="" textlink="">
          <xdr:nvSpPr>
            <xdr:cNvPr id="30739" name="Check Box 20" hidden="1">
              <a:extLst>
                <a:ext uri="{63B3BB69-23CF-44E3-9099-C40C66FF867C}">
                  <a14:compatExt spid="_x0000_s30739"/>
                </a:ext>
                <a:ext uri="{FF2B5EF4-FFF2-40B4-BE49-F238E27FC236}">
                  <a16:creationId xmlns:a16="http://schemas.microsoft.com/office/drawing/2014/main" id="{00000000-0008-0000-0D00-000013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9525</xdr:rowOff>
        </xdr:from>
        <xdr:to>
          <xdr:col>1</xdr:col>
          <xdr:colOff>342900</xdr:colOff>
          <xdr:row>23</xdr:row>
          <xdr:rowOff>9525</xdr:rowOff>
        </xdr:to>
        <xdr:sp macro="" textlink="">
          <xdr:nvSpPr>
            <xdr:cNvPr id="30740" name="Check Box 21" hidden="1">
              <a:extLst>
                <a:ext uri="{63B3BB69-23CF-44E3-9099-C40C66FF867C}">
                  <a14:compatExt spid="_x0000_s30740"/>
                </a:ext>
                <a:ext uri="{FF2B5EF4-FFF2-40B4-BE49-F238E27FC236}">
                  <a16:creationId xmlns:a16="http://schemas.microsoft.com/office/drawing/2014/main" id="{00000000-0008-0000-0D00-00001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180975</xdr:rowOff>
        </xdr:from>
        <xdr:to>
          <xdr:col>1</xdr:col>
          <xdr:colOff>342900</xdr:colOff>
          <xdr:row>23</xdr:row>
          <xdr:rowOff>180975</xdr:rowOff>
        </xdr:to>
        <xdr:sp macro="" textlink="">
          <xdr:nvSpPr>
            <xdr:cNvPr id="30741" name="Check Box 21" hidden="1">
              <a:extLst>
                <a:ext uri="{63B3BB69-23CF-44E3-9099-C40C66FF867C}">
                  <a14:compatExt spid="_x0000_s30741"/>
                </a:ext>
                <a:ext uri="{FF2B5EF4-FFF2-40B4-BE49-F238E27FC236}">
                  <a16:creationId xmlns:a16="http://schemas.microsoft.com/office/drawing/2014/main" id="{00000000-0008-0000-0D00-000015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0</xdr:rowOff>
        </xdr:from>
        <xdr:to>
          <xdr:col>1</xdr:col>
          <xdr:colOff>342900</xdr:colOff>
          <xdr:row>25</xdr:row>
          <xdr:rowOff>0</xdr:rowOff>
        </xdr:to>
        <xdr:sp macro="" textlink="">
          <xdr:nvSpPr>
            <xdr:cNvPr id="30742" name="Check Box 22" hidden="1">
              <a:extLst>
                <a:ext uri="{63B3BB69-23CF-44E3-9099-C40C66FF867C}">
                  <a14:compatExt spid="_x0000_s30742"/>
                </a:ext>
                <a:ext uri="{FF2B5EF4-FFF2-40B4-BE49-F238E27FC236}">
                  <a16:creationId xmlns:a16="http://schemas.microsoft.com/office/drawing/2014/main" id="{00000000-0008-0000-0D00-00001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171450</xdr:rowOff>
        </xdr:from>
        <xdr:to>
          <xdr:col>1</xdr:col>
          <xdr:colOff>342900</xdr:colOff>
          <xdr:row>26</xdr:row>
          <xdr:rowOff>171450</xdr:rowOff>
        </xdr:to>
        <xdr:sp macro="" textlink="">
          <xdr:nvSpPr>
            <xdr:cNvPr id="30743" name="Check Box 23" hidden="1">
              <a:extLst>
                <a:ext uri="{63B3BB69-23CF-44E3-9099-C40C66FF867C}">
                  <a14:compatExt spid="_x0000_s30743"/>
                </a:ext>
                <a:ext uri="{FF2B5EF4-FFF2-40B4-BE49-F238E27FC236}">
                  <a16:creationId xmlns:a16="http://schemas.microsoft.com/office/drawing/2014/main" id="{00000000-0008-0000-0D00-00001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180975</xdr:rowOff>
        </xdr:from>
        <xdr:to>
          <xdr:col>1</xdr:col>
          <xdr:colOff>342900</xdr:colOff>
          <xdr:row>27</xdr:row>
          <xdr:rowOff>180975</xdr:rowOff>
        </xdr:to>
        <xdr:sp macro="" textlink="">
          <xdr:nvSpPr>
            <xdr:cNvPr id="30744" name="Check Box 24" hidden="1">
              <a:extLst>
                <a:ext uri="{63B3BB69-23CF-44E3-9099-C40C66FF867C}">
                  <a14:compatExt spid="_x0000_s30744"/>
                </a:ext>
                <a:ext uri="{FF2B5EF4-FFF2-40B4-BE49-F238E27FC236}">
                  <a16:creationId xmlns:a16="http://schemas.microsoft.com/office/drawing/2014/main" id="{00000000-0008-0000-0D00-00001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28</xdr:row>
          <xdr:rowOff>9525</xdr:rowOff>
        </xdr:from>
        <xdr:to>
          <xdr:col>1</xdr:col>
          <xdr:colOff>342900</xdr:colOff>
          <xdr:row>29</xdr:row>
          <xdr:rowOff>9525</xdr:rowOff>
        </xdr:to>
        <xdr:sp macro="" textlink="">
          <xdr:nvSpPr>
            <xdr:cNvPr id="30745" name="Check Box 25" hidden="1">
              <a:extLst>
                <a:ext uri="{63B3BB69-23CF-44E3-9099-C40C66FF867C}">
                  <a14:compatExt spid="_x0000_s30745"/>
                </a:ext>
                <a:ext uri="{FF2B5EF4-FFF2-40B4-BE49-F238E27FC236}">
                  <a16:creationId xmlns:a16="http://schemas.microsoft.com/office/drawing/2014/main" id="{00000000-0008-0000-0D00-00001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29</xdr:row>
          <xdr:rowOff>0</xdr:rowOff>
        </xdr:from>
        <xdr:to>
          <xdr:col>1</xdr:col>
          <xdr:colOff>342900</xdr:colOff>
          <xdr:row>30</xdr:row>
          <xdr:rowOff>0</xdr:rowOff>
        </xdr:to>
        <xdr:sp macro="" textlink="">
          <xdr:nvSpPr>
            <xdr:cNvPr id="30746" name="Check Box 26" hidden="1">
              <a:extLst>
                <a:ext uri="{63B3BB69-23CF-44E3-9099-C40C66FF867C}">
                  <a14:compatExt spid="_x0000_s30746"/>
                </a:ext>
                <a:ext uri="{FF2B5EF4-FFF2-40B4-BE49-F238E27FC236}">
                  <a16:creationId xmlns:a16="http://schemas.microsoft.com/office/drawing/2014/main" id="{00000000-0008-0000-0D00-00001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30</xdr:row>
          <xdr:rowOff>0</xdr:rowOff>
        </xdr:from>
        <xdr:to>
          <xdr:col>1</xdr:col>
          <xdr:colOff>342900</xdr:colOff>
          <xdr:row>31</xdr:row>
          <xdr:rowOff>0</xdr:rowOff>
        </xdr:to>
        <xdr:sp macro="" textlink="">
          <xdr:nvSpPr>
            <xdr:cNvPr id="30747" name="Check Box 27" hidden="1">
              <a:extLst>
                <a:ext uri="{63B3BB69-23CF-44E3-9099-C40C66FF867C}">
                  <a14:compatExt spid="_x0000_s30747"/>
                </a:ext>
                <a:ext uri="{FF2B5EF4-FFF2-40B4-BE49-F238E27FC236}">
                  <a16:creationId xmlns:a16="http://schemas.microsoft.com/office/drawing/2014/main" id="{00000000-0008-0000-0D00-00001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31</xdr:row>
          <xdr:rowOff>0</xdr:rowOff>
        </xdr:from>
        <xdr:to>
          <xdr:col>1</xdr:col>
          <xdr:colOff>342900</xdr:colOff>
          <xdr:row>32</xdr:row>
          <xdr:rowOff>0</xdr:rowOff>
        </xdr:to>
        <xdr:sp macro="" textlink="">
          <xdr:nvSpPr>
            <xdr:cNvPr id="30748" name="Check Box 28" hidden="1">
              <a:extLst>
                <a:ext uri="{63B3BB69-23CF-44E3-9099-C40C66FF867C}">
                  <a14:compatExt spid="_x0000_s30748"/>
                </a:ext>
                <a:ext uri="{FF2B5EF4-FFF2-40B4-BE49-F238E27FC236}">
                  <a16:creationId xmlns:a16="http://schemas.microsoft.com/office/drawing/2014/main" id="{00000000-0008-0000-0D00-00001C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171450</xdr:rowOff>
        </xdr:from>
        <xdr:to>
          <xdr:col>1</xdr:col>
          <xdr:colOff>333375</xdr:colOff>
          <xdr:row>32</xdr:row>
          <xdr:rowOff>171450</xdr:rowOff>
        </xdr:to>
        <xdr:sp macro="" textlink="">
          <xdr:nvSpPr>
            <xdr:cNvPr id="30749" name="Check Box 29" hidden="1">
              <a:extLst>
                <a:ext uri="{63B3BB69-23CF-44E3-9099-C40C66FF867C}">
                  <a14:compatExt spid="_x0000_s30749"/>
                </a:ext>
                <a:ext uri="{FF2B5EF4-FFF2-40B4-BE49-F238E27FC236}">
                  <a16:creationId xmlns:a16="http://schemas.microsoft.com/office/drawing/2014/main" id="{00000000-0008-0000-0D00-00001D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33</xdr:row>
          <xdr:rowOff>0</xdr:rowOff>
        </xdr:from>
        <xdr:to>
          <xdr:col>1</xdr:col>
          <xdr:colOff>323850</xdr:colOff>
          <xdr:row>34</xdr:row>
          <xdr:rowOff>0</xdr:rowOff>
        </xdr:to>
        <xdr:sp macro="" textlink="">
          <xdr:nvSpPr>
            <xdr:cNvPr id="30750" name="Check Box 30" hidden="1">
              <a:extLst>
                <a:ext uri="{63B3BB69-23CF-44E3-9099-C40C66FF867C}">
                  <a14:compatExt spid="_x0000_s30750"/>
                </a:ext>
                <a:ext uri="{FF2B5EF4-FFF2-40B4-BE49-F238E27FC236}">
                  <a16:creationId xmlns:a16="http://schemas.microsoft.com/office/drawing/2014/main" id="{00000000-0008-0000-0D00-00001E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0</xdr:rowOff>
        </xdr:from>
        <xdr:to>
          <xdr:col>1</xdr:col>
          <xdr:colOff>342900</xdr:colOff>
          <xdr:row>4</xdr:row>
          <xdr:rowOff>0</xdr:rowOff>
        </xdr:to>
        <xdr:sp macro="" textlink="">
          <xdr:nvSpPr>
            <xdr:cNvPr id="32769" name="Case à cocher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xdr:row>
          <xdr:rowOff>9525</xdr:rowOff>
        </xdr:from>
        <xdr:to>
          <xdr:col>1</xdr:col>
          <xdr:colOff>333375</xdr:colOff>
          <xdr:row>4</xdr:row>
          <xdr:rowOff>9525</xdr:rowOff>
        </xdr:to>
        <xdr:sp macro="" textlink="">
          <xdr:nvSpPr>
            <xdr:cNvPr id="32770" name="Case à cocher 2" hidden="1">
              <a:extLst>
                <a:ext uri="{63B3BB69-23CF-44E3-9099-C40C66FF867C}">
                  <a14:compatExt spid="_x0000_s32770"/>
                </a:ext>
                <a:ext uri="{FF2B5EF4-FFF2-40B4-BE49-F238E27FC236}">
                  <a16:creationId xmlns:a16="http://schemas.microsoft.com/office/drawing/2014/main" id="{00000000-0008-0000-0E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7</xdr:row>
          <xdr:rowOff>0</xdr:rowOff>
        </xdr:from>
        <xdr:to>
          <xdr:col>1</xdr:col>
          <xdr:colOff>333375</xdr:colOff>
          <xdr:row>8</xdr:row>
          <xdr:rowOff>0</xdr:rowOff>
        </xdr:to>
        <xdr:sp macro="" textlink="">
          <xdr:nvSpPr>
            <xdr:cNvPr id="32771" name="Case à cocher 4" hidden="1">
              <a:extLst>
                <a:ext uri="{63B3BB69-23CF-44E3-9099-C40C66FF867C}">
                  <a14:compatExt spid="_x0000_s32771"/>
                </a:ext>
                <a:ext uri="{FF2B5EF4-FFF2-40B4-BE49-F238E27FC236}">
                  <a16:creationId xmlns:a16="http://schemas.microsoft.com/office/drawing/2014/main" id="{00000000-0008-0000-0E00-00000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8</xdr:row>
          <xdr:rowOff>9525</xdr:rowOff>
        </xdr:from>
        <xdr:to>
          <xdr:col>1</xdr:col>
          <xdr:colOff>333375</xdr:colOff>
          <xdr:row>9</xdr:row>
          <xdr:rowOff>9525</xdr:rowOff>
        </xdr:to>
        <xdr:sp macro="" textlink="">
          <xdr:nvSpPr>
            <xdr:cNvPr id="32772" name="Case à cocher 5" hidden="1">
              <a:extLst>
                <a:ext uri="{63B3BB69-23CF-44E3-9099-C40C66FF867C}">
                  <a14:compatExt spid="_x0000_s32772"/>
                </a:ext>
                <a:ext uri="{FF2B5EF4-FFF2-40B4-BE49-F238E27FC236}">
                  <a16:creationId xmlns:a16="http://schemas.microsoft.com/office/drawing/2014/main" id="{00000000-0008-0000-0E00-000004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27</xdr:row>
          <xdr:rowOff>190500</xdr:rowOff>
        </xdr:from>
        <xdr:to>
          <xdr:col>1</xdr:col>
          <xdr:colOff>333375</xdr:colOff>
          <xdr:row>28</xdr:row>
          <xdr:rowOff>190500</xdr:rowOff>
        </xdr:to>
        <xdr:sp macro="" textlink="">
          <xdr:nvSpPr>
            <xdr:cNvPr id="32773" name="Case à cocher 6" hidden="1">
              <a:extLst>
                <a:ext uri="{63B3BB69-23CF-44E3-9099-C40C66FF867C}">
                  <a14:compatExt spid="_x0000_s32773"/>
                </a:ext>
                <a:ext uri="{FF2B5EF4-FFF2-40B4-BE49-F238E27FC236}">
                  <a16:creationId xmlns:a16="http://schemas.microsoft.com/office/drawing/2014/main" id="{00000000-0008-0000-0E00-000005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13</xdr:row>
          <xdr:rowOff>19050</xdr:rowOff>
        </xdr:from>
        <xdr:to>
          <xdr:col>1</xdr:col>
          <xdr:colOff>333375</xdr:colOff>
          <xdr:row>14</xdr:row>
          <xdr:rowOff>19050</xdr:rowOff>
        </xdr:to>
        <xdr:sp macro="" textlink="">
          <xdr:nvSpPr>
            <xdr:cNvPr id="32774" name="Case à cocher 7" hidden="1">
              <a:extLst>
                <a:ext uri="{63B3BB69-23CF-44E3-9099-C40C66FF867C}">
                  <a14:compatExt spid="_x0000_s32774"/>
                </a:ext>
                <a:ext uri="{FF2B5EF4-FFF2-40B4-BE49-F238E27FC236}">
                  <a16:creationId xmlns:a16="http://schemas.microsoft.com/office/drawing/2014/main" id="{00000000-0008-0000-0E00-000006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14</xdr:row>
          <xdr:rowOff>9525</xdr:rowOff>
        </xdr:from>
        <xdr:to>
          <xdr:col>1</xdr:col>
          <xdr:colOff>333375</xdr:colOff>
          <xdr:row>15</xdr:row>
          <xdr:rowOff>9525</xdr:rowOff>
        </xdr:to>
        <xdr:sp macro="" textlink="">
          <xdr:nvSpPr>
            <xdr:cNvPr id="32775" name="Case à cocher 8" hidden="1">
              <a:extLst>
                <a:ext uri="{63B3BB69-23CF-44E3-9099-C40C66FF867C}">
                  <a14:compatExt spid="_x0000_s32775"/>
                </a:ext>
                <a:ext uri="{FF2B5EF4-FFF2-40B4-BE49-F238E27FC236}">
                  <a16:creationId xmlns:a16="http://schemas.microsoft.com/office/drawing/2014/main" id="{00000000-0008-0000-0E00-000007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15</xdr:row>
          <xdr:rowOff>9525</xdr:rowOff>
        </xdr:from>
        <xdr:to>
          <xdr:col>1</xdr:col>
          <xdr:colOff>333375</xdr:colOff>
          <xdr:row>16</xdr:row>
          <xdr:rowOff>9525</xdr:rowOff>
        </xdr:to>
        <xdr:sp macro="" textlink="">
          <xdr:nvSpPr>
            <xdr:cNvPr id="32776" name="Case à cocher 9" hidden="1">
              <a:extLst>
                <a:ext uri="{63B3BB69-23CF-44E3-9099-C40C66FF867C}">
                  <a14:compatExt spid="_x0000_s32776"/>
                </a:ext>
                <a:ext uri="{FF2B5EF4-FFF2-40B4-BE49-F238E27FC236}">
                  <a16:creationId xmlns:a16="http://schemas.microsoft.com/office/drawing/2014/main" id="{00000000-0008-0000-0E00-000008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15</xdr:row>
          <xdr:rowOff>171450</xdr:rowOff>
        </xdr:from>
        <xdr:to>
          <xdr:col>1</xdr:col>
          <xdr:colOff>333375</xdr:colOff>
          <xdr:row>16</xdr:row>
          <xdr:rowOff>171450</xdr:rowOff>
        </xdr:to>
        <xdr:sp macro="" textlink="">
          <xdr:nvSpPr>
            <xdr:cNvPr id="32777" name="Case à cocher 10" hidden="1">
              <a:extLst>
                <a:ext uri="{63B3BB69-23CF-44E3-9099-C40C66FF867C}">
                  <a14:compatExt spid="_x0000_s32777"/>
                </a:ext>
                <a:ext uri="{FF2B5EF4-FFF2-40B4-BE49-F238E27FC236}">
                  <a16:creationId xmlns:a16="http://schemas.microsoft.com/office/drawing/2014/main" id="{00000000-0008-0000-0E00-000009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16</xdr:row>
          <xdr:rowOff>171450</xdr:rowOff>
        </xdr:from>
        <xdr:to>
          <xdr:col>1</xdr:col>
          <xdr:colOff>333375</xdr:colOff>
          <xdr:row>17</xdr:row>
          <xdr:rowOff>171450</xdr:rowOff>
        </xdr:to>
        <xdr:sp macro="" textlink="">
          <xdr:nvSpPr>
            <xdr:cNvPr id="32778" name="Case à cocher 11" hidden="1">
              <a:extLst>
                <a:ext uri="{63B3BB69-23CF-44E3-9099-C40C66FF867C}">
                  <a14:compatExt spid="_x0000_s32778"/>
                </a:ext>
                <a:ext uri="{FF2B5EF4-FFF2-40B4-BE49-F238E27FC236}">
                  <a16:creationId xmlns:a16="http://schemas.microsoft.com/office/drawing/2014/main" id="{00000000-0008-0000-0E00-00000A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18</xdr:row>
          <xdr:rowOff>180975</xdr:rowOff>
        </xdr:from>
        <xdr:to>
          <xdr:col>1</xdr:col>
          <xdr:colOff>333375</xdr:colOff>
          <xdr:row>19</xdr:row>
          <xdr:rowOff>180975</xdr:rowOff>
        </xdr:to>
        <xdr:sp macro="" textlink="">
          <xdr:nvSpPr>
            <xdr:cNvPr id="32779" name="Check Box 11" hidden="1">
              <a:extLst>
                <a:ext uri="{63B3BB69-23CF-44E3-9099-C40C66FF867C}">
                  <a14:compatExt spid="_x0000_s32779"/>
                </a:ext>
                <a:ext uri="{FF2B5EF4-FFF2-40B4-BE49-F238E27FC236}">
                  <a16:creationId xmlns:a16="http://schemas.microsoft.com/office/drawing/2014/main" id="{00000000-0008-0000-0E00-00000B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642738</xdr:colOff>
      <xdr:row>0</xdr:row>
      <xdr:rowOff>35778</xdr:rowOff>
    </xdr:from>
    <xdr:to>
      <xdr:col>19</xdr:col>
      <xdr:colOff>561095</xdr:colOff>
      <xdr:row>19</xdr:row>
      <xdr:rowOff>88846</xdr:rowOff>
    </xdr:to>
    <xdr:graphicFrame macro="">
      <xdr:nvGraphicFramePr>
        <xdr:cNvPr id="13" name="Chart 1">
          <a:extLst>
            <a:ext uri="{FF2B5EF4-FFF2-40B4-BE49-F238E27FC236}">
              <a16:creationId xmlns:a16="http://schemas.microsoft.com/office/drawing/2014/main" id="{00000000-0008-0000-0E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10</xdr:row>
          <xdr:rowOff>180975</xdr:rowOff>
        </xdr:from>
        <xdr:to>
          <xdr:col>1</xdr:col>
          <xdr:colOff>333375</xdr:colOff>
          <xdr:row>12</xdr:row>
          <xdr:rowOff>0</xdr:rowOff>
        </xdr:to>
        <xdr:sp macro="" textlink="">
          <xdr:nvSpPr>
            <xdr:cNvPr id="32780" name="Check Box 13" hidden="1">
              <a:extLst>
                <a:ext uri="{63B3BB69-23CF-44E3-9099-C40C66FF867C}">
                  <a14:compatExt spid="_x0000_s32780"/>
                </a:ext>
                <a:ext uri="{FF2B5EF4-FFF2-40B4-BE49-F238E27FC236}">
                  <a16:creationId xmlns:a16="http://schemas.microsoft.com/office/drawing/2014/main" id="{00000000-0008-0000-0E00-00000C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19</xdr:row>
          <xdr:rowOff>180975</xdr:rowOff>
        </xdr:from>
        <xdr:to>
          <xdr:col>1</xdr:col>
          <xdr:colOff>333375</xdr:colOff>
          <xdr:row>21</xdr:row>
          <xdr:rowOff>0</xdr:rowOff>
        </xdr:to>
        <xdr:sp macro="" textlink="">
          <xdr:nvSpPr>
            <xdr:cNvPr id="32781" name="Check Box 14" hidden="1">
              <a:extLst>
                <a:ext uri="{63B3BB69-23CF-44E3-9099-C40C66FF867C}">
                  <a14:compatExt spid="_x0000_s32781"/>
                </a:ext>
                <a:ext uri="{FF2B5EF4-FFF2-40B4-BE49-F238E27FC236}">
                  <a16:creationId xmlns:a16="http://schemas.microsoft.com/office/drawing/2014/main" id="{00000000-0008-0000-0E00-00000D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6</xdr:row>
          <xdr:rowOff>0</xdr:rowOff>
        </xdr:from>
        <xdr:to>
          <xdr:col>1</xdr:col>
          <xdr:colOff>333375</xdr:colOff>
          <xdr:row>7</xdr:row>
          <xdr:rowOff>0</xdr:rowOff>
        </xdr:to>
        <xdr:sp macro="" textlink="">
          <xdr:nvSpPr>
            <xdr:cNvPr id="32782" name="Check Box 15" hidden="1">
              <a:extLst>
                <a:ext uri="{63B3BB69-23CF-44E3-9099-C40C66FF867C}">
                  <a14:compatExt spid="_x0000_s32782"/>
                </a:ext>
                <a:ext uri="{FF2B5EF4-FFF2-40B4-BE49-F238E27FC236}">
                  <a16:creationId xmlns:a16="http://schemas.microsoft.com/office/drawing/2014/main" id="{00000000-0008-0000-0E00-00000E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21</xdr:row>
          <xdr:rowOff>0</xdr:rowOff>
        </xdr:from>
        <xdr:to>
          <xdr:col>1</xdr:col>
          <xdr:colOff>333375</xdr:colOff>
          <xdr:row>22</xdr:row>
          <xdr:rowOff>9525</xdr:rowOff>
        </xdr:to>
        <xdr:sp macro="" textlink="">
          <xdr:nvSpPr>
            <xdr:cNvPr id="32783" name="Check Box 16" hidden="1">
              <a:extLst>
                <a:ext uri="{63B3BB69-23CF-44E3-9099-C40C66FF867C}">
                  <a14:compatExt spid="_x0000_s32783"/>
                </a:ext>
                <a:ext uri="{FF2B5EF4-FFF2-40B4-BE49-F238E27FC236}">
                  <a16:creationId xmlns:a16="http://schemas.microsoft.com/office/drawing/2014/main" id="{00000000-0008-0000-0E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21</xdr:row>
          <xdr:rowOff>180975</xdr:rowOff>
        </xdr:from>
        <xdr:to>
          <xdr:col>1</xdr:col>
          <xdr:colOff>333375</xdr:colOff>
          <xdr:row>23</xdr:row>
          <xdr:rowOff>0</xdr:rowOff>
        </xdr:to>
        <xdr:sp macro="" textlink="">
          <xdr:nvSpPr>
            <xdr:cNvPr id="32784" name="Check Box 17" hidden="1">
              <a:extLst>
                <a:ext uri="{63B3BB69-23CF-44E3-9099-C40C66FF867C}">
                  <a14:compatExt spid="_x0000_s32784"/>
                </a:ext>
                <a:ext uri="{FF2B5EF4-FFF2-40B4-BE49-F238E27FC236}">
                  <a16:creationId xmlns:a16="http://schemas.microsoft.com/office/drawing/2014/main" id="{00000000-0008-0000-0E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23</xdr:row>
          <xdr:rowOff>0</xdr:rowOff>
        </xdr:from>
        <xdr:to>
          <xdr:col>1</xdr:col>
          <xdr:colOff>333375</xdr:colOff>
          <xdr:row>24</xdr:row>
          <xdr:rowOff>0</xdr:rowOff>
        </xdr:to>
        <xdr:sp macro="" textlink="">
          <xdr:nvSpPr>
            <xdr:cNvPr id="32785" name="Check Box 18" hidden="1">
              <a:extLst>
                <a:ext uri="{63B3BB69-23CF-44E3-9099-C40C66FF867C}">
                  <a14:compatExt spid="_x0000_s32785"/>
                </a:ext>
                <a:ext uri="{FF2B5EF4-FFF2-40B4-BE49-F238E27FC236}">
                  <a16:creationId xmlns:a16="http://schemas.microsoft.com/office/drawing/2014/main" id="{00000000-0008-0000-0E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24</xdr:row>
          <xdr:rowOff>0</xdr:rowOff>
        </xdr:from>
        <xdr:to>
          <xdr:col>1</xdr:col>
          <xdr:colOff>333375</xdr:colOff>
          <xdr:row>25</xdr:row>
          <xdr:rowOff>0</xdr:rowOff>
        </xdr:to>
        <xdr:sp macro="" textlink="">
          <xdr:nvSpPr>
            <xdr:cNvPr id="32786" name="Check Box 19" hidden="1">
              <a:extLst>
                <a:ext uri="{63B3BB69-23CF-44E3-9099-C40C66FF867C}">
                  <a14:compatExt spid="_x0000_s32786"/>
                </a:ext>
                <a:ext uri="{FF2B5EF4-FFF2-40B4-BE49-F238E27FC236}">
                  <a16:creationId xmlns:a16="http://schemas.microsoft.com/office/drawing/2014/main" id="{00000000-0008-0000-0E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19</xdr:row>
      <xdr:rowOff>152396</xdr:rowOff>
    </xdr:from>
    <xdr:to>
      <xdr:col>20</xdr:col>
      <xdr:colOff>145676</xdr:colOff>
      <xdr:row>33</xdr:row>
      <xdr:rowOff>179293</xdr:rowOff>
    </xdr:to>
    <xdr:graphicFrame macro="">
      <xdr:nvGraphicFramePr>
        <xdr:cNvPr id="21" name="Chart 20">
          <a:extLst>
            <a:ext uri="{FF2B5EF4-FFF2-40B4-BE49-F238E27FC236}">
              <a16:creationId xmlns:a16="http://schemas.microsoft.com/office/drawing/2014/main" id="{00000000-0008-0000-0E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25</xdr:row>
          <xdr:rowOff>9525</xdr:rowOff>
        </xdr:from>
        <xdr:to>
          <xdr:col>1</xdr:col>
          <xdr:colOff>333375</xdr:colOff>
          <xdr:row>26</xdr:row>
          <xdr:rowOff>9525</xdr:rowOff>
        </xdr:to>
        <xdr:sp macro="" textlink="">
          <xdr:nvSpPr>
            <xdr:cNvPr id="32787" name="Check Box 20" hidden="1">
              <a:extLst>
                <a:ext uri="{63B3BB69-23CF-44E3-9099-C40C66FF867C}">
                  <a14:compatExt spid="_x0000_s32787"/>
                </a:ext>
                <a:ext uri="{FF2B5EF4-FFF2-40B4-BE49-F238E27FC236}">
                  <a16:creationId xmlns:a16="http://schemas.microsoft.com/office/drawing/2014/main" id="{00000000-0008-0000-0E00-00001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26</xdr:row>
          <xdr:rowOff>9525</xdr:rowOff>
        </xdr:from>
        <xdr:to>
          <xdr:col>1</xdr:col>
          <xdr:colOff>333375</xdr:colOff>
          <xdr:row>27</xdr:row>
          <xdr:rowOff>9525</xdr:rowOff>
        </xdr:to>
        <xdr:sp macro="" textlink="">
          <xdr:nvSpPr>
            <xdr:cNvPr id="32788" name="Check Box 21" hidden="1">
              <a:extLst>
                <a:ext uri="{63B3BB69-23CF-44E3-9099-C40C66FF867C}">
                  <a14:compatExt spid="_x0000_s32788"/>
                </a:ext>
                <a:ext uri="{FF2B5EF4-FFF2-40B4-BE49-F238E27FC236}">
                  <a16:creationId xmlns:a16="http://schemas.microsoft.com/office/drawing/2014/main" id="{00000000-0008-0000-0E00-000014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26</xdr:row>
          <xdr:rowOff>180975</xdr:rowOff>
        </xdr:from>
        <xdr:to>
          <xdr:col>1</xdr:col>
          <xdr:colOff>333375</xdr:colOff>
          <xdr:row>27</xdr:row>
          <xdr:rowOff>180975</xdr:rowOff>
        </xdr:to>
        <xdr:sp macro="" textlink="">
          <xdr:nvSpPr>
            <xdr:cNvPr id="32789" name="Check Box 21" hidden="1">
              <a:extLst>
                <a:ext uri="{63B3BB69-23CF-44E3-9099-C40C66FF867C}">
                  <a14:compatExt spid="_x0000_s32789"/>
                </a:ext>
                <a:ext uri="{FF2B5EF4-FFF2-40B4-BE49-F238E27FC236}">
                  <a16:creationId xmlns:a16="http://schemas.microsoft.com/office/drawing/2014/main" id="{00000000-0008-0000-0E00-000015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xdr:row>
          <xdr:rowOff>0</xdr:rowOff>
        </xdr:from>
        <xdr:to>
          <xdr:col>1</xdr:col>
          <xdr:colOff>333375</xdr:colOff>
          <xdr:row>5</xdr:row>
          <xdr:rowOff>0</xdr:rowOff>
        </xdr:to>
        <xdr:sp macro="" textlink="">
          <xdr:nvSpPr>
            <xdr:cNvPr id="32790" name="Check Box 22" hidden="1">
              <a:extLst>
                <a:ext uri="{63B3BB69-23CF-44E3-9099-C40C66FF867C}">
                  <a14:compatExt spid="_x0000_s32790"/>
                </a:ext>
                <a:ext uri="{FF2B5EF4-FFF2-40B4-BE49-F238E27FC236}">
                  <a16:creationId xmlns:a16="http://schemas.microsoft.com/office/drawing/2014/main" id="{00000000-0008-0000-0E00-000016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17</xdr:row>
          <xdr:rowOff>180975</xdr:rowOff>
        </xdr:from>
        <xdr:to>
          <xdr:col>1</xdr:col>
          <xdr:colOff>333375</xdr:colOff>
          <xdr:row>18</xdr:row>
          <xdr:rowOff>180975</xdr:rowOff>
        </xdr:to>
        <xdr:sp macro="" textlink="">
          <xdr:nvSpPr>
            <xdr:cNvPr id="32792" name="Check Box 24" hidden="1">
              <a:extLst>
                <a:ext uri="{63B3BB69-23CF-44E3-9099-C40C66FF867C}">
                  <a14:compatExt spid="_x0000_s32792"/>
                </a:ext>
                <a:ext uri="{FF2B5EF4-FFF2-40B4-BE49-F238E27FC236}">
                  <a16:creationId xmlns:a16="http://schemas.microsoft.com/office/drawing/2014/main" id="{00000000-0008-0000-0E00-000018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9</xdr:row>
          <xdr:rowOff>152400</xdr:rowOff>
        </xdr:from>
        <xdr:to>
          <xdr:col>1</xdr:col>
          <xdr:colOff>333375</xdr:colOff>
          <xdr:row>10</xdr:row>
          <xdr:rowOff>152400</xdr:rowOff>
        </xdr:to>
        <xdr:sp macro="" textlink="">
          <xdr:nvSpPr>
            <xdr:cNvPr id="32793" name="Check Box 25" hidden="1">
              <a:extLst>
                <a:ext uri="{63B3BB69-23CF-44E3-9099-C40C66FF867C}">
                  <a14:compatExt spid="_x0000_s32793"/>
                </a:ext>
                <a:ext uri="{FF2B5EF4-FFF2-40B4-BE49-F238E27FC236}">
                  <a16:creationId xmlns:a16="http://schemas.microsoft.com/office/drawing/2014/main" id="{00000000-0008-0000-0E00-000019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29</xdr:row>
          <xdr:rowOff>0</xdr:rowOff>
        </xdr:from>
        <xdr:to>
          <xdr:col>1</xdr:col>
          <xdr:colOff>333375</xdr:colOff>
          <xdr:row>30</xdr:row>
          <xdr:rowOff>0</xdr:rowOff>
        </xdr:to>
        <xdr:sp macro="" textlink="">
          <xdr:nvSpPr>
            <xdr:cNvPr id="32794" name="Check Box 26" hidden="1">
              <a:extLst>
                <a:ext uri="{63B3BB69-23CF-44E3-9099-C40C66FF867C}">
                  <a14:compatExt spid="_x0000_s32794"/>
                </a:ext>
                <a:ext uri="{FF2B5EF4-FFF2-40B4-BE49-F238E27FC236}">
                  <a16:creationId xmlns:a16="http://schemas.microsoft.com/office/drawing/2014/main" id="{00000000-0008-0000-0E00-00001A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30</xdr:row>
          <xdr:rowOff>0</xdr:rowOff>
        </xdr:from>
        <xdr:to>
          <xdr:col>1</xdr:col>
          <xdr:colOff>333375</xdr:colOff>
          <xdr:row>31</xdr:row>
          <xdr:rowOff>0</xdr:rowOff>
        </xdr:to>
        <xdr:sp macro="" textlink="">
          <xdr:nvSpPr>
            <xdr:cNvPr id="32795" name="Check Box 27" hidden="1">
              <a:extLst>
                <a:ext uri="{63B3BB69-23CF-44E3-9099-C40C66FF867C}">
                  <a14:compatExt spid="_x0000_s32795"/>
                </a:ext>
                <a:ext uri="{FF2B5EF4-FFF2-40B4-BE49-F238E27FC236}">
                  <a16:creationId xmlns:a16="http://schemas.microsoft.com/office/drawing/2014/main" id="{00000000-0008-0000-0E00-00001B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0</xdr:rowOff>
        </xdr:from>
        <xdr:to>
          <xdr:col>1</xdr:col>
          <xdr:colOff>333375</xdr:colOff>
          <xdr:row>32</xdr:row>
          <xdr:rowOff>0</xdr:rowOff>
        </xdr:to>
        <xdr:sp macro="" textlink="">
          <xdr:nvSpPr>
            <xdr:cNvPr id="32796" name="Check Box 28" hidden="1">
              <a:extLst>
                <a:ext uri="{63B3BB69-23CF-44E3-9099-C40C66FF867C}">
                  <a14:compatExt spid="_x0000_s32796"/>
                </a:ext>
                <a:ext uri="{FF2B5EF4-FFF2-40B4-BE49-F238E27FC236}">
                  <a16:creationId xmlns:a16="http://schemas.microsoft.com/office/drawing/2014/main" id="{00000000-0008-0000-0E00-00001C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171450</xdr:rowOff>
        </xdr:from>
        <xdr:to>
          <xdr:col>1</xdr:col>
          <xdr:colOff>333375</xdr:colOff>
          <xdr:row>32</xdr:row>
          <xdr:rowOff>171450</xdr:rowOff>
        </xdr:to>
        <xdr:sp macro="" textlink="">
          <xdr:nvSpPr>
            <xdr:cNvPr id="32797" name="Check Box 29" hidden="1">
              <a:extLst>
                <a:ext uri="{63B3BB69-23CF-44E3-9099-C40C66FF867C}">
                  <a14:compatExt spid="_x0000_s32797"/>
                </a:ext>
                <a:ext uri="{FF2B5EF4-FFF2-40B4-BE49-F238E27FC236}">
                  <a16:creationId xmlns:a16="http://schemas.microsoft.com/office/drawing/2014/main" id="{00000000-0008-0000-0E00-00001D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5</xdr:row>
          <xdr:rowOff>0</xdr:rowOff>
        </xdr:from>
        <xdr:to>
          <xdr:col>1</xdr:col>
          <xdr:colOff>333375</xdr:colOff>
          <xdr:row>6</xdr:row>
          <xdr:rowOff>0</xdr:rowOff>
        </xdr:to>
        <xdr:sp macro="" textlink="">
          <xdr:nvSpPr>
            <xdr:cNvPr id="32798" name="Check Box 30" hidden="1">
              <a:extLst>
                <a:ext uri="{63B3BB69-23CF-44E3-9099-C40C66FF867C}">
                  <a14:compatExt spid="_x0000_s32798"/>
                </a:ext>
                <a:ext uri="{FF2B5EF4-FFF2-40B4-BE49-F238E27FC236}">
                  <a16:creationId xmlns:a16="http://schemas.microsoft.com/office/drawing/2014/main" id="{00000000-0008-0000-0E00-00001E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257737</xdr:colOff>
      <xdr:row>41</xdr:row>
      <xdr:rowOff>123264</xdr:rowOff>
    </xdr:from>
    <xdr:to>
      <xdr:col>11</xdr:col>
      <xdr:colOff>267103</xdr:colOff>
      <xdr:row>57</xdr:row>
      <xdr:rowOff>38902</xdr:rowOff>
    </xdr:to>
    <xdr:graphicFrame macro="">
      <xdr:nvGraphicFramePr>
        <xdr:cNvPr id="34" name="Chart 33">
          <a:extLst>
            <a:ext uri="{FF2B5EF4-FFF2-40B4-BE49-F238E27FC236}">
              <a16:creationId xmlns:a16="http://schemas.microsoft.com/office/drawing/2014/main" id="{00000000-0008-0000-0E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336177</xdr:colOff>
      <xdr:row>41</xdr:row>
      <xdr:rowOff>123264</xdr:rowOff>
    </xdr:from>
    <xdr:to>
      <xdr:col>6</xdr:col>
      <xdr:colOff>110220</xdr:colOff>
      <xdr:row>57</xdr:row>
      <xdr:rowOff>38902</xdr:rowOff>
    </xdr:to>
    <xdr:graphicFrame macro="">
      <xdr:nvGraphicFramePr>
        <xdr:cNvPr id="35" name="Chart 34">
          <a:extLst>
            <a:ext uri="{FF2B5EF4-FFF2-40B4-BE49-F238E27FC236}">
              <a16:creationId xmlns:a16="http://schemas.microsoft.com/office/drawing/2014/main" id="{00000000-0008-0000-0E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33618</xdr:colOff>
      <xdr:row>41</xdr:row>
      <xdr:rowOff>123264</xdr:rowOff>
    </xdr:from>
    <xdr:to>
      <xdr:col>15</xdr:col>
      <xdr:colOff>681719</xdr:colOff>
      <xdr:row>57</xdr:row>
      <xdr:rowOff>38902</xdr:rowOff>
    </xdr:to>
    <xdr:graphicFrame macro="">
      <xdr:nvGraphicFramePr>
        <xdr:cNvPr id="36" name="Chart 35">
          <a:extLst>
            <a:ext uri="{FF2B5EF4-FFF2-40B4-BE49-F238E27FC236}">
              <a16:creationId xmlns:a16="http://schemas.microsoft.com/office/drawing/2014/main" id="{00000000-0008-0000-0E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8</xdr:row>
          <xdr:rowOff>180975</xdr:rowOff>
        </xdr:from>
        <xdr:to>
          <xdr:col>1</xdr:col>
          <xdr:colOff>333375</xdr:colOff>
          <xdr:row>9</xdr:row>
          <xdr:rowOff>180975</xdr:rowOff>
        </xdr:to>
        <xdr:sp macro="" textlink="">
          <xdr:nvSpPr>
            <xdr:cNvPr id="32878" name="Case à cocher 5" hidden="1">
              <a:extLst>
                <a:ext uri="{63B3BB69-23CF-44E3-9099-C40C66FF867C}">
                  <a14:compatExt spid="_x0000_s32878"/>
                </a:ext>
                <a:ext uri="{FF2B5EF4-FFF2-40B4-BE49-F238E27FC236}">
                  <a16:creationId xmlns:a16="http://schemas.microsoft.com/office/drawing/2014/main" id="{00000000-0008-0000-0E00-00006E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11</xdr:row>
          <xdr:rowOff>171450</xdr:rowOff>
        </xdr:from>
        <xdr:to>
          <xdr:col>1</xdr:col>
          <xdr:colOff>333375</xdr:colOff>
          <xdr:row>12</xdr:row>
          <xdr:rowOff>180975</xdr:rowOff>
        </xdr:to>
        <xdr:sp macro="" textlink="">
          <xdr:nvSpPr>
            <xdr:cNvPr id="32995" name="Check Box 13" hidden="1">
              <a:extLst>
                <a:ext uri="{63B3BB69-23CF-44E3-9099-C40C66FF867C}">
                  <a14:compatExt spid="_x0000_s32995"/>
                </a:ext>
                <a:ext uri="{FF2B5EF4-FFF2-40B4-BE49-F238E27FC236}">
                  <a16:creationId xmlns:a16="http://schemas.microsoft.com/office/drawing/2014/main" id="{00000000-0008-0000-0E00-0000E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0</xdr:rowOff>
        </xdr:from>
        <xdr:to>
          <xdr:col>1</xdr:col>
          <xdr:colOff>342900</xdr:colOff>
          <xdr:row>4</xdr:row>
          <xdr:rowOff>0</xdr:rowOff>
        </xdr:to>
        <xdr:sp macro="" textlink="">
          <xdr:nvSpPr>
            <xdr:cNvPr id="34817" name="Case à cocher 1" hidden="1">
              <a:extLst>
                <a:ext uri="{63B3BB69-23CF-44E3-9099-C40C66FF867C}">
                  <a14:compatExt spid="_x0000_s34817"/>
                </a:ext>
                <a:ext uri="{FF2B5EF4-FFF2-40B4-BE49-F238E27FC236}">
                  <a16:creationId xmlns:a16="http://schemas.microsoft.com/office/drawing/2014/main" id="{00000000-0008-0000-0F00-00000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xdr:row>
          <xdr:rowOff>9525</xdr:rowOff>
        </xdr:from>
        <xdr:to>
          <xdr:col>1</xdr:col>
          <xdr:colOff>333375</xdr:colOff>
          <xdr:row>4</xdr:row>
          <xdr:rowOff>9525</xdr:rowOff>
        </xdr:to>
        <xdr:sp macro="" textlink="">
          <xdr:nvSpPr>
            <xdr:cNvPr id="34818" name="Case à cocher 2" hidden="1">
              <a:extLst>
                <a:ext uri="{63B3BB69-23CF-44E3-9099-C40C66FF867C}">
                  <a14:compatExt spid="_x0000_s34818"/>
                </a:ext>
                <a:ext uri="{FF2B5EF4-FFF2-40B4-BE49-F238E27FC236}">
                  <a16:creationId xmlns:a16="http://schemas.microsoft.com/office/drawing/2014/main" id="{00000000-0008-0000-0F00-00000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7</xdr:row>
          <xdr:rowOff>0</xdr:rowOff>
        </xdr:from>
        <xdr:to>
          <xdr:col>1</xdr:col>
          <xdr:colOff>333375</xdr:colOff>
          <xdr:row>8</xdr:row>
          <xdr:rowOff>0</xdr:rowOff>
        </xdr:to>
        <xdr:sp macro="" textlink="">
          <xdr:nvSpPr>
            <xdr:cNvPr id="34819" name="Case à cocher 4" hidden="1">
              <a:extLst>
                <a:ext uri="{63B3BB69-23CF-44E3-9099-C40C66FF867C}">
                  <a14:compatExt spid="_x0000_s34819"/>
                </a:ext>
                <a:ext uri="{FF2B5EF4-FFF2-40B4-BE49-F238E27FC236}">
                  <a16:creationId xmlns:a16="http://schemas.microsoft.com/office/drawing/2014/main" id="{00000000-0008-0000-0F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8</xdr:row>
          <xdr:rowOff>9525</xdr:rowOff>
        </xdr:from>
        <xdr:to>
          <xdr:col>1</xdr:col>
          <xdr:colOff>333375</xdr:colOff>
          <xdr:row>9</xdr:row>
          <xdr:rowOff>9525</xdr:rowOff>
        </xdr:to>
        <xdr:sp macro="" textlink="">
          <xdr:nvSpPr>
            <xdr:cNvPr id="34820" name="Case à cocher 5" hidden="1">
              <a:extLst>
                <a:ext uri="{63B3BB69-23CF-44E3-9099-C40C66FF867C}">
                  <a14:compatExt spid="_x0000_s34820"/>
                </a:ext>
                <a:ext uri="{FF2B5EF4-FFF2-40B4-BE49-F238E27FC236}">
                  <a16:creationId xmlns:a16="http://schemas.microsoft.com/office/drawing/2014/main" id="{00000000-0008-0000-0F00-000004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27</xdr:row>
          <xdr:rowOff>190500</xdr:rowOff>
        </xdr:from>
        <xdr:to>
          <xdr:col>1</xdr:col>
          <xdr:colOff>333375</xdr:colOff>
          <xdr:row>28</xdr:row>
          <xdr:rowOff>190500</xdr:rowOff>
        </xdr:to>
        <xdr:sp macro="" textlink="">
          <xdr:nvSpPr>
            <xdr:cNvPr id="34821" name="Case à cocher 6" hidden="1">
              <a:extLst>
                <a:ext uri="{63B3BB69-23CF-44E3-9099-C40C66FF867C}">
                  <a14:compatExt spid="_x0000_s34821"/>
                </a:ext>
                <a:ext uri="{FF2B5EF4-FFF2-40B4-BE49-F238E27FC236}">
                  <a16:creationId xmlns:a16="http://schemas.microsoft.com/office/drawing/2014/main" id="{00000000-0008-0000-0F00-00000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13</xdr:row>
          <xdr:rowOff>19050</xdr:rowOff>
        </xdr:from>
        <xdr:to>
          <xdr:col>1</xdr:col>
          <xdr:colOff>333375</xdr:colOff>
          <xdr:row>14</xdr:row>
          <xdr:rowOff>19050</xdr:rowOff>
        </xdr:to>
        <xdr:sp macro="" textlink="">
          <xdr:nvSpPr>
            <xdr:cNvPr id="34822" name="Case à cocher 7" hidden="1">
              <a:extLst>
                <a:ext uri="{63B3BB69-23CF-44E3-9099-C40C66FF867C}">
                  <a14:compatExt spid="_x0000_s34822"/>
                </a:ext>
                <a:ext uri="{FF2B5EF4-FFF2-40B4-BE49-F238E27FC236}">
                  <a16:creationId xmlns:a16="http://schemas.microsoft.com/office/drawing/2014/main" id="{00000000-0008-0000-0F00-000006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14</xdr:row>
          <xdr:rowOff>9525</xdr:rowOff>
        </xdr:from>
        <xdr:to>
          <xdr:col>1</xdr:col>
          <xdr:colOff>333375</xdr:colOff>
          <xdr:row>15</xdr:row>
          <xdr:rowOff>9525</xdr:rowOff>
        </xdr:to>
        <xdr:sp macro="" textlink="">
          <xdr:nvSpPr>
            <xdr:cNvPr id="34823" name="Case à cocher 8" hidden="1">
              <a:extLst>
                <a:ext uri="{63B3BB69-23CF-44E3-9099-C40C66FF867C}">
                  <a14:compatExt spid="_x0000_s34823"/>
                </a:ext>
                <a:ext uri="{FF2B5EF4-FFF2-40B4-BE49-F238E27FC236}">
                  <a16:creationId xmlns:a16="http://schemas.microsoft.com/office/drawing/2014/main" id="{00000000-0008-0000-0F00-00000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15</xdr:row>
          <xdr:rowOff>9525</xdr:rowOff>
        </xdr:from>
        <xdr:to>
          <xdr:col>1</xdr:col>
          <xdr:colOff>333375</xdr:colOff>
          <xdr:row>16</xdr:row>
          <xdr:rowOff>9525</xdr:rowOff>
        </xdr:to>
        <xdr:sp macro="" textlink="">
          <xdr:nvSpPr>
            <xdr:cNvPr id="34824" name="Case à cocher 9" hidden="1">
              <a:extLst>
                <a:ext uri="{63B3BB69-23CF-44E3-9099-C40C66FF867C}">
                  <a14:compatExt spid="_x0000_s34824"/>
                </a:ext>
                <a:ext uri="{FF2B5EF4-FFF2-40B4-BE49-F238E27FC236}">
                  <a16:creationId xmlns:a16="http://schemas.microsoft.com/office/drawing/2014/main" id="{00000000-0008-0000-0F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15</xdr:row>
          <xdr:rowOff>171450</xdr:rowOff>
        </xdr:from>
        <xdr:to>
          <xdr:col>1</xdr:col>
          <xdr:colOff>333375</xdr:colOff>
          <xdr:row>16</xdr:row>
          <xdr:rowOff>171450</xdr:rowOff>
        </xdr:to>
        <xdr:sp macro="" textlink="">
          <xdr:nvSpPr>
            <xdr:cNvPr id="34825" name="Case à cocher 10" hidden="1">
              <a:extLst>
                <a:ext uri="{63B3BB69-23CF-44E3-9099-C40C66FF867C}">
                  <a14:compatExt spid="_x0000_s34825"/>
                </a:ext>
                <a:ext uri="{FF2B5EF4-FFF2-40B4-BE49-F238E27FC236}">
                  <a16:creationId xmlns:a16="http://schemas.microsoft.com/office/drawing/2014/main" id="{00000000-0008-0000-0F00-000009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16</xdr:row>
          <xdr:rowOff>171450</xdr:rowOff>
        </xdr:from>
        <xdr:to>
          <xdr:col>1</xdr:col>
          <xdr:colOff>333375</xdr:colOff>
          <xdr:row>17</xdr:row>
          <xdr:rowOff>171450</xdr:rowOff>
        </xdr:to>
        <xdr:sp macro="" textlink="">
          <xdr:nvSpPr>
            <xdr:cNvPr id="34826" name="Case à cocher 11" hidden="1">
              <a:extLst>
                <a:ext uri="{63B3BB69-23CF-44E3-9099-C40C66FF867C}">
                  <a14:compatExt spid="_x0000_s34826"/>
                </a:ext>
                <a:ext uri="{FF2B5EF4-FFF2-40B4-BE49-F238E27FC236}">
                  <a16:creationId xmlns:a16="http://schemas.microsoft.com/office/drawing/2014/main" id="{00000000-0008-0000-0F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18</xdr:row>
          <xdr:rowOff>180975</xdr:rowOff>
        </xdr:from>
        <xdr:to>
          <xdr:col>1</xdr:col>
          <xdr:colOff>333375</xdr:colOff>
          <xdr:row>19</xdr:row>
          <xdr:rowOff>180975</xdr:rowOff>
        </xdr:to>
        <xdr:sp macro="" textlink="">
          <xdr:nvSpPr>
            <xdr:cNvPr id="34827" name="Check Box 11" hidden="1">
              <a:extLst>
                <a:ext uri="{63B3BB69-23CF-44E3-9099-C40C66FF867C}">
                  <a14:compatExt spid="_x0000_s34827"/>
                </a:ext>
                <a:ext uri="{FF2B5EF4-FFF2-40B4-BE49-F238E27FC236}">
                  <a16:creationId xmlns:a16="http://schemas.microsoft.com/office/drawing/2014/main" id="{00000000-0008-0000-0F00-00000B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642738</xdr:colOff>
      <xdr:row>0</xdr:row>
      <xdr:rowOff>35778</xdr:rowOff>
    </xdr:from>
    <xdr:to>
      <xdr:col>19</xdr:col>
      <xdr:colOff>561095</xdr:colOff>
      <xdr:row>19</xdr:row>
      <xdr:rowOff>88846</xdr:rowOff>
    </xdr:to>
    <xdr:graphicFrame macro="">
      <xdr:nvGraphicFramePr>
        <xdr:cNvPr id="13" name="Chart 1">
          <a:extLst>
            <a:ext uri="{FF2B5EF4-FFF2-40B4-BE49-F238E27FC236}">
              <a16:creationId xmlns:a16="http://schemas.microsoft.com/office/drawing/2014/main" id="{00000000-0008-0000-0F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10</xdr:row>
          <xdr:rowOff>180975</xdr:rowOff>
        </xdr:from>
        <xdr:to>
          <xdr:col>1</xdr:col>
          <xdr:colOff>333375</xdr:colOff>
          <xdr:row>12</xdr:row>
          <xdr:rowOff>0</xdr:rowOff>
        </xdr:to>
        <xdr:sp macro="" textlink="">
          <xdr:nvSpPr>
            <xdr:cNvPr id="34828" name="Check Box 13" hidden="1">
              <a:extLst>
                <a:ext uri="{63B3BB69-23CF-44E3-9099-C40C66FF867C}">
                  <a14:compatExt spid="_x0000_s34828"/>
                </a:ext>
                <a:ext uri="{FF2B5EF4-FFF2-40B4-BE49-F238E27FC236}">
                  <a16:creationId xmlns:a16="http://schemas.microsoft.com/office/drawing/2014/main" id="{00000000-0008-0000-0F00-00000C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19</xdr:row>
          <xdr:rowOff>180975</xdr:rowOff>
        </xdr:from>
        <xdr:to>
          <xdr:col>1</xdr:col>
          <xdr:colOff>333375</xdr:colOff>
          <xdr:row>21</xdr:row>
          <xdr:rowOff>0</xdr:rowOff>
        </xdr:to>
        <xdr:sp macro="" textlink="">
          <xdr:nvSpPr>
            <xdr:cNvPr id="34829" name="Check Box 14" hidden="1">
              <a:extLst>
                <a:ext uri="{63B3BB69-23CF-44E3-9099-C40C66FF867C}">
                  <a14:compatExt spid="_x0000_s34829"/>
                </a:ext>
                <a:ext uri="{FF2B5EF4-FFF2-40B4-BE49-F238E27FC236}">
                  <a16:creationId xmlns:a16="http://schemas.microsoft.com/office/drawing/2014/main" id="{00000000-0008-0000-0F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6</xdr:row>
          <xdr:rowOff>0</xdr:rowOff>
        </xdr:from>
        <xdr:to>
          <xdr:col>1</xdr:col>
          <xdr:colOff>333375</xdr:colOff>
          <xdr:row>7</xdr:row>
          <xdr:rowOff>0</xdr:rowOff>
        </xdr:to>
        <xdr:sp macro="" textlink="">
          <xdr:nvSpPr>
            <xdr:cNvPr id="34830" name="Check Box 15" hidden="1">
              <a:extLst>
                <a:ext uri="{63B3BB69-23CF-44E3-9099-C40C66FF867C}">
                  <a14:compatExt spid="_x0000_s34830"/>
                </a:ext>
                <a:ext uri="{FF2B5EF4-FFF2-40B4-BE49-F238E27FC236}">
                  <a16:creationId xmlns:a16="http://schemas.microsoft.com/office/drawing/2014/main" id="{00000000-0008-0000-0F00-00000E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21</xdr:row>
          <xdr:rowOff>0</xdr:rowOff>
        </xdr:from>
        <xdr:to>
          <xdr:col>1</xdr:col>
          <xdr:colOff>333375</xdr:colOff>
          <xdr:row>22</xdr:row>
          <xdr:rowOff>9525</xdr:rowOff>
        </xdr:to>
        <xdr:sp macro="" textlink="">
          <xdr:nvSpPr>
            <xdr:cNvPr id="34831" name="Check Box 16" hidden="1">
              <a:extLst>
                <a:ext uri="{63B3BB69-23CF-44E3-9099-C40C66FF867C}">
                  <a14:compatExt spid="_x0000_s34831"/>
                </a:ext>
                <a:ext uri="{FF2B5EF4-FFF2-40B4-BE49-F238E27FC236}">
                  <a16:creationId xmlns:a16="http://schemas.microsoft.com/office/drawing/2014/main" id="{00000000-0008-0000-0F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21</xdr:row>
          <xdr:rowOff>180975</xdr:rowOff>
        </xdr:from>
        <xdr:to>
          <xdr:col>1</xdr:col>
          <xdr:colOff>333375</xdr:colOff>
          <xdr:row>23</xdr:row>
          <xdr:rowOff>0</xdr:rowOff>
        </xdr:to>
        <xdr:sp macro="" textlink="">
          <xdr:nvSpPr>
            <xdr:cNvPr id="34832" name="Check Box 17" hidden="1">
              <a:extLst>
                <a:ext uri="{63B3BB69-23CF-44E3-9099-C40C66FF867C}">
                  <a14:compatExt spid="_x0000_s34832"/>
                </a:ext>
                <a:ext uri="{FF2B5EF4-FFF2-40B4-BE49-F238E27FC236}">
                  <a16:creationId xmlns:a16="http://schemas.microsoft.com/office/drawing/2014/main" id="{00000000-0008-0000-0F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23</xdr:row>
          <xdr:rowOff>0</xdr:rowOff>
        </xdr:from>
        <xdr:to>
          <xdr:col>1</xdr:col>
          <xdr:colOff>333375</xdr:colOff>
          <xdr:row>24</xdr:row>
          <xdr:rowOff>0</xdr:rowOff>
        </xdr:to>
        <xdr:sp macro="" textlink="">
          <xdr:nvSpPr>
            <xdr:cNvPr id="34833" name="Check Box 18" hidden="1">
              <a:extLst>
                <a:ext uri="{63B3BB69-23CF-44E3-9099-C40C66FF867C}">
                  <a14:compatExt spid="_x0000_s34833"/>
                </a:ext>
                <a:ext uri="{FF2B5EF4-FFF2-40B4-BE49-F238E27FC236}">
                  <a16:creationId xmlns:a16="http://schemas.microsoft.com/office/drawing/2014/main" id="{00000000-0008-0000-0F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24</xdr:row>
          <xdr:rowOff>0</xdr:rowOff>
        </xdr:from>
        <xdr:to>
          <xdr:col>1</xdr:col>
          <xdr:colOff>333375</xdr:colOff>
          <xdr:row>25</xdr:row>
          <xdr:rowOff>0</xdr:rowOff>
        </xdr:to>
        <xdr:sp macro="" textlink="">
          <xdr:nvSpPr>
            <xdr:cNvPr id="34834" name="Check Box 19" hidden="1">
              <a:extLst>
                <a:ext uri="{63B3BB69-23CF-44E3-9099-C40C66FF867C}">
                  <a14:compatExt spid="_x0000_s34834"/>
                </a:ext>
                <a:ext uri="{FF2B5EF4-FFF2-40B4-BE49-F238E27FC236}">
                  <a16:creationId xmlns:a16="http://schemas.microsoft.com/office/drawing/2014/main" id="{00000000-0008-0000-0F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19</xdr:row>
      <xdr:rowOff>152396</xdr:rowOff>
    </xdr:from>
    <xdr:to>
      <xdr:col>20</xdr:col>
      <xdr:colOff>145676</xdr:colOff>
      <xdr:row>33</xdr:row>
      <xdr:rowOff>179293</xdr:rowOff>
    </xdr:to>
    <xdr:graphicFrame macro="">
      <xdr:nvGraphicFramePr>
        <xdr:cNvPr id="21" name="Chart 20">
          <a:extLst>
            <a:ext uri="{FF2B5EF4-FFF2-40B4-BE49-F238E27FC236}">
              <a16:creationId xmlns:a16="http://schemas.microsoft.com/office/drawing/2014/main" id="{00000000-0008-0000-0F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25</xdr:row>
          <xdr:rowOff>9525</xdr:rowOff>
        </xdr:from>
        <xdr:to>
          <xdr:col>1</xdr:col>
          <xdr:colOff>333375</xdr:colOff>
          <xdr:row>26</xdr:row>
          <xdr:rowOff>9525</xdr:rowOff>
        </xdr:to>
        <xdr:sp macro="" textlink="">
          <xdr:nvSpPr>
            <xdr:cNvPr id="34835" name="Check Box 20" hidden="1">
              <a:extLst>
                <a:ext uri="{63B3BB69-23CF-44E3-9099-C40C66FF867C}">
                  <a14:compatExt spid="_x0000_s34835"/>
                </a:ext>
                <a:ext uri="{FF2B5EF4-FFF2-40B4-BE49-F238E27FC236}">
                  <a16:creationId xmlns:a16="http://schemas.microsoft.com/office/drawing/2014/main" id="{00000000-0008-0000-0F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26</xdr:row>
          <xdr:rowOff>9525</xdr:rowOff>
        </xdr:from>
        <xdr:to>
          <xdr:col>1</xdr:col>
          <xdr:colOff>333375</xdr:colOff>
          <xdr:row>27</xdr:row>
          <xdr:rowOff>9525</xdr:rowOff>
        </xdr:to>
        <xdr:sp macro="" textlink="">
          <xdr:nvSpPr>
            <xdr:cNvPr id="34836" name="Check Box 21" hidden="1">
              <a:extLst>
                <a:ext uri="{63B3BB69-23CF-44E3-9099-C40C66FF867C}">
                  <a14:compatExt spid="_x0000_s34836"/>
                </a:ext>
                <a:ext uri="{FF2B5EF4-FFF2-40B4-BE49-F238E27FC236}">
                  <a16:creationId xmlns:a16="http://schemas.microsoft.com/office/drawing/2014/main" id="{00000000-0008-0000-0F00-000014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26</xdr:row>
          <xdr:rowOff>180975</xdr:rowOff>
        </xdr:from>
        <xdr:to>
          <xdr:col>1</xdr:col>
          <xdr:colOff>333375</xdr:colOff>
          <xdr:row>27</xdr:row>
          <xdr:rowOff>180975</xdr:rowOff>
        </xdr:to>
        <xdr:sp macro="" textlink="">
          <xdr:nvSpPr>
            <xdr:cNvPr id="34837" name="Check Box 21" hidden="1">
              <a:extLst>
                <a:ext uri="{63B3BB69-23CF-44E3-9099-C40C66FF867C}">
                  <a14:compatExt spid="_x0000_s34837"/>
                </a:ext>
                <a:ext uri="{FF2B5EF4-FFF2-40B4-BE49-F238E27FC236}">
                  <a16:creationId xmlns:a16="http://schemas.microsoft.com/office/drawing/2014/main" id="{00000000-0008-0000-0F00-00001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xdr:row>
          <xdr:rowOff>0</xdr:rowOff>
        </xdr:from>
        <xdr:to>
          <xdr:col>1</xdr:col>
          <xdr:colOff>333375</xdr:colOff>
          <xdr:row>5</xdr:row>
          <xdr:rowOff>0</xdr:rowOff>
        </xdr:to>
        <xdr:sp macro="" textlink="">
          <xdr:nvSpPr>
            <xdr:cNvPr id="34838" name="Check Box 22" hidden="1">
              <a:extLst>
                <a:ext uri="{63B3BB69-23CF-44E3-9099-C40C66FF867C}">
                  <a14:compatExt spid="_x0000_s34838"/>
                </a:ext>
                <a:ext uri="{FF2B5EF4-FFF2-40B4-BE49-F238E27FC236}">
                  <a16:creationId xmlns:a16="http://schemas.microsoft.com/office/drawing/2014/main" id="{00000000-0008-0000-0F00-000016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17</xdr:row>
          <xdr:rowOff>180975</xdr:rowOff>
        </xdr:from>
        <xdr:to>
          <xdr:col>1</xdr:col>
          <xdr:colOff>333375</xdr:colOff>
          <xdr:row>18</xdr:row>
          <xdr:rowOff>180975</xdr:rowOff>
        </xdr:to>
        <xdr:sp macro="" textlink="">
          <xdr:nvSpPr>
            <xdr:cNvPr id="34839" name="Check Box 23" hidden="1">
              <a:extLst>
                <a:ext uri="{63B3BB69-23CF-44E3-9099-C40C66FF867C}">
                  <a14:compatExt spid="_x0000_s34839"/>
                </a:ext>
                <a:ext uri="{FF2B5EF4-FFF2-40B4-BE49-F238E27FC236}">
                  <a16:creationId xmlns:a16="http://schemas.microsoft.com/office/drawing/2014/main" id="{00000000-0008-0000-0F00-00001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9</xdr:row>
          <xdr:rowOff>152400</xdr:rowOff>
        </xdr:from>
        <xdr:to>
          <xdr:col>1</xdr:col>
          <xdr:colOff>333375</xdr:colOff>
          <xdr:row>10</xdr:row>
          <xdr:rowOff>152400</xdr:rowOff>
        </xdr:to>
        <xdr:sp macro="" textlink="">
          <xdr:nvSpPr>
            <xdr:cNvPr id="34840" name="Check Box 24" hidden="1">
              <a:extLst>
                <a:ext uri="{63B3BB69-23CF-44E3-9099-C40C66FF867C}">
                  <a14:compatExt spid="_x0000_s34840"/>
                </a:ext>
                <a:ext uri="{FF2B5EF4-FFF2-40B4-BE49-F238E27FC236}">
                  <a16:creationId xmlns:a16="http://schemas.microsoft.com/office/drawing/2014/main" id="{00000000-0008-0000-0F00-00001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29</xdr:row>
          <xdr:rowOff>0</xdr:rowOff>
        </xdr:from>
        <xdr:to>
          <xdr:col>1</xdr:col>
          <xdr:colOff>333375</xdr:colOff>
          <xdr:row>30</xdr:row>
          <xdr:rowOff>0</xdr:rowOff>
        </xdr:to>
        <xdr:sp macro="" textlink="">
          <xdr:nvSpPr>
            <xdr:cNvPr id="34841" name="Check Box 25" hidden="1">
              <a:extLst>
                <a:ext uri="{63B3BB69-23CF-44E3-9099-C40C66FF867C}">
                  <a14:compatExt spid="_x0000_s34841"/>
                </a:ext>
                <a:ext uri="{FF2B5EF4-FFF2-40B4-BE49-F238E27FC236}">
                  <a16:creationId xmlns:a16="http://schemas.microsoft.com/office/drawing/2014/main" id="{00000000-0008-0000-0F00-000019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30</xdr:row>
          <xdr:rowOff>0</xdr:rowOff>
        </xdr:from>
        <xdr:to>
          <xdr:col>1</xdr:col>
          <xdr:colOff>333375</xdr:colOff>
          <xdr:row>31</xdr:row>
          <xdr:rowOff>0</xdr:rowOff>
        </xdr:to>
        <xdr:sp macro="" textlink="">
          <xdr:nvSpPr>
            <xdr:cNvPr id="34842" name="Check Box 26" hidden="1">
              <a:extLst>
                <a:ext uri="{63B3BB69-23CF-44E3-9099-C40C66FF867C}">
                  <a14:compatExt spid="_x0000_s34842"/>
                </a:ext>
                <a:ext uri="{FF2B5EF4-FFF2-40B4-BE49-F238E27FC236}">
                  <a16:creationId xmlns:a16="http://schemas.microsoft.com/office/drawing/2014/main" id="{00000000-0008-0000-0F00-00001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0</xdr:rowOff>
        </xdr:from>
        <xdr:to>
          <xdr:col>1</xdr:col>
          <xdr:colOff>333375</xdr:colOff>
          <xdr:row>32</xdr:row>
          <xdr:rowOff>0</xdr:rowOff>
        </xdr:to>
        <xdr:sp macro="" textlink="">
          <xdr:nvSpPr>
            <xdr:cNvPr id="34843" name="Check Box 27" hidden="1">
              <a:extLst>
                <a:ext uri="{63B3BB69-23CF-44E3-9099-C40C66FF867C}">
                  <a14:compatExt spid="_x0000_s34843"/>
                </a:ext>
                <a:ext uri="{FF2B5EF4-FFF2-40B4-BE49-F238E27FC236}">
                  <a16:creationId xmlns:a16="http://schemas.microsoft.com/office/drawing/2014/main" id="{00000000-0008-0000-0F00-00001B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171450</xdr:rowOff>
        </xdr:from>
        <xdr:to>
          <xdr:col>1</xdr:col>
          <xdr:colOff>333375</xdr:colOff>
          <xdr:row>32</xdr:row>
          <xdr:rowOff>171450</xdr:rowOff>
        </xdr:to>
        <xdr:sp macro="" textlink="">
          <xdr:nvSpPr>
            <xdr:cNvPr id="34844" name="Check Box 28" hidden="1">
              <a:extLst>
                <a:ext uri="{63B3BB69-23CF-44E3-9099-C40C66FF867C}">
                  <a14:compatExt spid="_x0000_s34844"/>
                </a:ext>
                <a:ext uri="{FF2B5EF4-FFF2-40B4-BE49-F238E27FC236}">
                  <a16:creationId xmlns:a16="http://schemas.microsoft.com/office/drawing/2014/main" id="{00000000-0008-0000-0F00-00001C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5</xdr:row>
          <xdr:rowOff>0</xdr:rowOff>
        </xdr:from>
        <xdr:to>
          <xdr:col>1</xdr:col>
          <xdr:colOff>333375</xdr:colOff>
          <xdr:row>6</xdr:row>
          <xdr:rowOff>0</xdr:rowOff>
        </xdr:to>
        <xdr:sp macro="" textlink="">
          <xdr:nvSpPr>
            <xdr:cNvPr id="34845" name="Check Box 29" hidden="1">
              <a:extLst>
                <a:ext uri="{63B3BB69-23CF-44E3-9099-C40C66FF867C}">
                  <a14:compatExt spid="_x0000_s34845"/>
                </a:ext>
                <a:ext uri="{FF2B5EF4-FFF2-40B4-BE49-F238E27FC236}">
                  <a16:creationId xmlns:a16="http://schemas.microsoft.com/office/drawing/2014/main" id="{00000000-0008-0000-0F00-00001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257737</xdr:colOff>
      <xdr:row>42</xdr:row>
      <xdr:rowOff>123264</xdr:rowOff>
    </xdr:from>
    <xdr:to>
      <xdr:col>11</xdr:col>
      <xdr:colOff>267103</xdr:colOff>
      <xdr:row>58</xdr:row>
      <xdr:rowOff>38902</xdr:rowOff>
    </xdr:to>
    <xdr:graphicFrame macro="">
      <xdr:nvGraphicFramePr>
        <xdr:cNvPr id="33" name="Chart 32">
          <a:extLst>
            <a:ext uri="{FF2B5EF4-FFF2-40B4-BE49-F238E27FC236}">
              <a16:creationId xmlns:a16="http://schemas.microsoft.com/office/drawing/2014/main" id="{00000000-0008-0000-0F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336177</xdr:colOff>
      <xdr:row>42</xdr:row>
      <xdr:rowOff>123264</xdr:rowOff>
    </xdr:from>
    <xdr:to>
      <xdr:col>6</xdr:col>
      <xdr:colOff>110220</xdr:colOff>
      <xdr:row>58</xdr:row>
      <xdr:rowOff>38902</xdr:rowOff>
    </xdr:to>
    <xdr:graphicFrame macro="">
      <xdr:nvGraphicFramePr>
        <xdr:cNvPr id="34" name="Chart 33">
          <a:extLst>
            <a:ext uri="{FF2B5EF4-FFF2-40B4-BE49-F238E27FC236}">
              <a16:creationId xmlns:a16="http://schemas.microsoft.com/office/drawing/2014/main" id="{00000000-0008-0000-0F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33618</xdr:colOff>
      <xdr:row>42</xdr:row>
      <xdr:rowOff>123264</xdr:rowOff>
    </xdr:from>
    <xdr:to>
      <xdr:col>15</xdr:col>
      <xdr:colOff>681719</xdr:colOff>
      <xdr:row>58</xdr:row>
      <xdr:rowOff>38902</xdr:rowOff>
    </xdr:to>
    <xdr:graphicFrame macro="">
      <xdr:nvGraphicFramePr>
        <xdr:cNvPr id="35" name="Chart 34">
          <a:extLst>
            <a:ext uri="{FF2B5EF4-FFF2-40B4-BE49-F238E27FC236}">
              <a16:creationId xmlns:a16="http://schemas.microsoft.com/office/drawing/2014/main" id="{00000000-0008-0000-0F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8</xdr:row>
          <xdr:rowOff>180975</xdr:rowOff>
        </xdr:from>
        <xdr:to>
          <xdr:col>1</xdr:col>
          <xdr:colOff>333375</xdr:colOff>
          <xdr:row>9</xdr:row>
          <xdr:rowOff>180975</xdr:rowOff>
        </xdr:to>
        <xdr:sp macro="" textlink="">
          <xdr:nvSpPr>
            <xdr:cNvPr id="34846" name="Check Box 30" hidden="1">
              <a:extLst>
                <a:ext uri="{63B3BB69-23CF-44E3-9099-C40C66FF867C}">
                  <a14:compatExt spid="_x0000_s34846"/>
                </a:ext>
                <a:ext uri="{FF2B5EF4-FFF2-40B4-BE49-F238E27FC236}">
                  <a16:creationId xmlns:a16="http://schemas.microsoft.com/office/drawing/2014/main" id="{00000000-0008-0000-0F00-00001E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11</xdr:row>
          <xdr:rowOff>171450</xdr:rowOff>
        </xdr:from>
        <xdr:to>
          <xdr:col>1</xdr:col>
          <xdr:colOff>333375</xdr:colOff>
          <xdr:row>12</xdr:row>
          <xdr:rowOff>180975</xdr:rowOff>
        </xdr:to>
        <xdr:sp macro="" textlink="">
          <xdr:nvSpPr>
            <xdr:cNvPr id="34847" name="Check Box 31" hidden="1">
              <a:extLst>
                <a:ext uri="{63B3BB69-23CF-44E3-9099-C40C66FF867C}">
                  <a14:compatExt spid="_x0000_s34847"/>
                </a:ext>
                <a:ext uri="{FF2B5EF4-FFF2-40B4-BE49-F238E27FC236}">
                  <a16:creationId xmlns:a16="http://schemas.microsoft.com/office/drawing/2014/main" id="{00000000-0008-0000-0F00-00001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xdr:row>
          <xdr:rowOff>180975</xdr:rowOff>
        </xdr:from>
        <xdr:to>
          <xdr:col>1</xdr:col>
          <xdr:colOff>333375</xdr:colOff>
          <xdr:row>33</xdr:row>
          <xdr:rowOff>180975</xdr:rowOff>
        </xdr:to>
        <xdr:sp macro="" textlink="">
          <xdr:nvSpPr>
            <xdr:cNvPr id="34848" name="Check Box 32" hidden="1">
              <a:extLst>
                <a:ext uri="{63B3BB69-23CF-44E3-9099-C40C66FF867C}">
                  <a14:compatExt spid="_x0000_s34848"/>
                </a:ext>
                <a:ext uri="{FF2B5EF4-FFF2-40B4-BE49-F238E27FC236}">
                  <a16:creationId xmlns:a16="http://schemas.microsoft.com/office/drawing/2014/main" id="{00000000-0008-0000-0F00-00002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33</xdr:row>
          <xdr:rowOff>180975</xdr:rowOff>
        </xdr:from>
        <xdr:to>
          <xdr:col>1</xdr:col>
          <xdr:colOff>333375</xdr:colOff>
          <xdr:row>34</xdr:row>
          <xdr:rowOff>180975</xdr:rowOff>
        </xdr:to>
        <xdr:sp macro="" textlink="">
          <xdr:nvSpPr>
            <xdr:cNvPr id="34849" name="Check Box 33" hidden="1">
              <a:extLst>
                <a:ext uri="{63B3BB69-23CF-44E3-9099-C40C66FF867C}">
                  <a14:compatExt spid="_x0000_s34849"/>
                </a:ext>
                <a:ext uri="{FF2B5EF4-FFF2-40B4-BE49-F238E27FC236}">
                  <a16:creationId xmlns:a16="http://schemas.microsoft.com/office/drawing/2014/main" id="{00000000-0008-0000-0F00-00002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0</xdr:rowOff>
        </xdr:from>
        <xdr:to>
          <xdr:col>1</xdr:col>
          <xdr:colOff>342900</xdr:colOff>
          <xdr:row>4</xdr:row>
          <xdr:rowOff>0</xdr:rowOff>
        </xdr:to>
        <xdr:sp macro="" textlink="">
          <xdr:nvSpPr>
            <xdr:cNvPr id="36865" name="Case à cocher 1" hidden="1">
              <a:extLst>
                <a:ext uri="{63B3BB69-23CF-44E3-9099-C40C66FF867C}">
                  <a14:compatExt spid="_x0000_s36865"/>
                </a:ext>
                <a:ext uri="{FF2B5EF4-FFF2-40B4-BE49-F238E27FC236}">
                  <a16:creationId xmlns:a16="http://schemas.microsoft.com/office/drawing/2014/main" id="{00000000-0008-0000-1000-00000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xdr:row>
          <xdr:rowOff>9525</xdr:rowOff>
        </xdr:from>
        <xdr:to>
          <xdr:col>1</xdr:col>
          <xdr:colOff>333375</xdr:colOff>
          <xdr:row>4</xdr:row>
          <xdr:rowOff>9525</xdr:rowOff>
        </xdr:to>
        <xdr:sp macro="" textlink="">
          <xdr:nvSpPr>
            <xdr:cNvPr id="36866" name="Case à cocher 2" hidden="1">
              <a:extLst>
                <a:ext uri="{63B3BB69-23CF-44E3-9099-C40C66FF867C}">
                  <a14:compatExt spid="_x0000_s36866"/>
                </a:ext>
                <a:ext uri="{FF2B5EF4-FFF2-40B4-BE49-F238E27FC236}">
                  <a16:creationId xmlns:a16="http://schemas.microsoft.com/office/drawing/2014/main" id="{00000000-0008-0000-1000-00000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7</xdr:row>
          <xdr:rowOff>0</xdr:rowOff>
        </xdr:from>
        <xdr:to>
          <xdr:col>1</xdr:col>
          <xdr:colOff>333375</xdr:colOff>
          <xdr:row>8</xdr:row>
          <xdr:rowOff>0</xdr:rowOff>
        </xdr:to>
        <xdr:sp macro="" textlink="">
          <xdr:nvSpPr>
            <xdr:cNvPr id="36867" name="Case à cocher 4" hidden="1">
              <a:extLst>
                <a:ext uri="{63B3BB69-23CF-44E3-9099-C40C66FF867C}">
                  <a14:compatExt spid="_x0000_s36867"/>
                </a:ext>
                <a:ext uri="{FF2B5EF4-FFF2-40B4-BE49-F238E27FC236}">
                  <a16:creationId xmlns:a16="http://schemas.microsoft.com/office/drawing/2014/main" id="{00000000-0008-0000-1000-00000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8</xdr:row>
          <xdr:rowOff>9525</xdr:rowOff>
        </xdr:from>
        <xdr:to>
          <xdr:col>1</xdr:col>
          <xdr:colOff>333375</xdr:colOff>
          <xdr:row>9</xdr:row>
          <xdr:rowOff>9525</xdr:rowOff>
        </xdr:to>
        <xdr:sp macro="" textlink="">
          <xdr:nvSpPr>
            <xdr:cNvPr id="36868" name="Case à cocher 5" hidden="1">
              <a:extLst>
                <a:ext uri="{63B3BB69-23CF-44E3-9099-C40C66FF867C}">
                  <a14:compatExt spid="_x0000_s36868"/>
                </a:ext>
                <a:ext uri="{FF2B5EF4-FFF2-40B4-BE49-F238E27FC236}">
                  <a16:creationId xmlns:a16="http://schemas.microsoft.com/office/drawing/2014/main" id="{00000000-0008-0000-1000-000004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28</xdr:row>
          <xdr:rowOff>190500</xdr:rowOff>
        </xdr:from>
        <xdr:to>
          <xdr:col>1</xdr:col>
          <xdr:colOff>333375</xdr:colOff>
          <xdr:row>30</xdr:row>
          <xdr:rowOff>0</xdr:rowOff>
        </xdr:to>
        <xdr:sp macro="" textlink="">
          <xdr:nvSpPr>
            <xdr:cNvPr id="36869" name="Case à cocher 6" hidden="1">
              <a:extLst>
                <a:ext uri="{63B3BB69-23CF-44E3-9099-C40C66FF867C}">
                  <a14:compatExt spid="_x0000_s36869"/>
                </a:ext>
                <a:ext uri="{FF2B5EF4-FFF2-40B4-BE49-F238E27FC236}">
                  <a16:creationId xmlns:a16="http://schemas.microsoft.com/office/drawing/2014/main" id="{00000000-0008-0000-1000-00000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14</xdr:row>
          <xdr:rowOff>19050</xdr:rowOff>
        </xdr:from>
        <xdr:to>
          <xdr:col>1</xdr:col>
          <xdr:colOff>333375</xdr:colOff>
          <xdr:row>15</xdr:row>
          <xdr:rowOff>19050</xdr:rowOff>
        </xdr:to>
        <xdr:sp macro="" textlink="">
          <xdr:nvSpPr>
            <xdr:cNvPr id="36870" name="Case à cocher 7" hidden="1">
              <a:extLst>
                <a:ext uri="{63B3BB69-23CF-44E3-9099-C40C66FF867C}">
                  <a14:compatExt spid="_x0000_s36870"/>
                </a:ext>
                <a:ext uri="{FF2B5EF4-FFF2-40B4-BE49-F238E27FC236}">
                  <a16:creationId xmlns:a16="http://schemas.microsoft.com/office/drawing/2014/main" id="{00000000-0008-0000-1000-00000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15</xdr:row>
          <xdr:rowOff>9525</xdr:rowOff>
        </xdr:from>
        <xdr:to>
          <xdr:col>1</xdr:col>
          <xdr:colOff>333375</xdr:colOff>
          <xdr:row>16</xdr:row>
          <xdr:rowOff>9525</xdr:rowOff>
        </xdr:to>
        <xdr:sp macro="" textlink="">
          <xdr:nvSpPr>
            <xdr:cNvPr id="36871" name="Case à cocher 8" hidden="1">
              <a:extLst>
                <a:ext uri="{63B3BB69-23CF-44E3-9099-C40C66FF867C}">
                  <a14:compatExt spid="_x0000_s36871"/>
                </a:ext>
                <a:ext uri="{FF2B5EF4-FFF2-40B4-BE49-F238E27FC236}">
                  <a16:creationId xmlns:a16="http://schemas.microsoft.com/office/drawing/2014/main" id="{00000000-0008-0000-1000-00000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16</xdr:row>
          <xdr:rowOff>9525</xdr:rowOff>
        </xdr:from>
        <xdr:to>
          <xdr:col>1</xdr:col>
          <xdr:colOff>333375</xdr:colOff>
          <xdr:row>17</xdr:row>
          <xdr:rowOff>9525</xdr:rowOff>
        </xdr:to>
        <xdr:sp macro="" textlink="">
          <xdr:nvSpPr>
            <xdr:cNvPr id="36872" name="Case à cocher 9" hidden="1">
              <a:extLst>
                <a:ext uri="{63B3BB69-23CF-44E3-9099-C40C66FF867C}">
                  <a14:compatExt spid="_x0000_s36872"/>
                </a:ext>
                <a:ext uri="{FF2B5EF4-FFF2-40B4-BE49-F238E27FC236}">
                  <a16:creationId xmlns:a16="http://schemas.microsoft.com/office/drawing/2014/main" id="{00000000-0008-0000-1000-00000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16</xdr:row>
          <xdr:rowOff>171450</xdr:rowOff>
        </xdr:from>
        <xdr:to>
          <xdr:col>1</xdr:col>
          <xdr:colOff>333375</xdr:colOff>
          <xdr:row>17</xdr:row>
          <xdr:rowOff>171450</xdr:rowOff>
        </xdr:to>
        <xdr:sp macro="" textlink="">
          <xdr:nvSpPr>
            <xdr:cNvPr id="36873" name="Case à cocher 10" hidden="1">
              <a:extLst>
                <a:ext uri="{63B3BB69-23CF-44E3-9099-C40C66FF867C}">
                  <a14:compatExt spid="_x0000_s36873"/>
                </a:ext>
                <a:ext uri="{FF2B5EF4-FFF2-40B4-BE49-F238E27FC236}">
                  <a16:creationId xmlns:a16="http://schemas.microsoft.com/office/drawing/2014/main" id="{00000000-0008-0000-1000-00000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17</xdr:row>
          <xdr:rowOff>171450</xdr:rowOff>
        </xdr:from>
        <xdr:to>
          <xdr:col>1</xdr:col>
          <xdr:colOff>333375</xdr:colOff>
          <xdr:row>18</xdr:row>
          <xdr:rowOff>171450</xdr:rowOff>
        </xdr:to>
        <xdr:sp macro="" textlink="">
          <xdr:nvSpPr>
            <xdr:cNvPr id="36874" name="Case à cocher 11" hidden="1">
              <a:extLst>
                <a:ext uri="{63B3BB69-23CF-44E3-9099-C40C66FF867C}">
                  <a14:compatExt spid="_x0000_s36874"/>
                </a:ext>
                <a:ext uri="{FF2B5EF4-FFF2-40B4-BE49-F238E27FC236}">
                  <a16:creationId xmlns:a16="http://schemas.microsoft.com/office/drawing/2014/main" id="{00000000-0008-0000-1000-00000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19</xdr:row>
          <xdr:rowOff>180975</xdr:rowOff>
        </xdr:from>
        <xdr:to>
          <xdr:col>1</xdr:col>
          <xdr:colOff>333375</xdr:colOff>
          <xdr:row>20</xdr:row>
          <xdr:rowOff>180975</xdr:rowOff>
        </xdr:to>
        <xdr:sp macro="" textlink="">
          <xdr:nvSpPr>
            <xdr:cNvPr id="36875" name="Check Box 11" hidden="1">
              <a:extLst>
                <a:ext uri="{63B3BB69-23CF-44E3-9099-C40C66FF867C}">
                  <a14:compatExt spid="_x0000_s36875"/>
                </a:ext>
                <a:ext uri="{FF2B5EF4-FFF2-40B4-BE49-F238E27FC236}">
                  <a16:creationId xmlns:a16="http://schemas.microsoft.com/office/drawing/2014/main" id="{00000000-0008-0000-1000-00000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642738</xdr:colOff>
      <xdr:row>0</xdr:row>
      <xdr:rowOff>35778</xdr:rowOff>
    </xdr:from>
    <xdr:to>
      <xdr:col>19</xdr:col>
      <xdr:colOff>561095</xdr:colOff>
      <xdr:row>20</xdr:row>
      <xdr:rowOff>88846</xdr:rowOff>
    </xdr:to>
    <xdr:graphicFrame macro="">
      <xdr:nvGraphicFramePr>
        <xdr:cNvPr id="13" name="Chart 1">
          <a:extLst>
            <a:ext uri="{FF2B5EF4-FFF2-40B4-BE49-F238E27FC236}">
              <a16:creationId xmlns:a16="http://schemas.microsoft.com/office/drawing/2014/main" id="{00000000-0008-0000-1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10</xdr:row>
          <xdr:rowOff>180975</xdr:rowOff>
        </xdr:from>
        <xdr:to>
          <xdr:col>1</xdr:col>
          <xdr:colOff>333375</xdr:colOff>
          <xdr:row>12</xdr:row>
          <xdr:rowOff>0</xdr:rowOff>
        </xdr:to>
        <xdr:sp macro="" textlink="">
          <xdr:nvSpPr>
            <xdr:cNvPr id="36876" name="Check Box 13" hidden="1">
              <a:extLst>
                <a:ext uri="{63B3BB69-23CF-44E3-9099-C40C66FF867C}">
                  <a14:compatExt spid="_x0000_s36876"/>
                </a:ext>
                <a:ext uri="{FF2B5EF4-FFF2-40B4-BE49-F238E27FC236}">
                  <a16:creationId xmlns:a16="http://schemas.microsoft.com/office/drawing/2014/main" id="{00000000-0008-0000-1000-00000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20</xdr:row>
          <xdr:rowOff>180975</xdr:rowOff>
        </xdr:from>
        <xdr:to>
          <xdr:col>1</xdr:col>
          <xdr:colOff>333375</xdr:colOff>
          <xdr:row>22</xdr:row>
          <xdr:rowOff>0</xdr:rowOff>
        </xdr:to>
        <xdr:sp macro="" textlink="">
          <xdr:nvSpPr>
            <xdr:cNvPr id="36877" name="Check Box 14" hidden="1">
              <a:extLst>
                <a:ext uri="{63B3BB69-23CF-44E3-9099-C40C66FF867C}">
                  <a14:compatExt spid="_x0000_s36877"/>
                </a:ext>
                <a:ext uri="{FF2B5EF4-FFF2-40B4-BE49-F238E27FC236}">
                  <a16:creationId xmlns:a16="http://schemas.microsoft.com/office/drawing/2014/main" id="{00000000-0008-0000-1000-00000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6</xdr:row>
          <xdr:rowOff>0</xdr:rowOff>
        </xdr:from>
        <xdr:to>
          <xdr:col>1</xdr:col>
          <xdr:colOff>333375</xdr:colOff>
          <xdr:row>7</xdr:row>
          <xdr:rowOff>0</xdr:rowOff>
        </xdr:to>
        <xdr:sp macro="" textlink="">
          <xdr:nvSpPr>
            <xdr:cNvPr id="36878" name="Check Box 15" hidden="1">
              <a:extLst>
                <a:ext uri="{63B3BB69-23CF-44E3-9099-C40C66FF867C}">
                  <a14:compatExt spid="_x0000_s36878"/>
                </a:ext>
                <a:ext uri="{FF2B5EF4-FFF2-40B4-BE49-F238E27FC236}">
                  <a16:creationId xmlns:a16="http://schemas.microsoft.com/office/drawing/2014/main" id="{00000000-0008-0000-1000-00000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22</xdr:row>
          <xdr:rowOff>0</xdr:rowOff>
        </xdr:from>
        <xdr:to>
          <xdr:col>1</xdr:col>
          <xdr:colOff>333375</xdr:colOff>
          <xdr:row>23</xdr:row>
          <xdr:rowOff>9525</xdr:rowOff>
        </xdr:to>
        <xdr:sp macro="" textlink="">
          <xdr:nvSpPr>
            <xdr:cNvPr id="36879" name="Check Box 16" hidden="1">
              <a:extLst>
                <a:ext uri="{63B3BB69-23CF-44E3-9099-C40C66FF867C}">
                  <a14:compatExt spid="_x0000_s36879"/>
                </a:ext>
                <a:ext uri="{FF2B5EF4-FFF2-40B4-BE49-F238E27FC236}">
                  <a16:creationId xmlns:a16="http://schemas.microsoft.com/office/drawing/2014/main" id="{00000000-0008-0000-1000-00000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22</xdr:row>
          <xdr:rowOff>180975</xdr:rowOff>
        </xdr:from>
        <xdr:to>
          <xdr:col>1</xdr:col>
          <xdr:colOff>333375</xdr:colOff>
          <xdr:row>24</xdr:row>
          <xdr:rowOff>0</xdr:rowOff>
        </xdr:to>
        <xdr:sp macro="" textlink="">
          <xdr:nvSpPr>
            <xdr:cNvPr id="36880" name="Check Box 17" hidden="1">
              <a:extLst>
                <a:ext uri="{63B3BB69-23CF-44E3-9099-C40C66FF867C}">
                  <a14:compatExt spid="_x0000_s36880"/>
                </a:ext>
                <a:ext uri="{FF2B5EF4-FFF2-40B4-BE49-F238E27FC236}">
                  <a16:creationId xmlns:a16="http://schemas.microsoft.com/office/drawing/2014/main" id="{00000000-0008-0000-1000-00001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24</xdr:row>
          <xdr:rowOff>0</xdr:rowOff>
        </xdr:from>
        <xdr:to>
          <xdr:col>1</xdr:col>
          <xdr:colOff>333375</xdr:colOff>
          <xdr:row>25</xdr:row>
          <xdr:rowOff>0</xdr:rowOff>
        </xdr:to>
        <xdr:sp macro="" textlink="">
          <xdr:nvSpPr>
            <xdr:cNvPr id="36881" name="Check Box 18" hidden="1">
              <a:extLst>
                <a:ext uri="{63B3BB69-23CF-44E3-9099-C40C66FF867C}">
                  <a14:compatExt spid="_x0000_s36881"/>
                </a:ext>
                <a:ext uri="{FF2B5EF4-FFF2-40B4-BE49-F238E27FC236}">
                  <a16:creationId xmlns:a16="http://schemas.microsoft.com/office/drawing/2014/main" id="{00000000-0008-0000-1000-00001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25</xdr:row>
          <xdr:rowOff>0</xdr:rowOff>
        </xdr:from>
        <xdr:to>
          <xdr:col>1</xdr:col>
          <xdr:colOff>333375</xdr:colOff>
          <xdr:row>26</xdr:row>
          <xdr:rowOff>0</xdr:rowOff>
        </xdr:to>
        <xdr:sp macro="" textlink="">
          <xdr:nvSpPr>
            <xdr:cNvPr id="36882" name="Check Box 19" hidden="1">
              <a:extLst>
                <a:ext uri="{63B3BB69-23CF-44E3-9099-C40C66FF867C}">
                  <a14:compatExt spid="_x0000_s36882"/>
                </a:ext>
                <a:ext uri="{FF2B5EF4-FFF2-40B4-BE49-F238E27FC236}">
                  <a16:creationId xmlns:a16="http://schemas.microsoft.com/office/drawing/2014/main" id="{00000000-0008-0000-1000-00001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20</xdr:row>
      <xdr:rowOff>152396</xdr:rowOff>
    </xdr:from>
    <xdr:to>
      <xdr:col>20</xdr:col>
      <xdr:colOff>145676</xdr:colOff>
      <xdr:row>34</xdr:row>
      <xdr:rowOff>179293</xdr:rowOff>
    </xdr:to>
    <xdr:graphicFrame macro="">
      <xdr:nvGraphicFramePr>
        <xdr:cNvPr id="21" name="Chart 20">
          <a:extLst>
            <a:ext uri="{FF2B5EF4-FFF2-40B4-BE49-F238E27FC236}">
              <a16:creationId xmlns:a16="http://schemas.microsoft.com/office/drawing/2014/main" id="{00000000-0008-0000-1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26</xdr:row>
          <xdr:rowOff>9525</xdr:rowOff>
        </xdr:from>
        <xdr:to>
          <xdr:col>1</xdr:col>
          <xdr:colOff>333375</xdr:colOff>
          <xdr:row>27</xdr:row>
          <xdr:rowOff>9525</xdr:rowOff>
        </xdr:to>
        <xdr:sp macro="" textlink="">
          <xdr:nvSpPr>
            <xdr:cNvPr id="36883" name="Check Box 20" hidden="1">
              <a:extLst>
                <a:ext uri="{63B3BB69-23CF-44E3-9099-C40C66FF867C}">
                  <a14:compatExt spid="_x0000_s36883"/>
                </a:ext>
                <a:ext uri="{FF2B5EF4-FFF2-40B4-BE49-F238E27FC236}">
                  <a16:creationId xmlns:a16="http://schemas.microsoft.com/office/drawing/2014/main" id="{00000000-0008-0000-1000-00001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27</xdr:row>
          <xdr:rowOff>9525</xdr:rowOff>
        </xdr:from>
        <xdr:to>
          <xdr:col>1</xdr:col>
          <xdr:colOff>333375</xdr:colOff>
          <xdr:row>28</xdr:row>
          <xdr:rowOff>9525</xdr:rowOff>
        </xdr:to>
        <xdr:sp macro="" textlink="">
          <xdr:nvSpPr>
            <xdr:cNvPr id="36884" name="Check Box 21" hidden="1">
              <a:extLst>
                <a:ext uri="{63B3BB69-23CF-44E3-9099-C40C66FF867C}">
                  <a14:compatExt spid="_x0000_s36884"/>
                </a:ext>
                <a:ext uri="{FF2B5EF4-FFF2-40B4-BE49-F238E27FC236}">
                  <a16:creationId xmlns:a16="http://schemas.microsoft.com/office/drawing/2014/main" id="{00000000-0008-0000-1000-000014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27</xdr:row>
          <xdr:rowOff>180975</xdr:rowOff>
        </xdr:from>
        <xdr:to>
          <xdr:col>1</xdr:col>
          <xdr:colOff>333375</xdr:colOff>
          <xdr:row>28</xdr:row>
          <xdr:rowOff>180975</xdr:rowOff>
        </xdr:to>
        <xdr:sp macro="" textlink="">
          <xdr:nvSpPr>
            <xdr:cNvPr id="36885" name="Check Box 21" hidden="1">
              <a:extLst>
                <a:ext uri="{63B3BB69-23CF-44E3-9099-C40C66FF867C}">
                  <a14:compatExt spid="_x0000_s36885"/>
                </a:ext>
                <a:ext uri="{FF2B5EF4-FFF2-40B4-BE49-F238E27FC236}">
                  <a16:creationId xmlns:a16="http://schemas.microsoft.com/office/drawing/2014/main" id="{00000000-0008-0000-1000-00001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xdr:row>
          <xdr:rowOff>0</xdr:rowOff>
        </xdr:from>
        <xdr:to>
          <xdr:col>1</xdr:col>
          <xdr:colOff>333375</xdr:colOff>
          <xdr:row>5</xdr:row>
          <xdr:rowOff>0</xdr:rowOff>
        </xdr:to>
        <xdr:sp macro="" textlink="">
          <xdr:nvSpPr>
            <xdr:cNvPr id="36886" name="Check Box 22" hidden="1">
              <a:extLst>
                <a:ext uri="{63B3BB69-23CF-44E3-9099-C40C66FF867C}">
                  <a14:compatExt spid="_x0000_s36886"/>
                </a:ext>
                <a:ext uri="{FF2B5EF4-FFF2-40B4-BE49-F238E27FC236}">
                  <a16:creationId xmlns:a16="http://schemas.microsoft.com/office/drawing/2014/main" id="{00000000-0008-0000-1000-00001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18</xdr:row>
          <xdr:rowOff>180975</xdr:rowOff>
        </xdr:from>
        <xdr:to>
          <xdr:col>1</xdr:col>
          <xdr:colOff>333375</xdr:colOff>
          <xdr:row>19</xdr:row>
          <xdr:rowOff>180975</xdr:rowOff>
        </xdr:to>
        <xdr:sp macro="" textlink="">
          <xdr:nvSpPr>
            <xdr:cNvPr id="36887" name="Check Box 23" hidden="1">
              <a:extLst>
                <a:ext uri="{63B3BB69-23CF-44E3-9099-C40C66FF867C}">
                  <a14:compatExt spid="_x0000_s36887"/>
                </a:ext>
                <a:ext uri="{FF2B5EF4-FFF2-40B4-BE49-F238E27FC236}">
                  <a16:creationId xmlns:a16="http://schemas.microsoft.com/office/drawing/2014/main" id="{00000000-0008-0000-1000-00001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9</xdr:row>
          <xdr:rowOff>152400</xdr:rowOff>
        </xdr:from>
        <xdr:to>
          <xdr:col>1</xdr:col>
          <xdr:colOff>333375</xdr:colOff>
          <xdr:row>10</xdr:row>
          <xdr:rowOff>152400</xdr:rowOff>
        </xdr:to>
        <xdr:sp macro="" textlink="">
          <xdr:nvSpPr>
            <xdr:cNvPr id="36888" name="Check Box 24" hidden="1">
              <a:extLst>
                <a:ext uri="{63B3BB69-23CF-44E3-9099-C40C66FF867C}">
                  <a14:compatExt spid="_x0000_s36888"/>
                </a:ext>
                <a:ext uri="{FF2B5EF4-FFF2-40B4-BE49-F238E27FC236}">
                  <a16:creationId xmlns:a16="http://schemas.microsoft.com/office/drawing/2014/main" id="{00000000-0008-0000-1000-00001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30</xdr:row>
          <xdr:rowOff>0</xdr:rowOff>
        </xdr:from>
        <xdr:to>
          <xdr:col>1</xdr:col>
          <xdr:colOff>333375</xdr:colOff>
          <xdr:row>31</xdr:row>
          <xdr:rowOff>0</xdr:rowOff>
        </xdr:to>
        <xdr:sp macro="" textlink="">
          <xdr:nvSpPr>
            <xdr:cNvPr id="36889" name="Check Box 25" hidden="1">
              <a:extLst>
                <a:ext uri="{63B3BB69-23CF-44E3-9099-C40C66FF867C}">
                  <a14:compatExt spid="_x0000_s36889"/>
                </a:ext>
                <a:ext uri="{FF2B5EF4-FFF2-40B4-BE49-F238E27FC236}">
                  <a16:creationId xmlns:a16="http://schemas.microsoft.com/office/drawing/2014/main" id="{00000000-0008-0000-1000-00001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0</xdr:rowOff>
        </xdr:from>
        <xdr:to>
          <xdr:col>1</xdr:col>
          <xdr:colOff>333375</xdr:colOff>
          <xdr:row>32</xdr:row>
          <xdr:rowOff>0</xdr:rowOff>
        </xdr:to>
        <xdr:sp macro="" textlink="">
          <xdr:nvSpPr>
            <xdr:cNvPr id="36890" name="Check Box 26" hidden="1">
              <a:extLst>
                <a:ext uri="{63B3BB69-23CF-44E3-9099-C40C66FF867C}">
                  <a14:compatExt spid="_x0000_s36890"/>
                </a:ext>
                <a:ext uri="{FF2B5EF4-FFF2-40B4-BE49-F238E27FC236}">
                  <a16:creationId xmlns:a16="http://schemas.microsoft.com/office/drawing/2014/main" id="{00000000-0008-0000-1000-00001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xdr:row>
          <xdr:rowOff>0</xdr:rowOff>
        </xdr:from>
        <xdr:to>
          <xdr:col>1</xdr:col>
          <xdr:colOff>333375</xdr:colOff>
          <xdr:row>33</xdr:row>
          <xdr:rowOff>0</xdr:rowOff>
        </xdr:to>
        <xdr:sp macro="" textlink="">
          <xdr:nvSpPr>
            <xdr:cNvPr id="36891" name="Check Box 27" hidden="1">
              <a:extLst>
                <a:ext uri="{63B3BB69-23CF-44E3-9099-C40C66FF867C}">
                  <a14:compatExt spid="_x0000_s36891"/>
                </a:ext>
                <a:ext uri="{FF2B5EF4-FFF2-40B4-BE49-F238E27FC236}">
                  <a16:creationId xmlns:a16="http://schemas.microsoft.com/office/drawing/2014/main" id="{00000000-0008-0000-1000-00001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xdr:row>
          <xdr:rowOff>171450</xdr:rowOff>
        </xdr:from>
        <xdr:to>
          <xdr:col>1</xdr:col>
          <xdr:colOff>333375</xdr:colOff>
          <xdr:row>33</xdr:row>
          <xdr:rowOff>171450</xdr:rowOff>
        </xdr:to>
        <xdr:sp macro="" textlink="">
          <xdr:nvSpPr>
            <xdr:cNvPr id="36892" name="Check Box 28" hidden="1">
              <a:extLst>
                <a:ext uri="{63B3BB69-23CF-44E3-9099-C40C66FF867C}">
                  <a14:compatExt spid="_x0000_s36892"/>
                </a:ext>
                <a:ext uri="{FF2B5EF4-FFF2-40B4-BE49-F238E27FC236}">
                  <a16:creationId xmlns:a16="http://schemas.microsoft.com/office/drawing/2014/main" id="{00000000-0008-0000-1000-00001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5</xdr:row>
          <xdr:rowOff>0</xdr:rowOff>
        </xdr:from>
        <xdr:to>
          <xdr:col>1</xdr:col>
          <xdr:colOff>333375</xdr:colOff>
          <xdr:row>6</xdr:row>
          <xdr:rowOff>0</xdr:rowOff>
        </xdr:to>
        <xdr:sp macro="" textlink="">
          <xdr:nvSpPr>
            <xdr:cNvPr id="36893" name="Check Box 29" hidden="1">
              <a:extLst>
                <a:ext uri="{63B3BB69-23CF-44E3-9099-C40C66FF867C}">
                  <a14:compatExt spid="_x0000_s36893"/>
                </a:ext>
                <a:ext uri="{FF2B5EF4-FFF2-40B4-BE49-F238E27FC236}">
                  <a16:creationId xmlns:a16="http://schemas.microsoft.com/office/drawing/2014/main" id="{00000000-0008-0000-1000-00001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257737</xdr:colOff>
      <xdr:row>45</xdr:row>
      <xdr:rowOff>123264</xdr:rowOff>
    </xdr:from>
    <xdr:to>
      <xdr:col>11</xdr:col>
      <xdr:colOff>267103</xdr:colOff>
      <xdr:row>61</xdr:row>
      <xdr:rowOff>38902</xdr:rowOff>
    </xdr:to>
    <xdr:graphicFrame macro="">
      <xdr:nvGraphicFramePr>
        <xdr:cNvPr id="33" name="Chart 32">
          <a:extLst>
            <a:ext uri="{FF2B5EF4-FFF2-40B4-BE49-F238E27FC236}">
              <a16:creationId xmlns:a16="http://schemas.microsoft.com/office/drawing/2014/main" id="{00000000-0008-0000-10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336177</xdr:colOff>
      <xdr:row>45</xdr:row>
      <xdr:rowOff>123264</xdr:rowOff>
    </xdr:from>
    <xdr:to>
      <xdr:col>6</xdr:col>
      <xdr:colOff>110220</xdr:colOff>
      <xdr:row>61</xdr:row>
      <xdr:rowOff>38902</xdr:rowOff>
    </xdr:to>
    <xdr:graphicFrame macro="">
      <xdr:nvGraphicFramePr>
        <xdr:cNvPr id="34" name="Chart 33">
          <a:extLst>
            <a:ext uri="{FF2B5EF4-FFF2-40B4-BE49-F238E27FC236}">
              <a16:creationId xmlns:a16="http://schemas.microsoft.com/office/drawing/2014/main" id="{00000000-0008-0000-1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33618</xdr:colOff>
      <xdr:row>45</xdr:row>
      <xdr:rowOff>123264</xdr:rowOff>
    </xdr:from>
    <xdr:to>
      <xdr:col>15</xdr:col>
      <xdr:colOff>681719</xdr:colOff>
      <xdr:row>61</xdr:row>
      <xdr:rowOff>38902</xdr:rowOff>
    </xdr:to>
    <xdr:graphicFrame macro="">
      <xdr:nvGraphicFramePr>
        <xdr:cNvPr id="35" name="Chart 34">
          <a:extLst>
            <a:ext uri="{FF2B5EF4-FFF2-40B4-BE49-F238E27FC236}">
              <a16:creationId xmlns:a16="http://schemas.microsoft.com/office/drawing/2014/main" id="{00000000-0008-0000-1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8</xdr:row>
          <xdr:rowOff>180975</xdr:rowOff>
        </xdr:from>
        <xdr:to>
          <xdr:col>1</xdr:col>
          <xdr:colOff>333375</xdr:colOff>
          <xdr:row>9</xdr:row>
          <xdr:rowOff>180975</xdr:rowOff>
        </xdr:to>
        <xdr:sp macro="" textlink="">
          <xdr:nvSpPr>
            <xdr:cNvPr id="36894" name="Check Box 30" hidden="1">
              <a:extLst>
                <a:ext uri="{63B3BB69-23CF-44E3-9099-C40C66FF867C}">
                  <a14:compatExt spid="_x0000_s36894"/>
                </a:ext>
                <a:ext uri="{FF2B5EF4-FFF2-40B4-BE49-F238E27FC236}">
                  <a16:creationId xmlns:a16="http://schemas.microsoft.com/office/drawing/2014/main" id="{00000000-0008-0000-1000-00001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11</xdr:row>
          <xdr:rowOff>171450</xdr:rowOff>
        </xdr:from>
        <xdr:to>
          <xdr:col>1</xdr:col>
          <xdr:colOff>333375</xdr:colOff>
          <xdr:row>12</xdr:row>
          <xdr:rowOff>180975</xdr:rowOff>
        </xdr:to>
        <xdr:sp macro="" textlink="">
          <xdr:nvSpPr>
            <xdr:cNvPr id="36895" name="Check Box 31" hidden="1">
              <a:extLst>
                <a:ext uri="{63B3BB69-23CF-44E3-9099-C40C66FF867C}">
                  <a14:compatExt spid="_x0000_s36895"/>
                </a:ext>
                <a:ext uri="{FF2B5EF4-FFF2-40B4-BE49-F238E27FC236}">
                  <a16:creationId xmlns:a16="http://schemas.microsoft.com/office/drawing/2014/main" id="{00000000-0008-0000-1000-00001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33</xdr:row>
          <xdr:rowOff>180975</xdr:rowOff>
        </xdr:from>
        <xdr:to>
          <xdr:col>1</xdr:col>
          <xdr:colOff>333375</xdr:colOff>
          <xdr:row>34</xdr:row>
          <xdr:rowOff>180975</xdr:rowOff>
        </xdr:to>
        <xdr:sp macro="" textlink="">
          <xdr:nvSpPr>
            <xdr:cNvPr id="36896" name="Check Box 32" hidden="1">
              <a:extLst>
                <a:ext uri="{63B3BB69-23CF-44E3-9099-C40C66FF867C}">
                  <a14:compatExt spid="_x0000_s36896"/>
                </a:ext>
                <a:ext uri="{FF2B5EF4-FFF2-40B4-BE49-F238E27FC236}">
                  <a16:creationId xmlns:a16="http://schemas.microsoft.com/office/drawing/2014/main" id="{00000000-0008-0000-1000-00002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34</xdr:row>
          <xdr:rowOff>180975</xdr:rowOff>
        </xdr:from>
        <xdr:to>
          <xdr:col>1</xdr:col>
          <xdr:colOff>333375</xdr:colOff>
          <xdr:row>35</xdr:row>
          <xdr:rowOff>180975</xdr:rowOff>
        </xdr:to>
        <xdr:sp macro="" textlink="">
          <xdr:nvSpPr>
            <xdr:cNvPr id="36897" name="Check Box 33" hidden="1">
              <a:extLst>
                <a:ext uri="{63B3BB69-23CF-44E3-9099-C40C66FF867C}">
                  <a14:compatExt spid="_x0000_s36897"/>
                </a:ext>
                <a:ext uri="{FF2B5EF4-FFF2-40B4-BE49-F238E27FC236}">
                  <a16:creationId xmlns:a16="http://schemas.microsoft.com/office/drawing/2014/main" id="{00000000-0008-0000-1000-00002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12</xdr:row>
          <xdr:rowOff>161925</xdr:rowOff>
        </xdr:from>
        <xdr:to>
          <xdr:col>1</xdr:col>
          <xdr:colOff>333375</xdr:colOff>
          <xdr:row>13</xdr:row>
          <xdr:rowOff>171450</xdr:rowOff>
        </xdr:to>
        <xdr:sp macro="" textlink="">
          <xdr:nvSpPr>
            <xdr:cNvPr id="36898" name="Check Box 34" hidden="1">
              <a:extLst>
                <a:ext uri="{63B3BB69-23CF-44E3-9099-C40C66FF867C}">
                  <a14:compatExt spid="_x0000_s36898"/>
                </a:ext>
                <a:ext uri="{FF2B5EF4-FFF2-40B4-BE49-F238E27FC236}">
                  <a16:creationId xmlns:a16="http://schemas.microsoft.com/office/drawing/2014/main" id="{00000000-0008-0000-1000-00002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35</xdr:row>
          <xdr:rowOff>180975</xdr:rowOff>
        </xdr:from>
        <xdr:to>
          <xdr:col>1</xdr:col>
          <xdr:colOff>323850</xdr:colOff>
          <xdr:row>36</xdr:row>
          <xdr:rowOff>180975</xdr:rowOff>
        </xdr:to>
        <xdr:sp macro="" textlink="">
          <xdr:nvSpPr>
            <xdr:cNvPr id="36899" name="Check Box 35" hidden="1">
              <a:extLst>
                <a:ext uri="{63B3BB69-23CF-44E3-9099-C40C66FF867C}">
                  <a14:compatExt spid="_x0000_s36899"/>
                </a:ext>
                <a:ext uri="{FF2B5EF4-FFF2-40B4-BE49-F238E27FC236}">
                  <a16:creationId xmlns:a16="http://schemas.microsoft.com/office/drawing/2014/main" id="{00000000-0008-0000-1000-00002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0</xdr:rowOff>
        </xdr:from>
        <xdr:to>
          <xdr:col>1</xdr:col>
          <xdr:colOff>342900</xdr:colOff>
          <xdr:row>4</xdr:row>
          <xdr:rowOff>0</xdr:rowOff>
        </xdr:to>
        <xdr:sp macro="" textlink="">
          <xdr:nvSpPr>
            <xdr:cNvPr id="38913" name="Case à cocher 1" hidden="1">
              <a:extLst>
                <a:ext uri="{63B3BB69-23CF-44E3-9099-C40C66FF867C}">
                  <a14:compatExt spid="_x0000_s38913"/>
                </a:ext>
                <a:ext uri="{FF2B5EF4-FFF2-40B4-BE49-F238E27FC236}">
                  <a16:creationId xmlns:a16="http://schemas.microsoft.com/office/drawing/2014/main" id="{00000000-0008-0000-1100-000001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xdr:row>
          <xdr:rowOff>9525</xdr:rowOff>
        </xdr:from>
        <xdr:to>
          <xdr:col>1</xdr:col>
          <xdr:colOff>333375</xdr:colOff>
          <xdr:row>4</xdr:row>
          <xdr:rowOff>9525</xdr:rowOff>
        </xdr:to>
        <xdr:sp macro="" textlink="">
          <xdr:nvSpPr>
            <xdr:cNvPr id="38914" name="Case à cocher 2" hidden="1">
              <a:extLst>
                <a:ext uri="{63B3BB69-23CF-44E3-9099-C40C66FF867C}">
                  <a14:compatExt spid="_x0000_s38914"/>
                </a:ext>
                <a:ext uri="{FF2B5EF4-FFF2-40B4-BE49-F238E27FC236}">
                  <a16:creationId xmlns:a16="http://schemas.microsoft.com/office/drawing/2014/main" id="{00000000-0008-0000-1100-000002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7</xdr:row>
          <xdr:rowOff>0</xdr:rowOff>
        </xdr:from>
        <xdr:to>
          <xdr:col>1</xdr:col>
          <xdr:colOff>333375</xdr:colOff>
          <xdr:row>8</xdr:row>
          <xdr:rowOff>0</xdr:rowOff>
        </xdr:to>
        <xdr:sp macro="" textlink="">
          <xdr:nvSpPr>
            <xdr:cNvPr id="38915" name="Case à cocher 4" hidden="1">
              <a:extLst>
                <a:ext uri="{63B3BB69-23CF-44E3-9099-C40C66FF867C}">
                  <a14:compatExt spid="_x0000_s38915"/>
                </a:ext>
                <a:ext uri="{FF2B5EF4-FFF2-40B4-BE49-F238E27FC236}">
                  <a16:creationId xmlns:a16="http://schemas.microsoft.com/office/drawing/2014/main" id="{00000000-0008-0000-1100-000003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8</xdr:row>
          <xdr:rowOff>9525</xdr:rowOff>
        </xdr:from>
        <xdr:to>
          <xdr:col>1</xdr:col>
          <xdr:colOff>333375</xdr:colOff>
          <xdr:row>9</xdr:row>
          <xdr:rowOff>9525</xdr:rowOff>
        </xdr:to>
        <xdr:sp macro="" textlink="">
          <xdr:nvSpPr>
            <xdr:cNvPr id="38916" name="Case à cocher 5" hidden="1">
              <a:extLst>
                <a:ext uri="{63B3BB69-23CF-44E3-9099-C40C66FF867C}">
                  <a14:compatExt spid="_x0000_s38916"/>
                </a:ext>
                <a:ext uri="{FF2B5EF4-FFF2-40B4-BE49-F238E27FC236}">
                  <a16:creationId xmlns:a16="http://schemas.microsoft.com/office/drawing/2014/main" id="{00000000-0008-0000-1100-000004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28</xdr:row>
          <xdr:rowOff>190500</xdr:rowOff>
        </xdr:from>
        <xdr:to>
          <xdr:col>1</xdr:col>
          <xdr:colOff>333375</xdr:colOff>
          <xdr:row>30</xdr:row>
          <xdr:rowOff>0</xdr:rowOff>
        </xdr:to>
        <xdr:sp macro="" textlink="">
          <xdr:nvSpPr>
            <xdr:cNvPr id="38917" name="Case à cocher 6" hidden="1">
              <a:extLst>
                <a:ext uri="{63B3BB69-23CF-44E3-9099-C40C66FF867C}">
                  <a14:compatExt spid="_x0000_s38917"/>
                </a:ext>
                <a:ext uri="{FF2B5EF4-FFF2-40B4-BE49-F238E27FC236}">
                  <a16:creationId xmlns:a16="http://schemas.microsoft.com/office/drawing/2014/main" id="{00000000-0008-0000-1100-000005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14</xdr:row>
          <xdr:rowOff>19050</xdr:rowOff>
        </xdr:from>
        <xdr:to>
          <xdr:col>1</xdr:col>
          <xdr:colOff>333375</xdr:colOff>
          <xdr:row>15</xdr:row>
          <xdr:rowOff>19050</xdr:rowOff>
        </xdr:to>
        <xdr:sp macro="" textlink="">
          <xdr:nvSpPr>
            <xdr:cNvPr id="38918" name="Case à cocher 7" hidden="1">
              <a:extLst>
                <a:ext uri="{63B3BB69-23CF-44E3-9099-C40C66FF867C}">
                  <a14:compatExt spid="_x0000_s38918"/>
                </a:ext>
                <a:ext uri="{FF2B5EF4-FFF2-40B4-BE49-F238E27FC236}">
                  <a16:creationId xmlns:a16="http://schemas.microsoft.com/office/drawing/2014/main" id="{00000000-0008-0000-1100-000006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15</xdr:row>
          <xdr:rowOff>9525</xdr:rowOff>
        </xdr:from>
        <xdr:to>
          <xdr:col>1</xdr:col>
          <xdr:colOff>333375</xdr:colOff>
          <xdr:row>16</xdr:row>
          <xdr:rowOff>9525</xdr:rowOff>
        </xdr:to>
        <xdr:sp macro="" textlink="">
          <xdr:nvSpPr>
            <xdr:cNvPr id="38919" name="Case à cocher 8" hidden="1">
              <a:extLst>
                <a:ext uri="{63B3BB69-23CF-44E3-9099-C40C66FF867C}">
                  <a14:compatExt spid="_x0000_s38919"/>
                </a:ext>
                <a:ext uri="{FF2B5EF4-FFF2-40B4-BE49-F238E27FC236}">
                  <a16:creationId xmlns:a16="http://schemas.microsoft.com/office/drawing/2014/main" id="{00000000-0008-0000-1100-000007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16</xdr:row>
          <xdr:rowOff>9525</xdr:rowOff>
        </xdr:from>
        <xdr:to>
          <xdr:col>1</xdr:col>
          <xdr:colOff>333375</xdr:colOff>
          <xdr:row>17</xdr:row>
          <xdr:rowOff>9525</xdr:rowOff>
        </xdr:to>
        <xdr:sp macro="" textlink="">
          <xdr:nvSpPr>
            <xdr:cNvPr id="38920" name="Case à cocher 9" hidden="1">
              <a:extLst>
                <a:ext uri="{63B3BB69-23CF-44E3-9099-C40C66FF867C}">
                  <a14:compatExt spid="_x0000_s38920"/>
                </a:ext>
                <a:ext uri="{FF2B5EF4-FFF2-40B4-BE49-F238E27FC236}">
                  <a16:creationId xmlns:a16="http://schemas.microsoft.com/office/drawing/2014/main" id="{00000000-0008-0000-1100-000008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16</xdr:row>
          <xdr:rowOff>171450</xdr:rowOff>
        </xdr:from>
        <xdr:to>
          <xdr:col>1</xdr:col>
          <xdr:colOff>333375</xdr:colOff>
          <xdr:row>17</xdr:row>
          <xdr:rowOff>171450</xdr:rowOff>
        </xdr:to>
        <xdr:sp macro="" textlink="">
          <xdr:nvSpPr>
            <xdr:cNvPr id="38921" name="Case à cocher 10" hidden="1">
              <a:extLst>
                <a:ext uri="{63B3BB69-23CF-44E3-9099-C40C66FF867C}">
                  <a14:compatExt spid="_x0000_s38921"/>
                </a:ext>
                <a:ext uri="{FF2B5EF4-FFF2-40B4-BE49-F238E27FC236}">
                  <a16:creationId xmlns:a16="http://schemas.microsoft.com/office/drawing/2014/main" id="{00000000-0008-0000-1100-000009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17</xdr:row>
          <xdr:rowOff>171450</xdr:rowOff>
        </xdr:from>
        <xdr:to>
          <xdr:col>1</xdr:col>
          <xdr:colOff>333375</xdr:colOff>
          <xdr:row>18</xdr:row>
          <xdr:rowOff>171450</xdr:rowOff>
        </xdr:to>
        <xdr:sp macro="" textlink="">
          <xdr:nvSpPr>
            <xdr:cNvPr id="38922" name="Case à cocher 11" hidden="1">
              <a:extLst>
                <a:ext uri="{63B3BB69-23CF-44E3-9099-C40C66FF867C}">
                  <a14:compatExt spid="_x0000_s38922"/>
                </a:ext>
                <a:ext uri="{FF2B5EF4-FFF2-40B4-BE49-F238E27FC236}">
                  <a16:creationId xmlns:a16="http://schemas.microsoft.com/office/drawing/2014/main" id="{00000000-0008-0000-1100-00000A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19</xdr:row>
          <xdr:rowOff>180975</xdr:rowOff>
        </xdr:from>
        <xdr:to>
          <xdr:col>1</xdr:col>
          <xdr:colOff>333375</xdr:colOff>
          <xdr:row>20</xdr:row>
          <xdr:rowOff>180975</xdr:rowOff>
        </xdr:to>
        <xdr:sp macro="" textlink="">
          <xdr:nvSpPr>
            <xdr:cNvPr id="38923" name="Check Box 11" hidden="1">
              <a:extLst>
                <a:ext uri="{63B3BB69-23CF-44E3-9099-C40C66FF867C}">
                  <a14:compatExt spid="_x0000_s38923"/>
                </a:ext>
                <a:ext uri="{FF2B5EF4-FFF2-40B4-BE49-F238E27FC236}">
                  <a16:creationId xmlns:a16="http://schemas.microsoft.com/office/drawing/2014/main" id="{00000000-0008-0000-1100-00000B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642738</xdr:colOff>
      <xdr:row>0</xdr:row>
      <xdr:rowOff>35778</xdr:rowOff>
    </xdr:from>
    <xdr:to>
      <xdr:col>19</xdr:col>
      <xdr:colOff>561095</xdr:colOff>
      <xdr:row>20</xdr:row>
      <xdr:rowOff>88846</xdr:rowOff>
    </xdr:to>
    <xdr:graphicFrame macro="">
      <xdr:nvGraphicFramePr>
        <xdr:cNvPr id="13" name="Chart 1">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10</xdr:row>
          <xdr:rowOff>180975</xdr:rowOff>
        </xdr:from>
        <xdr:to>
          <xdr:col>1</xdr:col>
          <xdr:colOff>333375</xdr:colOff>
          <xdr:row>12</xdr:row>
          <xdr:rowOff>0</xdr:rowOff>
        </xdr:to>
        <xdr:sp macro="" textlink="">
          <xdr:nvSpPr>
            <xdr:cNvPr id="38924" name="Check Box 13" hidden="1">
              <a:extLst>
                <a:ext uri="{63B3BB69-23CF-44E3-9099-C40C66FF867C}">
                  <a14:compatExt spid="_x0000_s38924"/>
                </a:ext>
                <a:ext uri="{FF2B5EF4-FFF2-40B4-BE49-F238E27FC236}">
                  <a16:creationId xmlns:a16="http://schemas.microsoft.com/office/drawing/2014/main" id="{00000000-0008-0000-1100-00000C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20</xdr:row>
          <xdr:rowOff>180975</xdr:rowOff>
        </xdr:from>
        <xdr:to>
          <xdr:col>1</xdr:col>
          <xdr:colOff>333375</xdr:colOff>
          <xdr:row>22</xdr:row>
          <xdr:rowOff>0</xdr:rowOff>
        </xdr:to>
        <xdr:sp macro="" textlink="">
          <xdr:nvSpPr>
            <xdr:cNvPr id="38925" name="Check Box 14" hidden="1">
              <a:extLst>
                <a:ext uri="{63B3BB69-23CF-44E3-9099-C40C66FF867C}">
                  <a14:compatExt spid="_x0000_s38925"/>
                </a:ext>
                <a:ext uri="{FF2B5EF4-FFF2-40B4-BE49-F238E27FC236}">
                  <a16:creationId xmlns:a16="http://schemas.microsoft.com/office/drawing/2014/main" id="{00000000-0008-0000-1100-00000D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6</xdr:row>
          <xdr:rowOff>0</xdr:rowOff>
        </xdr:from>
        <xdr:to>
          <xdr:col>1</xdr:col>
          <xdr:colOff>333375</xdr:colOff>
          <xdr:row>7</xdr:row>
          <xdr:rowOff>0</xdr:rowOff>
        </xdr:to>
        <xdr:sp macro="" textlink="">
          <xdr:nvSpPr>
            <xdr:cNvPr id="38926" name="Check Box 15" hidden="1">
              <a:extLst>
                <a:ext uri="{63B3BB69-23CF-44E3-9099-C40C66FF867C}">
                  <a14:compatExt spid="_x0000_s38926"/>
                </a:ext>
                <a:ext uri="{FF2B5EF4-FFF2-40B4-BE49-F238E27FC236}">
                  <a16:creationId xmlns:a16="http://schemas.microsoft.com/office/drawing/2014/main" id="{00000000-0008-0000-1100-00000E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22</xdr:row>
          <xdr:rowOff>0</xdr:rowOff>
        </xdr:from>
        <xdr:to>
          <xdr:col>1</xdr:col>
          <xdr:colOff>333375</xdr:colOff>
          <xdr:row>23</xdr:row>
          <xdr:rowOff>9525</xdr:rowOff>
        </xdr:to>
        <xdr:sp macro="" textlink="">
          <xdr:nvSpPr>
            <xdr:cNvPr id="38927" name="Check Box 16" hidden="1">
              <a:extLst>
                <a:ext uri="{63B3BB69-23CF-44E3-9099-C40C66FF867C}">
                  <a14:compatExt spid="_x0000_s38927"/>
                </a:ext>
                <a:ext uri="{FF2B5EF4-FFF2-40B4-BE49-F238E27FC236}">
                  <a16:creationId xmlns:a16="http://schemas.microsoft.com/office/drawing/2014/main" id="{00000000-0008-0000-1100-00000F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22</xdr:row>
          <xdr:rowOff>180975</xdr:rowOff>
        </xdr:from>
        <xdr:to>
          <xdr:col>1</xdr:col>
          <xdr:colOff>333375</xdr:colOff>
          <xdr:row>24</xdr:row>
          <xdr:rowOff>0</xdr:rowOff>
        </xdr:to>
        <xdr:sp macro="" textlink="">
          <xdr:nvSpPr>
            <xdr:cNvPr id="38928" name="Check Box 17" hidden="1">
              <a:extLst>
                <a:ext uri="{63B3BB69-23CF-44E3-9099-C40C66FF867C}">
                  <a14:compatExt spid="_x0000_s38928"/>
                </a:ext>
                <a:ext uri="{FF2B5EF4-FFF2-40B4-BE49-F238E27FC236}">
                  <a16:creationId xmlns:a16="http://schemas.microsoft.com/office/drawing/2014/main" id="{00000000-0008-0000-1100-000010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24</xdr:row>
          <xdr:rowOff>0</xdr:rowOff>
        </xdr:from>
        <xdr:to>
          <xdr:col>1</xdr:col>
          <xdr:colOff>333375</xdr:colOff>
          <xdr:row>25</xdr:row>
          <xdr:rowOff>0</xdr:rowOff>
        </xdr:to>
        <xdr:sp macro="" textlink="">
          <xdr:nvSpPr>
            <xdr:cNvPr id="38929" name="Check Box 18" hidden="1">
              <a:extLst>
                <a:ext uri="{63B3BB69-23CF-44E3-9099-C40C66FF867C}">
                  <a14:compatExt spid="_x0000_s38929"/>
                </a:ext>
                <a:ext uri="{FF2B5EF4-FFF2-40B4-BE49-F238E27FC236}">
                  <a16:creationId xmlns:a16="http://schemas.microsoft.com/office/drawing/2014/main" id="{00000000-0008-0000-1100-000011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25</xdr:row>
          <xdr:rowOff>0</xdr:rowOff>
        </xdr:from>
        <xdr:to>
          <xdr:col>1</xdr:col>
          <xdr:colOff>333375</xdr:colOff>
          <xdr:row>26</xdr:row>
          <xdr:rowOff>0</xdr:rowOff>
        </xdr:to>
        <xdr:sp macro="" textlink="">
          <xdr:nvSpPr>
            <xdr:cNvPr id="38930" name="Check Box 19" hidden="1">
              <a:extLst>
                <a:ext uri="{63B3BB69-23CF-44E3-9099-C40C66FF867C}">
                  <a14:compatExt spid="_x0000_s38930"/>
                </a:ext>
                <a:ext uri="{FF2B5EF4-FFF2-40B4-BE49-F238E27FC236}">
                  <a16:creationId xmlns:a16="http://schemas.microsoft.com/office/drawing/2014/main" id="{00000000-0008-0000-1100-000012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20</xdr:row>
      <xdr:rowOff>152396</xdr:rowOff>
    </xdr:from>
    <xdr:to>
      <xdr:col>20</xdr:col>
      <xdr:colOff>145676</xdr:colOff>
      <xdr:row>34</xdr:row>
      <xdr:rowOff>179293</xdr:rowOff>
    </xdr:to>
    <xdr:graphicFrame macro="">
      <xdr:nvGraphicFramePr>
        <xdr:cNvPr id="21" name="Chart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26</xdr:row>
          <xdr:rowOff>9525</xdr:rowOff>
        </xdr:from>
        <xdr:to>
          <xdr:col>1</xdr:col>
          <xdr:colOff>333375</xdr:colOff>
          <xdr:row>27</xdr:row>
          <xdr:rowOff>9525</xdr:rowOff>
        </xdr:to>
        <xdr:sp macro="" textlink="">
          <xdr:nvSpPr>
            <xdr:cNvPr id="38931" name="Check Box 20" hidden="1">
              <a:extLst>
                <a:ext uri="{63B3BB69-23CF-44E3-9099-C40C66FF867C}">
                  <a14:compatExt spid="_x0000_s38931"/>
                </a:ext>
                <a:ext uri="{FF2B5EF4-FFF2-40B4-BE49-F238E27FC236}">
                  <a16:creationId xmlns:a16="http://schemas.microsoft.com/office/drawing/2014/main" id="{00000000-0008-0000-1100-000013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27</xdr:row>
          <xdr:rowOff>9525</xdr:rowOff>
        </xdr:from>
        <xdr:to>
          <xdr:col>1</xdr:col>
          <xdr:colOff>333375</xdr:colOff>
          <xdr:row>28</xdr:row>
          <xdr:rowOff>9525</xdr:rowOff>
        </xdr:to>
        <xdr:sp macro="" textlink="">
          <xdr:nvSpPr>
            <xdr:cNvPr id="38932" name="Check Box 21" hidden="1">
              <a:extLst>
                <a:ext uri="{63B3BB69-23CF-44E3-9099-C40C66FF867C}">
                  <a14:compatExt spid="_x0000_s38932"/>
                </a:ext>
                <a:ext uri="{FF2B5EF4-FFF2-40B4-BE49-F238E27FC236}">
                  <a16:creationId xmlns:a16="http://schemas.microsoft.com/office/drawing/2014/main" id="{00000000-0008-0000-1100-000014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27</xdr:row>
          <xdr:rowOff>180975</xdr:rowOff>
        </xdr:from>
        <xdr:to>
          <xdr:col>1</xdr:col>
          <xdr:colOff>333375</xdr:colOff>
          <xdr:row>28</xdr:row>
          <xdr:rowOff>180975</xdr:rowOff>
        </xdr:to>
        <xdr:sp macro="" textlink="">
          <xdr:nvSpPr>
            <xdr:cNvPr id="38933" name="Check Box 21" hidden="1">
              <a:extLst>
                <a:ext uri="{63B3BB69-23CF-44E3-9099-C40C66FF867C}">
                  <a14:compatExt spid="_x0000_s38933"/>
                </a:ext>
                <a:ext uri="{FF2B5EF4-FFF2-40B4-BE49-F238E27FC236}">
                  <a16:creationId xmlns:a16="http://schemas.microsoft.com/office/drawing/2014/main" id="{00000000-0008-0000-1100-000015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xdr:row>
          <xdr:rowOff>0</xdr:rowOff>
        </xdr:from>
        <xdr:to>
          <xdr:col>1</xdr:col>
          <xdr:colOff>333375</xdr:colOff>
          <xdr:row>5</xdr:row>
          <xdr:rowOff>0</xdr:rowOff>
        </xdr:to>
        <xdr:sp macro="" textlink="">
          <xdr:nvSpPr>
            <xdr:cNvPr id="38934" name="Check Box 22" hidden="1">
              <a:extLst>
                <a:ext uri="{63B3BB69-23CF-44E3-9099-C40C66FF867C}">
                  <a14:compatExt spid="_x0000_s38934"/>
                </a:ext>
                <a:ext uri="{FF2B5EF4-FFF2-40B4-BE49-F238E27FC236}">
                  <a16:creationId xmlns:a16="http://schemas.microsoft.com/office/drawing/2014/main" id="{00000000-0008-0000-1100-000016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18</xdr:row>
          <xdr:rowOff>180975</xdr:rowOff>
        </xdr:from>
        <xdr:to>
          <xdr:col>1</xdr:col>
          <xdr:colOff>333375</xdr:colOff>
          <xdr:row>19</xdr:row>
          <xdr:rowOff>180975</xdr:rowOff>
        </xdr:to>
        <xdr:sp macro="" textlink="">
          <xdr:nvSpPr>
            <xdr:cNvPr id="38935" name="Check Box 23" hidden="1">
              <a:extLst>
                <a:ext uri="{63B3BB69-23CF-44E3-9099-C40C66FF867C}">
                  <a14:compatExt spid="_x0000_s38935"/>
                </a:ext>
                <a:ext uri="{FF2B5EF4-FFF2-40B4-BE49-F238E27FC236}">
                  <a16:creationId xmlns:a16="http://schemas.microsoft.com/office/drawing/2014/main" id="{00000000-0008-0000-1100-000017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9</xdr:row>
          <xdr:rowOff>152400</xdr:rowOff>
        </xdr:from>
        <xdr:to>
          <xdr:col>1</xdr:col>
          <xdr:colOff>333375</xdr:colOff>
          <xdr:row>10</xdr:row>
          <xdr:rowOff>152400</xdr:rowOff>
        </xdr:to>
        <xdr:sp macro="" textlink="">
          <xdr:nvSpPr>
            <xdr:cNvPr id="38936" name="Check Box 24" hidden="1">
              <a:extLst>
                <a:ext uri="{63B3BB69-23CF-44E3-9099-C40C66FF867C}">
                  <a14:compatExt spid="_x0000_s38936"/>
                </a:ext>
                <a:ext uri="{FF2B5EF4-FFF2-40B4-BE49-F238E27FC236}">
                  <a16:creationId xmlns:a16="http://schemas.microsoft.com/office/drawing/2014/main" id="{00000000-0008-0000-1100-000018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30</xdr:row>
          <xdr:rowOff>0</xdr:rowOff>
        </xdr:from>
        <xdr:to>
          <xdr:col>1</xdr:col>
          <xdr:colOff>333375</xdr:colOff>
          <xdr:row>31</xdr:row>
          <xdr:rowOff>0</xdr:rowOff>
        </xdr:to>
        <xdr:sp macro="" textlink="">
          <xdr:nvSpPr>
            <xdr:cNvPr id="38937" name="Check Box 25" hidden="1">
              <a:extLst>
                <a:ext uri="{63B3BB69-23CF-44E3-9099-C40C66FF867C}">
                  <a14:compatExt spid="_x0000_s38937"/>
                </a:ext>
                <a:ext uri="{FF2B5EF4-FFF2-40B4-BE49-F238E27FC236}">
                  <a16:creationId xmlns:a16="http://schemas.microsoft.com/office/drawing/2014/main" id="{00000000-0008-0000-1100-000019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0</xdr:rowOff>
        </xdr:from>
        <xdr:to>
          <xdr:col>1</xdr:col>
          <xdr:colOff>333375</xdr:colOff>
          <xdr:row>32</xdr:row>
          <xdr:rowOff>0</xdr:rowOff>
        </xdr:to>
        <xdr:sp macro="" textlink="">
          <xdr:nvSpPr>
            <xdr:cNvPr id="38938" name="Check Box 26" hidden="1">
              <a:extLst>
                <a:ext uri="{63B3BB69-23CF-44E3-9099-C40C66FF867C}">
                  <a14:compatExt spid="_x0000_s38938"/>
                </a:ext>
                <a:ext uri="{FF2B5EF4-FFF2-40B4-BE49-F238E27FC236}">
                  <a16:creationId xmlns:a16="http://schemas.microsoft.com/office/drawing/2014/main" id="{00000000-0008-0000-1100-00001A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xdr:row>
          <xdr:rowOff>0</xdr:rowOff>
        </xdr:from>
        <xdr:to>
          <xdr:col>1</xdr:col>
          <xdr:colOff>333375</xdr:colOff>
          <xdr:row>33</xdr:row>
          <xdr:rowOff>0</xdr:rowOff>
        </xdr:to>
        <xdr:sp macro="" textlink="">
          <xdr:nvSpPr>
            <xdr:cNvPr id="38939" name="Check Box 27" hidden="1">
              <a:extLst>
                <a:ext uri="{63B3BB69-23CF-44E3-9099-C40C66FF867C}">
                  <a14:compatExt spid="_x0000_s38939"/>
                </a:ext>
                <a:ext uri="{FF2B5EF4-FFF2-40B4-BE49-F238E27FC236}">
                  <a16:creationId xmlns:a16="http://schemas.microsoft.com/office/drawing/2014/main" id="{00000000-0008-0000-1100-00001B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xdr:row>
          <xdr:rowOff>171450</xdr:rowOff>
        </xdr:from>
        <xdr:to>
          <xdr:col>1</xdr:col>
          <xdr:colOff>333375</xdr:colOff>
          <xdr:row>33</xdr:row>
          <xdr:rowOff>171450</xdr:rowOff>
        </xdr:to>
        <xdr:sp macro="" textlink="">
          <xdr:nvSpPr>
            <xdr:cNvPr id="38940" name="Check Box 28" hidden="1">
              <a:extLst>
                <a:ext uri="{63B3BB69-23CF-44E3-9099-C40C66FF867C}">
                  <a14:compatExt spid="_x0000_s38940"/>
                </a:ext>
                <a:ext uri="{FF2B5EF4-FFF2-40B4-BE49-F238E27FC236}">
                  <a16:creationId xmlns:a16="http://schemas.microsoft.com/office/drawing/2014/main" id="{00000000-0008-0000-1100-00001C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5</xdr:row>
          <xdr:rowOff>0</xdr:rowOff>
        </xdr:from>
        <xdr:to>
          <xdr:col>1</xdr:col>
          <xdr:colOff>333375</xdr:colOff>
          <xdr:row>6</xdr:row>
          <xdr:rowOff>0</xdr:rowOff>
        </xdr:to>
        <xdr:sp macro="" textlink="">
          <xdr:nvSpPr>
            <xdr:cNvPr id="38941" name="Check Box 29" hidden="1">
              <a:extLst>
                <a:ext uri="{63B3BB69-23CF-44E3-9099-C40C66FF867C}">
                  <a14:compatExt spid="_x0000_s38941"/>
                </a:ext>
                <a:ext uri="{FF2B5EF4-FFF2-40B4-BE49-F238E27FC236}">
                  <a16:creationId xmlns:a16="http://schemas.microsoft.com/office/drawing/2014/main" id="{00000000-0008-0000-1100-00001D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257737</xdr:colOff>
      <xdr:row>45</xdr:row>
      <xdr:rowOff>123264</xdr:rowOff>
    </xdr:from>
    <xdr:to>
      <xdr:col>11</xdr:col>
      <xdr:colOff>267103</xdr:colOff>
      <xdr:row>61</xdr:row>
      <xdr:rowOff>38902</xdr:rowOff>
    </xdr:to>
    <xdr:graphicFrame macro="">
      <xdr:nvGraphicFramePr>
        <xdr:cNvPr id="33" name="Chart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336177</xdr:colOff>
      <xdr:row>45</xdr:row>
      <xdr:rowOff>123264</xdr:rowOff>
    </xdr:from>
    <xdr:to>
      <xdr:col>6</xdr:col>
      <xdr:colOff>110220</xdr:colOff>
      <xdr:row>61</xdr:row>
      <xdr:rowOff>38902</xdr:rowOff>
    </xdr:to>
    <xdr:graphicFrame macro="">
      <xdr:nvGraphicFramePr>
        <xdr:cNvPr id="34" name="Chart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33618</xdr:colOff>
      <xdr:row>45</xdr:row>
      <xdr:rowOff>123264</xdr:rowOff>
    </xdr:from>
    <xdr:to>
      <xdr:col>15</xdr:col>
      <xdr:colOff>681719</xdr:colOff>
      <xdr:row>61</xdr:row>
      <xdr:rowOff>38902</xdr:rowOff>
    </xdr:to>
    <xdr:graphicFrame macro="">
      <xdr:nvGraphicFramePr>
        <xdr:cNvPr id="35" name="Chart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8</xdr:row>
          <xdr:rowOff>180975</xdr:rowOff>
        </xdr:from>
        <xdr:to>
          <xdr:col>1</xdr:col>
          <xdr:colOff>333375</xdr:colOff>
          <xdr:row>9</xdr:row>
          <xdr:rowOff>180975</xdr:rowOff>
        </xdr:to>
        <xdr:sp macro="" textlink="">
          <xdr:nvSpPr>
            <xdr:cNvPr id="38942" name="Check Box 30" hidden="1">
              <a:extLst>
                <a:ext uri="{63B3BB69-23CF-44E3-9099-C40C66FF867C}">
                  <a14:compatExt spid="_x0000_s38942"/>
                </a:ext>
                <a:ext uri="{FF2B5EF4-FFF2-40B4-BE49-F238E27FC236}">
                  <a16:creationId xmlns:a16="http://schemas.microsoft.com/office/drawing/2014/main" id="{00000000-0008-0000-1100-00001E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11</xdr:row>
          <xdr:rowOff>171450</xdr:rowOff>
        </xdr:from>
        <xdr:to>
          <xdr:col>1</xdr:col>
          <xdr:colOff>333375</xdr:colOff>
          <xdr:row>12</xdr:row>
          <xdr:rowOff>180975</xdr:rowOff>
        </xdr:to>
        <xdr:sp macro="" textlink="">
          <xdr:nvSpPr>
            <xdr:cNvPr id="38943" name="Check Box 31" hidden="1">
              <a:extLst>
                <a:ext uri="{63B3BB69-23CF-44E3-9099-C40C66FF867C}">
                  <a14:compatExt spid="_x0000_s38943"/>
                </a:ext>
                <a:ext uri="{FF2B5EF4-FFF2-40B4-BE49-F238E27FC236}">
                  <a16:creationId xmlns:a16="http://schemas.microsoft.com/office/drawing/2014/main" id="{00000000-0008-0000-1100-00001F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33</xdr:row>
          <xdr:rowOff>180975</xdr:rowOff>
        </xdr:from>
        <xdr:to>
          <xdr:col>1</xdr:col>
          <xdr:colOff>333375</xdr:colOff>
          <xdr:row>34</xdr:row>
          <xdr:rowOff>180975</xdr:rowOff>
        </xdr:to>
        <xdr:sp macro="" textlink="">
          <xdr:nvSpPr>
            <xdr:cNvPr id="38944" name="Check Box 32" hidden="1">
              <a:extLst>
                <a:ext uri="{63B3BB69-23CF-44E3-9099-C40C66FF867C}">
                  <a14:compatExt spid="_x0000_s38944"/>
                </a:ext>
                <a:ext uri="{FF2B5EF4-FFF2-40B4-BE49-F238E27FC236}">
                  <a16:creationId xmlns:a16="http://schemas.microsoft.com/office/drawing/2014/main" id="{00000000-0008-0000-1100-000020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34</xdr:row>
          <xdr:rowOff>180975</xdr:rowOff>
        </xdr:from>
        <xdr:to>
          <xdr:col>1</xdr:col>
          <xdr:colOff>333375</xdr:colOff>
          <xdr:row>35</xdr:row>
          <xdr:rowOff>180975</xdr:rowOff>
        </xdr:to>
        <xdr:sp macro="" textlink="">
          <xdr:nvSpPr>
            <xdr:cNvPr id="38945" name="Check Box 33" hidden="1">
              <a:extLst>
                <a:ext uri="{63B3BB69-23CF-44E3-9099-C40C66FF867C}">
                  <a14:compatExt spid="_x0000_s38945"/>
                </a:ext>
                <a:ext uri="{FF2B5EF4-FFF2-40B4-BE49-F238E27FC236}">
                  <a16:creationId xmlns:a16="http://schemas.microsoft.com/office/drawing/2014/main" id="{00000000-0008-0000-1100-000021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12</xdr:row>
          <xdr:rowOff>161925</xdr:rowOff>
        </xdr:from>
        <xdr:to>
          <xdr:col>1</xdr:col>
          <xdr:colOff>333375</xdr:colOff>
          <xdr:row>13</xdr:row>
          <xdr:rowOff>171450</xdr:rowOff>
        </xdr:to>
        <xdr:sp macro="" textlink="">
          <xdr:nvSpPr>
            <xdr:cNvPr id="38946" name="Check Box 34" hidden="1">
              <a:extLst>
                <a:ext uri="{63B3BB69-23CF-44E3-9099-C40C66FF867C}">
                  <a14:compatExt spid="_x0000_s38946"/>
                </a:ext>
                <a:ext uri="{FF2B5EF4-FFF2-40B4-BE49-F238E27FC236}">
                  <a16:creationId xmlns:a16="http://schemas.microsoft.com/office/drawing/2014/main" id="{00000000-0008-0000-1100-000022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35</xdr:row>
          <xdr:rowOff>180975</xdr:rowOff>
        </xdr:from>
        <xdr:to>
          <xdr:col>1</xdr:col>
          <xdr:colOff>323850</xdr:colOff>
          <xdr:row>36</xdr:row>
          <xdr:rowOff>180975</xdr:rowOff>
        </xdr:to>
        <xdr:sp macro="" textlink="">
          <xdr:nvSpPr>
            <xdr:cNvPr id="38947" name="Check Box 35" hidden="1">
              <a:extLst>
                <a:ext uri="{63B3BB69-23CF-44E3-9099-C40C66FF867C}">
                  <a14:compatExt spid="_x0000_s38947"/>
                </a:ext>
                <a:ext uri="{FF2B5EF4-FFF2-40B4-BE49-F238E27FC236}">
                  <a16:creationId xmlns:a16="http://schemas.microsoft.com/office/drawing/2014/main" id="{00000000-0008-0000-1100-000023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0</xdr:rowOff>
        </xdr:from>
        <xdr:to>
          <xdr:col>1</xdr:col>
          <xdr:colOff>342900</xdr:colOff>
          <xdr:row>4</xdr:row>
          <xdr:rowOff>0</xdr:rowOff>
        </xdr:to>
        <xdr:sp macro="" textlink="">
          <xdr:nvSpPr>
            <xdr:cNvPr id="40961" name="Case à cocher 1" hidden="1">
              <a:extLst>
                <a:ext uri="{63B3BB69-23CF-44E3-9099-C40C66FF867C}">
                  <a14:compatExt spid="_x0000_s40961"/>
                </a:ext>
                <a:ext uri="{FF2B5EF4-FFF2-40B4-BE49-F238E27FC236}">
                  <a16:creationId xmlns:a16="http://schemas.microsoft.com/office/drawing/2014/main" id="{00000000-0008-0000-1200-00000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xdr:row>
          <xdr:rowOff>9525</xdr:rowOff>
        </xdr:from>
        <xdr:to>
          <xdr:col>1</xdr:col>
          <xdr:colOff>333375</xdr:colOff>
          <xdr:row>4</xdr:row>
          <xdr:rowOff>9525</xdr:rowOff>
        </xdr:to>
        <xdr:sp macro="" textlink="">
          <xdr:nvSpPr>
            <xdr:cNvPr id="40962" name="Case à cocher 2" hidden="1">
              <a:extLst>
                <a:ext uri="{63B3BB69-23CF-44E3-9099-C40C66FF867C}">
                  <a14:compatExt spid="_x0000_s40962"/>
                </a:ext>
                <a:ext uri="{FF2B5EF4-FFF2-40B4-BE49-F238E27FC236}">
                  <a16:creationId xmlns:a16="http://schemas.microsoft.com/office/drawing/2014/main" id="{00000000-0008-0000-1200-00000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7</xdr:row>
          <xdr:rowOff>0</xdr:rowOff>
        </xdr:from>
        <xdr:to>
          <xdr:col>1</xdr:col>
          <xdr:colOff>333375</xdr:colOff>
          <xdr:row>8</xdr:row>
          <xdr:rowOff>0</xdr:rowOff>
        </xdr:to>
        <xdr:sp macro="" textlink="">
          <xdr:nvSpPr>
            <xdr:cNvPr id="40963" name="Case à cocher 4" hidden="1">
              <a:extLst>
                <a:ext uri="{63B3BB69-23CF-44E3-9099-C40C66FF867C}">
                  <a14:compatExt spid="_x0000_s40963"/>
                </a:ext>
                <a:ext uri="{FF2B5EF4-FFF2-40B4-BE49-F238E27FC236}">
                  <a16:creationId xmlns:a16="http://schemas.microsoft.com/office/drawing/2014/main" id="{00000000-0008-0000-1200-00000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8</xdr:row>
          <xdr:rowOff>9525</xdr:rowOff>
        </xdr:from>
        <xdr:to>
          <xdr:col>1</xdr:col>
          <xdr:colOff>333375</xdr:colOff>
          <xdr:row>9</xdr:row>
          <xdr:rowOff>9525</xdr:rowOff>
        </xdr:to>
        <xdr:sp macro="" textlink="">
          <xdr:nvSpPr>
            <xdr:cNvPr id="40964" name="Case à cocher 5" hidden="1">
              <a:extLst>
                <a:ext uri="{63B3BB69-23CF-44E3-9099-C40C66FF867C}">
                  <a14:compatExt spid="_x0000_s40964"/>
                </a:ext>
                <a:ext uri="{FF2B5EF4-FFF2-40B4-BE49-F238E27FC236}">
                  <a16:creationId xmlns:a16="http://schemas.microsoft.com/office/drawing/2014/main" id="{00000000-0008-0000-1200-00000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28</xdr:row>
          <xdr:rowOff>190500</xdr:rowOff>
        </xdr:from>
        <xdr:to>
          <xdr:col>1</xdr:col>
          <xdr:colOff>333375</xdr:colOff>
          <xdr:row>30</xdr:row>
          <xdr:rowOff>0</xdr:rowOff>
        </xdr:to>
        <xdr:sp macro="" textlink="">
          <xdr:nvSpPr>
            <xdr:cNvPr id="40965" name="Case à cocher 6" hidden="1">
              <a:extLst>
                <a:ext uri="{63B3BB69-23CF-44E3-9099-C40C66FF867C}">
                  <a14:compatExt spid="_x0000_s40965"/>
                </a:ext>
                <a:ext uri="{FF2B5EF4-FFF2-40B4-BE49-F238E27FC236}">
                  <a16:creationId xmlns:a16="http://schemas.microsoft.com/office/drawing/2014/main" id="{00000000-0008-0000-1200-00000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14</xdr:row>
          <xdr:rowOff>19050</xdr:rowOff>
        </xdr:from>
        <xdr:to>
          <xdr:col>1</xdr:col>
          <xdr:colOff>333375</xdr:colOff>
          <xdr:row>15</xdr:row>
          <xdr:rowOff>19050</xdr:rowOff>
        </xdr:to>
        <xdr:sp macro="" textlink="">
          <xdr:nvSpPr>
            <xdr:cNvPr id="40966" name="Case à cocher 7" hidden="1">
              <a:extLst>
                <a:ext uri="{63B3BB69-23CF-44E3-9099-C40C66FF867C}">
                  <a14:compatExt spid="_x0000_s40966"/>
                </a:ext>
                <a:ext uri="{FF2B5EF4-FFF2-40B4-BE49-F238E27FC236}">
                  <a16:creationId xmlns:a16="http://schemas.microsoft.com/office/drawing/2014/main" id="{00000000-0008-0000-1200-00000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15</xdr:row>
          <xdr:rowOff>9525</xdr:rowOff>
        </xdr:from>
        <xdr:to>
          <xdr:col>1</xdr:col>
          <xdr:colOff>333375</xdr:colOff>
          <xdr:row>16</xdr:row>
          <xdr:rowOff>9525</xdr:rowOff>
        </xdr:to>
        <xdr:sp macro="" textlink="">
          <xdr:nvSpPr>
            <xdr:cNvPr id="40967" name="Case à cocher 8" hidden="1">
              <a:extLst>
                <a:ext uri="{63B3BB69-23CF-44E3-9099-C40C66FF867C}">
                  <a14:compatExt spid="_x0000_s40967"/>
                </a:ext>
                <a:ext uri="{FF2B5EF4-FFF2-40B4-BE49-F238E27FC236}">
                  <a16:creationId xmlns:a16="http://schemas.microsoft.com/office/drawing/2014/main" id="{00000000-0008-0000-1200-00000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16</xdr:row>
          <xdr:rowOff>9525</xdr:rowOff>
        </xdr:from>
        <xdr:to>
          <xdr:col>1</xdr:col>
          <xdr:colOff>333375</xdr:colOff>
          <xdr:row>17</xdr:row>
          <xdr:rowOff>9525</xdr:rowOff>
        </xdr:to>
        <xdr:sp macro="" textlink="">
          <xdr:nvSpPr>
            <xdr:cNvPr id="40968" name="Case à cocher 9" hidden="1">
              <a:extLst>
                <a:ext uri="{63B3BB69-23CF-44E3-9099-C40C66FF867C}">
                  <a14:compatExt spid="_x0000_s40968"/>
                </a:ext>
                <a:ext uri="{FF2B5EF4-FFF2-40B4-BE49-F238E27FC236}">
                  <a16:creationId xmlns:a16="http://schemas.microsoft.com/office/drawing/2014/main" id="{00000000-0008-0000-1200-00000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16</xdr:row>
          <xdr:rowOff>171450</xdr:rowOff>
        </xdr:from>
        <xdr:to>
          <xdr:col>1</xdr:col>
          <xdr:colOff>333375</xdr:colOff>
          <xdr:row>17</xdr:row>
          <xdr:rowOff>171450</xdr:rowOff>
        </xdr:to>
        <xdr:sp macro="" textlink="">
          <xdr:nvSpPr>
            <xdr:cNvPr id="40969" name="Case à cocher 10" hidden="1">
              <a:extLst>
                <a:ext uri="{63B3BB69-23CF-44E3-9099-C40C66FF867C}">
                  <a14:compatExt spid="_x0000_s40969"/>
                </a:ext>
                <a:ext uri="{FF2B5EF4-FFF2-40B4-BE49-F238E27FC236}">
                  <a16:creationId xmlns:a16="http://schemas.microsoft.com/office/drawing/2014/main" id="{00000000-0008-0000-1200-00000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17</xdr:row>
          <xdr:rowOff>171450</xdr:rowOff>
        </xdr:from>
        <xdr:to>
          <xdr:col>1</xdr:col>
          <xdr:colOff>333375</xdr:colOff>
          <xdr:row>18</xdr:row>
          <xdr:rowOff>171450</xdr:rowOff>
        </xdr:to>
        <xdr:sp macro="" textlink="">
          <xdr:nvSpPr>
            <xdr:cNvPr id="40970" name="Case à cocher 11" hidden="1">
              <a:extLst>
                <a:ext uri="{63B3BB69-23CF-44E3-9099-C40C66FF867C}">
                  <a14:compatExt spid="_x0000_s40970"/>
                </a:ext>
                <a:ext uri="{FF2B5EF4-FFF2-40B4-BE49-F238E27FC236}">
                  <a16:creationId xmlns:a16="http://schemas.microsoft.com/office/drawing/2014/main" id="{00000000-0008-0000-1200-00000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19</xdr:row>
          <xdr:rowOff>180975</xdr:rowOff>
        </xdr:from>
        <xdr:to>
          <xdr:col>1</xdr:col>
          <xdr:colOff>333375</xdr:colOff>
          <xdr:row>20</xdr:row>
          <xdr:rowOff>180975</xdr:rowOff>
        </xdr:to>
        <xdr:sp macro="" textlink="">
          <xdr:nvSpPr>
            <xdr:cNvPr id="40971" name="Check Box 11" hidden="1">
              <a:extLst>
                <a:ext uri="{63B3BB69-23CF-44E3-9099-C40C66FF867C}">
                  <a14:compatExt spid="_x0000_s40971"/>
                </a:ext>
                <a:ext uri="{FF2B5EF4-FFF2-40B4-BE49-F238E27FC236}">
                  <a16:creationId xmlns:a16="http://schemas.microsoft.com/office/drawing/2014/main" id="{00000000-0008-0000-1200-00000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642738</xdr:colOff>
      <xdr:row>0</xdr:row>
      <xdr:rowOff>35778</xdr:rowOff>
    </xdr:from>
    <xdr:to>
      <xdr:col>19</xdr:col>
      <xdr:colOff>561095</xdr:colOff>
      <xdr:row>20</xdr:row>
      <xdr:rowOff>88846</xdr:rowOff>
    </xdr:to>
    <xdr:graphicFrame macro="">
      <xdr:nvGraphicFramePr>
        <xdr:cNvPr id="13" name="Chart 1">
          <a:extLst>
            <a:ext uri="{FF2B5EF4-FFF2-40B4-BE49-F238E27FC236}">
              <a16:creationId xmlns:a16="http://schemas.microsoft.com/office/drawing/2014/main" id="{00000000-0008-0000-1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10</xdr:row>
          <xdr:rowOff>180975</xdr:rowOff>
        </xdr:from>
        <xdr:to>
          <xdr:col>1</xdr:col>
          <xdr:colOff>333375</xdr:colOff>
          <xdr:row>12</xdr:row>
          <xdr:rowOff>0</xdr:rowOff>
        </xdr:to>
        <xdr:sp macro="" textlink="">
          <xdr:nvSpPr>
            <xdr:cNvPr id="40972" name="Check Box 13" hidden="1">
              <a:extLst>
                <a:ext uri="{63B3BB69-23CF-44E3-9099-C40C66FF867C}">
                  <a14:compatExt spid="_x0000_s40972"/>
                </a:ext>
                <a:ext uri="{FF2B5EF4-FFF2-40B4-BE49-F238E27FC236}">
                  <a16:creationId xmlns:a16="http://schemas.microsoft.com/office/drawing/2014/main" id="{00000000-0008-0000-1200-00000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20</xdr:row>
          <xdr:rowOff>180975</xdr:rowOff>
        </xdr:from>
        <xdr:to>
          <xdr:col>1</xdr:col>
          <xdr:colOff>333375</xdr:colOff>
          <xdr:row>22</xdr:row>
          <xdr:rowOff>0</xdr:rowOff>
        </xdr:to>
        <xdr:sp macro="" textlink="">
          <xdr:nvSpPr>
            <xdr:cNvPr id="40973" name="Check Box 14" hidden="1">
              <a:extLst>
                <a:ext uri="{63B3BB69-23CF-44E3-9099-C40C66FF867C}">
                  <a14:compatExt spid="_x0000_s40973"/>
                </a:ext>
                <a:ext uri="{FF2B5EF4-FFF2-40B4-BE49-F238E27FC236}">
                  <a16:creationId xmlns:a16="http://schemas.microsoft.com/office/drawing/2014/main" id="{00000000-0008-0000-1200-00000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6</xdr:row>
          <xdr:rowOff>0</xdr:rowOff>
        </xdr:from>
        <xdr:to>
          <xdr:col>1</xdr:col>
          <xdr:colOff>333375</xdr:colOff>
          <xdr:row>7</xdr:row>
          <xdr:rowOff>0</xdr:rowOff>
        </xdr:to>
        <xdr:sp macro="" textlink="">
          <xdr:nvSpPr>
            <xdr:cNvPr id="40974" name="Check Box 15" hidden="1">
              <a:extLst>
                <a:ext uri="{63B3BB69-23CF-44E3-9099-C40C66FF867C}">
                  <a14:compatExt spid="_x0000_s40974"/>
                </a:ext>
                <a:ext uri="{FF2B5EF4-FFF2-40B4-BE49-F238E27FC236}">
                  <a16:creationId xmlns:a16="http://schemas.microsoft.com/office/drawing/2014/main" id="{00000000-0008-0000-1200-00000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22</xdr:row>
          <xdr:rowOff>0</xdr:rowOff>
        </xdr:from>
        <xdr:to>
          <xdr:col>1</xdr:col>
          <xdr:colOff>333375</xdr:colOff>
          <xdr:row>23</xdr:row>
          <xdr:rowOff>9525</xdr:rowOff>
        </xdr:to>
        <xdr:sp macro="" textlink="">
          <xdr:nvSpPr>
            <xdr:cNvPr id="40975" name="Check Box 16" hidden="1">
              <a:extLst>
                <a:ext uri="{63B3BB69-23CF-44E3-9099-C40C66FF867C}">
                  <a14:compatExt spid="_x0000_s40975"/>
                </a:ext>
                <a:ext uri="{FF2B5EF4-FFF2-40B4-BE49-F238E27FC236}">
                  <a16:creationId xmlns:a16="http://schemas.microsoft.com/office/drawing/2014/main" id="{00000000-0008-0000-1200-00000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22</xdr:row>
          <xdr:rowOff>180975</xdr:rowOff>
        </xdr:from>
        <xdr:to>
          <xdr:col>1</xdr:col>
          <xdr:colOff>333375</xdr:colOff>
          <xdr:row>24</xdr:row>
          <xdr:rowOff>0</xdr:rowOff>
        </xdr:to>
        <xdr:sp macro="" textlink="">
          <xdr:nvSpPr>
            <xdr:cNvPr id="40976" name="Check Box 17" hidden="1">
              <a:extLst>
                <a:ext uri="{63B3BB69-23CF-44E3-9099-C40C66FF867C}">
                  <a14:compatExt spid="_x0000_s40976"/>
                </a:ext>
                <a:ext uri="{FF2B5EF4-FFF2-40B4-BE49-F238E27FC236}">
                  <a16:creationId xmlns:a16="http://schemas.microsoft.com/office/drawing/2014/main" id="{00000000-0008-0000-1200-00001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24</xdr:row>
          <xdr:rowOff>0</xdr:rowOff>
        </xdr:from>
        <xdr:to>
          <xdr:col>1</xdr:col>
          <xdr:colOff>333375</xdr:colOff>
          <xdr:row>25</xdr:row>
          <xdr:rowOff>0</xdr:rowOff>
        </xdr:to>
        <xdr:sp macro="" textlink="">
          <xdr:nvSpPr>
            <xdr:cNvPr id="40977" name="Check Box 18" hidden="1">
              <a:extLst>
                <a:ext uri="{63B3BB69-23CF-44E3-9099-C40C66FF867C}">
                  <a14:compatExt spid="_x0000_s40977"/>
                </a:ext>
                <a:ext uri="{FF2B5EF4-FFF2-40B4-BE49-F238E27FC236}">
                  <a16:creationId xmlns:a16="http://schemas.microsoft.com/office/drawing/2014/main" id="{00000000-0008-0000-1200-00001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25</xdr:row>
          <xdr:rowOff>0</xdr:rowOff>
        </xdr:from>
        <xdr:to>
          <xdr:col>1</xdr:col>
          <xdr:colOff>333375</xdr:colOff>
          <xdr:row>26</xdr:row>
          <xdr:rowOff>0</xdr:rowOff>
        </xdr:to>
        <xdr:sp macro="" textlink="">
          <xdr:nvSpPr>
            <xdr:cNvPr id="40978" name="Check Box 19" hidden="1">
              <a:extLst>
                <a:ext uri="{63B3BB69-23CF-44E3-9099-C40C66FF867C}">
                  <a14:compatExt spid="_x0000_s40978"/>
                </a:ext>
                <a:ext uri="{FF2B5EF4-FFF2-40B4-BE49-F238E27FC236}">
                  <a16:creationId xmlns:a16="http://schemas.microsoft.com/office/drawing/2014/main" id="{00000000-0008-0000-1200-00001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20</xdr:row>
      <xdr:rowOff>152396</xdr:rowOff>
    </xdr:from>
    <xdr:to>
      <xdr:col>20</xdr:col>
      <xdr:colOff>145676</xdr:colOff>
      <xdr:row>34</xdr:row>
      <xdr:rowOff>179293</xdr:rowOff>
    </xdr:to>
    <xdr:graphicFrame macro="">
      <xdr:nvGraphicFramePr>
        <xdr:cNvPr id="21" name="Chart 20">
          <a:extLst>
            <a:ext uri="{FF2B5EF4-FFF2-40B4-BE49-F238E27FC236}">
              <a16:creationId xmlns:a16="http://schemas.microsoft.com/office/drawing/2014/main" id="{00000000-0008-0000-1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26</xdr:row>
          <xdr:rowOff>9525</xdr:rowOff>
        </xdr:from>
        <xdr:to>
          <xdr:col>1</xdr:col>
          <xdr:colOff>333375</xdr:colOff>
          <xdr:row>27</xdr:row>
          <xdr:rowOff>9525</xdr:rowOff>
        </xdr:to>
        <xdr:sp macro="" textlink="">
          <xdr:nvSpPr>
            <xdr:cNvPr id="40979" name="Check Box 20" hidden="1">
              <a:extLst>
                <a:ext uri="{63B3BB69-23CF-44E3-9099-C40C66FF867C}">
                  <a14:compatExt spid="_x0000_s40979"/>
                </a:ext>
                <a:ext uri="{FF2B5EF4-FFF2-40B4-BE49-F238E27FC236}">
                  <a16:creationId xmlns:a16="http://schemas.microsoft.com/office/drawing/2014/main" id="{00000000-0008-0000-1200-00001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27</xdr:row>
          <xdr:rowOff>9525</xdr:rowOff>
        </xdr:from>
        <xdr:to>
          <xdr:col>1</xdr:col>
          <xdr:colOff>333375</xdr:colOff>
          <xdr:row>28</xdr:row>
          <xdr:rowOff>9525</xdr:rowOff>
        </xdr:to>
        <xdr:sp macro="" textlink="">
          <xdr:nvSpPr>
            <xdr:cNvPr id="40980" name="Check Box 21" hidden="1">
              <a:extLst>
                <a:ext uri="{63B3BB69-23CF-44E3-9099-C40C66FF867C}">
                  <a14:compatExt spid="_x0000_s40980"/>
                </a:ext>
                <a:ext uri="{FF2B5EF4-FFF2-40B4-BE49-F238E27FC236}">
                  <a16:creationId xmlns:a16="http://schemas.microsoft.com/office/drawing/2014/main" id="{00000000-0008-0000-1200-00001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27</xdr:row>
          <xdr:rowOff>180975</xdr:rowOff>
        </xdr:from>
        <xdr:to>
          <xdr:col>1</xdr:col>
          <xdr:colOff>333375</xdr:colOff>
          <xdr:row>28</xdr:row>
          <xdr:rowOff>180975</xdr:rowOff>
        </xdr:to>
        <xdr:sp macro="" textlink="">
          <xdr:nvSpPr>
            <xdr:cNvPr id="40981" name="Check Box 21" hidden="1">
              <a:extLst>
                <a:ext uri="{63B3BB69-23CF-44E3-9099-C40C66FF867C}">
                  <a14:compatExt spid="_x0000_s40981"/>
                </a:ext>
                <a:ext uri="{FF2B5EF4-FFF2-40B4-BE49-F238E27FC236}">
                  <a16:creationId xmlns:a16="http://schemas.microsoft.com/office/drawing/2014/main" id="{00000000-0008-0000-1200-00001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xdr:row>
          <xdr:rowOff>0</xdr:rowOff>
        </xdr:from>
        <xdr:to>
          <xdr:col>1</xdr:col>
          <xdr:colOff>333375</xdr:colOff>
          <xdr:row>5</xdr:row>
          <xdr:rowOff>0</xdr:rowOff>
        </xdr:to>
        <xdr:sp macro="" textlink="">
          <xdr:nvSpPr>
            <xdr:cNvPr id="40982" name="Check Box 22" hidden="1">
              <a:extLst>
                <a:ext uri="{63B3BB69-23CF-44E3-9099-C40C66FF867C}">
                  <a14:compatExt spid="_x0000_s40982"/>
                </a:ext>
                <a:ext uri="{FF2B5EF4-FFF2-40B4-BE49-F238E27FC236}">
                  <a16:creationId xmlns:a16="http://schemas.microsoft.com/office/drawing/2014/main" id="{00000000-0008-0000-1200-00001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18</xdr:row>
          <xdr:rowOff>180975</xdr:rowOff>
        </xdr:from>
        <xdr:to>
          <xdr:col>1</xdr:col>
          <xdr:colOff>333375</xdr:colOff>
          <xdr:row>19</xdr:row>
          <xdr:rowOff>180975</xdr:rowOff>
        </xdr:to>
        <xdr:sp macro="" textlink="">
          <xdr:nvSpPr>
            <xdr:cNvPr id="40983" name="Check Box 23" hidden="1">
              <a:extLst>
                <a:ext uri="{63B3BB69-23CF-44E3-9099-C40C66FF867C}">
                  <a14:compatExt spid="_x0000_s40983"/>
                </a:ext>
                <a:ext uri="{FF2B5EF4-FFF2-40B4-BE49-F238E27FC236}">
                  <a16:creationId xmlns:a16="http://schemas.microsoft.com/office/drawing/2014/main" id="{00000000-0008-0000-1200-00001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9</xdr:row>
          <xdr:rowOff>152400</xdr:rowOff>
        </xdr:from>
        <xdr:to>
          <xdr:col>1</xdr:col>
          <xdr:colOff>333375</xdr:colOff>
          <xdr:row>10</xdr:row>
          <xdr:rowOff>152400</xdr:rowOff>
        </xdr:to>
        <xdr:sp macro="" textlink="">
          <xdr:nvSpPr>
            <xdr:cNvPr id="40984" name="Check Box 24" hidden="1">
              <a:extLst>
                <a:ext uri="{63B3BB69-23CF-44E3-9099-C40C66FF867C}">
                  <a14:compatExt spid="_x0000_s40984"/>
                </a:ext>
                <a:ext uri="{FF2B5EF4-FFF2-40B4-BE49-F238E27FC236}">
                  <a16:creationId xmlns:a16="http://schemas.microsoft.com/office/drawing/2014/main" id="{00000000-0008-0000-1200-00001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30</xdr:row>
          <xdr:rowOff>0</xdr:rowOff>
        </xdr:from>
        <xdr:to>
          <xdr:col>1</xdr:col>
          <xdr:colOff>333375</xdr:colOff>
          <xdr:row>31</xdr:row>
          <xdr:rowOff>0</xdr:rowOff>
        </xdr:to>
        <xdr:sp macro="" textlink="">
          <xdr:nvSpPr>
            <xdr:cNvPr id="40985" name="Check Box 25" hidden="1">
              <a:extLst>
                <a:ext uri="{63B3BB69-23CF-44E3-9099-C40C66FF867C}">
                  <a14:compatExt spid="_x0000_s40985"/>
                </a:ext>
                <a:ext uri="{FF2B5EF4-FFF2-40B4-BE49-F238E27FC236}">
                  <a16:creationId xmlns:a16="http://schemas.microsoft.com/office/drawing/2014/main" id="{00000000-0008-0000-1200-00001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0</xdr:rowOff>
        </xdr:from>
        <xdr:to>
          <xdr:col>1</xdr:col>
          <xdr:colOff>333375</xdr:colOff>
          <xdr:row>32</xdr:row>
          <xdr:rowOff>0</xdr:rowOff>
        </xdr:to>
        <xdr:sp macro="" textlink="">
          <xdr:nvSpPr>
            <xdr:cNvPr id="40986" name="Check Box 26" hidden="1">
              <a:extLst>
                <a:ext uri="{63B3BB69-23CF-44E3-9099-C40C66FF867C}">
                  <a14:compatExt spid="_x0000_s40986"/>
                </a:ext>
                <a:ext uri="{FF2B5EF4-FFF2-40B4-BE49-F238E27FC236}">
                  <a16:creationId xmlns:a16="http://schemas.microsoft.com/office/drawing/2014/main" id="{00000000-0008-0000-1200-00001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xdr:row>
          <xdr:rowOff>0</xdr:rowOff>
        </xdr:from>
        <xdr:to>
          <xdr:col>1</xdr:col>
          <xdr:colOff>333375</xdr:colOff>
          <xdr:row>33</xdr:row>
          <xdr:rowOff>0</xdr:rowOff>
        </xdr:to>
        <xdr:sp macro="" textlink="">
          <xdr:nvSpPr>
            <xdr:cNvPr id="40987" name="Check Box 27" hidden="1">
              <a:extLst>
                <a:ext uri="{63B3BB69-23CF-44E3-9099-C40C66FF867C}">
                  <a14:compatExt spid="_x0000_s40987"/>
                </a:ext>
                <a:ext uri="{FF2B5EF4-FFF2-40B4-BE49-F238E27FC236}">
                  <a16:creationId xmlns:a16="http://schemas.microsoft.com/office/drawing/2014/main" id="{00000000-0008-0000-1200-00001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xdr:row>
          <xdr:rowOff>171450</xdr:rowOff>
        </xdr:from>
        <xdr:to>
          <xdr:col>1</xdr:col>
          <xdr:colOff>333375</xdr:colOff>
          <xdr:row>33</xdr:row>
          <xdr:rowOff>171450</xdr:rowOff>
        </xdr:to>
        <xdr:sp macro="" textlink="">
          <xdr:nvSpPr>
            <xdr:cNvPr id="40988" name="Check Box 28" hidden="1">
              <a:extLst>
                <a:ext uri="{63B3BB69-23CF-44E3-9099-C40C66FF867C}">
                  <a14:compatExt spid="_x0000_s40988"/>
                </a:ext>
                <a:ext uri="{FF2B5EF4-FFF2-40B4-BE49-F238E27FC236}">
                  <a16:creationId xmlns:a16="http://schemas.microsoft.com/office/drawing/2014/main" id="{00000000-0008-0000-1200-00001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5</xdr:row>
          <xdr:rowOff>0</xdr:rowOff>
        </xdr:from>
        <xdr:to>
          <xdr:col>1</xdr:col>
          <xdr:colOff>333375</xdr:colOff>
          <xdr:row>6</xdr:row>
          <xdr:rowOff>0</xdr:rowOff>
        </xdr:to>
        <xdr:sp macro="" textlink="">
          <xdr:nvSpPr>
            <xdr:cNvPr id="40989" name="Check Box 29" hidden="1">
              <a:extLst>
                <a:ext uri="{63B3BB69-23CF-44E3-9099-C40C66FF867C}">
                  <a14:compatExt spid="_x0000_s40989"/>
                </a:ext>
                <a:ext uri="{FF2B5EF4-FFF2-40B4-BE49-F238E27FC236}">
                  <a16:creationId xmlns:a16="http://schemas.microsoft.com/office/drawing/2014/main" id="{00000000-0008-0000-1200-00001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257737</xdr:colOff>
      <xdr:row>45</xdr:row>
      <xdr:rowOff>123264</xdr:rowOff>
    </xdr:from>
    <xdr:to>
      <xdr:col>11</xdr:col>
      <xdr:colOff>267103</xdr:colOff>
      <xdr:row>61</xdr:row>
      <xdr:rowOff>38902</xdr:rowOff>
    </xdr:to>
    <xdr:graphicFrame macro="">
      <xdr:nvGraphicFramePr>
        <xdr:cNvPr id="33" name="Chart 32">
          <a:extLst>
            <a:ext uri="{FF2B5EF4-FFF2-40B4-BE49-F238E27FC236}">
              <a16:creationId xmlns:a16="http://schemas.microsoft.com/office/drawing/2014/main" id="{00000000-0008-0000-12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336177</xdr:colOff>
      <xdr:row>45</xdr:row>
      <xdr:rowOff>123264</xdr:rowOff>
    </xdr:from>
    <xdr:to>
      <xdr:col>6</xdr:col>
      <xdr:colOff>110220</xdr:colOff>
      <xdr:row>61</xdr:row>
      <xdr:rowOff>38902</xdr:rowOff>
    </xdr:to>
    <xdr:graphicFrame macro="">
      <xdr:nvGraphicFramePr>
        <xdr:cNvPr id="34" name="Chart 33">
          <a:extLst>
            <a:ext uri="{FF2B5EF4-FFF2-40B4-BE49-F238E27FC236}">
              <a16:creationId xmlns:a16="http://schemas.microsoft.com/office/drawing/2014/main" id="{00000000-0008-0000-12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33618</xdr:colOff>
      <xdr:row>45</xdr:row>
      <xdr:rowOff>123264</xdr:rowOff>
    </xdr:from>
    <xdr:to>
      <xdr:col>15</xdr:col>
      <xdr:colOff>681719</xdr:colOff>
      <xdr:row>61</xdr:row>
      <xdr:rowOff>38902</xdr:rowOff>
    </xdr:to>
    <xdr:graphicFrame macro="">
      <xdr:nvGraphicFramePr>
        <xdr:cNvPr id="35" name="Chart 34">
          <a:extLst>
            <a:ext uri="{FF2B5EF4-FFF2-40B4-BE49-F238E27FC236}">
              <a16:creationId xmlns:a16="http://schemas.microsoft.com/office/drawing/2014/main" id="{00000000-0008-0000-12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8</xdr:row>
          <xdr:rowOff>180975</xdr:rowOff>
        </xdr:from>
        <xdr:to>
          <xdr:col>1</xdr:col>
          <xdr:colOff>333375</xdr:colOff>
          <xdr:row>9</xdr:row>
          <xdr:rowOff>180975</xdr:rowOff>
        </xdr:to>
        <xdr:sp macro="" textlink="">
          <xdr:nvSpPr>
            <xdr:cNvPr id="40990" name="Check Box 30" hidden="1">
              <a:extLst>
                <a:ext uri="{63B3BB69-23CF-44E3-9099-C40C66FF867C}">
                  <a14:compatExt spid="_x0000_s40990"/>
                </a:ext>
                <a:ext uri="{FF2B5EF4-FFF2-40B4-BE49-F238E27FC236}">
                  <a16:creationId xmlns:a16="http://schemas.microsoft.com/office/drawing/2014/main" id="{00000000-0008-0000-1200-00001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11</xdr:row>
          <xdr:rowOff>171450</xdr:rowOff>
        </xdr:from>
        <xdr:to>
          <xdr:col>1</xdr:col>
          <xdr:colOff>333375</xdr:colOff>
          <xdr:row>12</xdr:row>
          <xdr:rowOff>180975</xdr:rowOff>
        </xdr:to>
        <xdr:sp macro="" textlink="">
          <xdr:nvSpPr>
            <xdr:cNvPr id="40991" name="Check Box 31" hidden="1">
              <a:extLst>
                <a:ext uri="{63B3BB69-23CF-44E3-9099-C40C66FF867C}">
                  <a14:compatExt spid="_x0000_s40991"/>
                </a:ext>
                <a:ext uri="{FF2B5EF4-FFF2-40B4-BE49-F238E27FC236}">
                  <a16:creationId xmlns:a16="http://schemas.microsoft.com/office/drawing/2014/main" id="{00000000-0008-0000-1200-00001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33</xdr:row>
          <xdr:rowOff>180975</xdr:rowOff>
        </xdr:from>
        <xdr:to>
          <xdr:col>1</xdr:col>
          <xdr:colOff>333375</xdr:colOff>
          <xdr:row>34</xdr:row>
          <xdr:rowOff>180975</xdr:rowOff>
        </xdr:to>
        <xdr:sp macro="" textlink="">
          <xdr:nvSpPr>
            <xdr:cNvPr id="40992" name="Check Box 32" hidden="1">
              <a:extLst>
                <a:ext uri="{63B3BB69-23CF-44E3-9099-C40C66FF867C}">
                  <a14:compatExt spid="_x0000_s40992"/>
                </a:ext>
                <a:ext uri="{FF2B5EF4-FFF2-40B4-BE49-F238E27FC236}">
                  <a16:creationId xmlns:a16="http://schemas.microsoft.com/office/drawing/2014/main" id="{00000000-0008-0000-1200-00002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34</xdr:row>
          <xdr:rowOff>180975</xdr:rowOff>
        </xdr:from>
        <xdr:to>
          <xdr:col>1</xdr:col>
          <xdr:colOff>333375</xdr:colOff>
          <xdr:row>35</xdr:row>
          <xdr:rowOff>180975</xdr:rowOff>
        </xdr:to>
        <xdr:sp macro="" textlink="">
          <xdr:nvSpPr>
            <xdr:cNvPr id="40993" name="Check Box 33" hidden="1">
              <a:extLst>
                <a:ext uri="{63B3BB69-23CF-44E3-9099-C40C66FF867C}">
                  <a14:compatExt spid="_x0000_s40993"/>
                </a:ext>
                <a:ext uri="{FF2B5EF4-FFF2-40B4-BE49-F238E27FC236}">
                  <a16:creationId xmlns:a16="http://schemas.microsoft.com/office/drawing/2014/main" id="{00000000-0008-0000-1200-00002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12</xdr:row>
          <xdr:rowOff>161925</xdr:rowOff>
        </xdr:from>
        <xdr:to>
          <xdr:col>1</xdr:col>
          <xdr:colOff>333375</xdr:colOff>
          <xdr:row>13</xdr:row>
          <xdr:rowOff>171450</xdr:rowOff>
        </xdr:to>
        <xdr:sp macro="" textlink="">
          <xdr:nvSpPr>
            <xdr:cNvPr id="40994" name="Check Box 34" hidden="1">
              <a:extLst>
                <a:ext uri="{63B3BB69-23CF-44E3-9099-C40C66FF867C}">
                  <a14:compatExt spid="_x0000_s40994"/>
                </a:ext>
                <a:ext uri="{FF2B5EF4-FFF2-40B4-BE49-F238E27FC236}">
                  <a16:creationId xmlns:a16="http://schemas.microsoft.com/office/drawing/2014/main" id="{00000000-0008-0000-1200-00002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35</xdr:row>
          <xdr:rowOff>180975</xdr:rowOff>
        </xdr:from>
        <xdr:to>
          <xdr:col>1</xdr:col>
          <xdr:colOff>323850</xdr:colOff>
          <xdr:row>36</xdr:row>
          <xdr:rowOff>180975</xdr:rowOff>
        </xdr:to>
        <xdr:sp macro="" textlink="">
          <xdr:nvSpPr>
            <xdr:cNvPr id="40995" name="Check Box 35" hidden="1">
              <a:extLst>
                <a:ext uri="{63B3BB69-23CF-44E3-9099-C40C66FF867C}">
                  <a14:compatExt spid="_x0000_s40995"/>
                </a:ext>
                <a:ext uri="{FF2B5EF4-FFF2-40B4-BE49-F238E27FC236}">
                  <a16:creationId xmlns:a16="http://schemas.microsoft.com/office/drawing/2014/main" id="{00000000-0008-0000-1200-00002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0</xdr:col>
      <xdr:colOff>771525</xdr:colOff>
      <xdr:row>1</xdr:row>
      <xdr:rowOff>9525</xdr:rowOff>
    </xdr:to>
    <xdr:pic>
      <xdr:nvPicPr>
        <xdr:cNvPr id="42" name="Picture 41">
          <a:extLst>
            <a:ext uri="{FF2B5EF4-FFF2-40B4-BE49-F238E27FC236}">
              <a16:creationId xmlns:a16="http://schemas.microsoft.com/office/drawing/2014/main" id="{00000000-0008-0000-1200-00002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0"/>
          <a:ext cx="7715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142875</xdr:colOff>
          <xdr:row>37</xdr:row>
          <xdr:rowOff>171450</xdr:rowOff>
        </xdr:from>
        <xdr:to>
          <xdr:col>1</xdr:col>
          <xdr:colOff>323850</xdr:colOff>
          <xdr:row>38</xdr:row>
          <xdr:rowOff>171450</xdr:rowOff>
        </xdr:to>
        <xdr:sp macro="" textlink="">
          <xdr:nvSpPr>
            <xdr:cNvPr id="40997" name="Check Box 37" hidden="1">
              <a:extLst>
                <a:ext uri="{63B3BB69-23CF-44E3-9099-C40C66FF867C}">
                  <a14:compatExt spid="_x0000_s40997"/>
                </a:ext>
                <a:ext uri="{FF2B5EF4-FFF2-40B4-BE49-F238E27FC236}">
                  <a16:creationId xmlns:a16="http://schemas.microsoft.com/office/drawing/2014/main" id="{00000000-0008-0000-1200-00002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36</xdr:row>
          <xdr:rowOff>180975</xdr:rowOff>
        </xdr:from>
        <xdr:to>
          <xdr:col>1</xdr:col>
          <xdr:colOff>342900</xdr:colOff>
          <xdr:row>37</xdr:row>
          <xdr:rowOff>180975</xdr:rowOff>
        </xdr:to>
        <xdr:sp macro="" textlink="">
          <xdr:nvSpPr>
            <xdr:cNvPr id="40998" name="Check Box 38" hidden="1">
              <a:extLst>
                <a:ext uri="{63B3BB69-23CF-44E3-9099-C40C66FF867C}">
                  <a14:compatExt spid="_x0000_s40998"/>
                </a:ext>
                <a:ext uri="{FF2B5EF4-FFF2-40B4-BE49-F238E27FC236}">
                  <a16:creationId xmlns:a16="http://schemas.microsoft.com/office/drawing/2014/main" id="{00000000-0008-0000-1200-00002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0</xdr:rowOff>
        </xdr:from>
        <xdr:to>
          <xdr:col>1</xdr:col>
          <xdr:colOff>342900</xdr:colOff>
          <xdr:row>4</xdr:row>
          <xdr:rowOff>0</xdr:rowOff>
        </xdr:to>
        <xdr:sp macro="" textlink="">
          <xdr:nvSpPr>
            <xdr:cNvPr id="41985" name="Case à cocher 1" hidden="1">
              <a:extLst>
                <a:ext uri="{63B3BB69-23CF-44E3-9099-C40C66FF867C}">
                  <a14:compatExt spid="_x0000_s41985"/>
                </a:ext>
                <a:ext uri="{FF2B5EF4-FFF2-40B4-BE49-F238E27FC236}">
                  <a16:creationId xmlns:a16="http://schemas.microsoft.com/office/drawing/2014/main" id="{00000000-0008-0000-1300-00000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xdr:row>
          <xdr:rowOff>9525</xdr:rowOff>
        </xdr:from>
        <xdr:to>
          <xdr:col>1</xdr:col>
          <xdr:colOff>333375</xdr:colOff>
          <xdr:row>4</xdr:row>
          <xdr:rowOff>9525</xdr:rowOff>
        </xdr:to>
        <xdr:sp macro="" textlink="">
          <xdr:nvSpPr>
            <xdr:cNvPr id="41986" name="Case à cocher 2" hidden="1">
              <a:extLst>
                <a:ext uri="{63B3BB69-23CF-44E3-9099-C40C66FF867C}">
                  <a14:compatExt spid="_x0000_s41986"/>
                </a:ext>
                <a:ext uri="{FF2B5EF4-FFF2-40B4-BE49-F238E27FC236}">
                  <a16:creationId xmlns:a16="http://schemas.microsoft.com/office/drawing/2014/main" id="{00000000-0008-0000-1300-00000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7</xdr:row>
          <xdr:rowOff>0</xdr:rowOff>
        </xdr:from>
        <xdr:to>
          <xdr:col>1</xdr:col>
          <xdr:colOff>333375</xdr:colOff>
          <xdr:row>8</xdr:row>
          <xdr:rowOff>0</xdr:rowOff>
        </xdr:to>
        <xdr:sp macro="" textlink="">
          <xdr:nvSpPr>
            <xdr:cNvPr id="41987" name="Case à cocher 4" hidden="1">
              <a:extLst>
                <a:ext uri="{63B3BB69-23CF-44E3-9099-C40C66FF867C}">
                  <a14:compatExt spid="_x0000_s41987"/>
                </a:ext>
                <a:ext uri="{FF2B5EF4-FFF2-40B4-BE49-F238E27FC236}">
                  <a16:creationId xmlns:a16="http://schemas.microsoft.com/office/drawing/2014/main" id="{00000000-0008-0000-1300-00000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8</xdr:row>
          <xdr:rowOff>9525</xdr:rowOff>
        </xdr:from>
        <xdr:to>
          <xdr:col>1</xdr:col>
          <xdr:colOff>333375</xdr:colOff>
          <xdr:row>9</xdr:row>
          <xdr:rowOff>9525</xdr:rowOff>
        </xdr:to>
        <xdr:sp macro="" textlink="">
          <xdr:nvSpPr>
            <xdr:cNvPr id="41988" name="Case à cocher 5" hidden="1">
              <a:extLst>
                <a:ext uri="{63B3BB69-23CF-44E3-9099-C40C66FF867C}">
                  <a14:compatExt spid="_x0000_s41988"/>
                </a:ext>
                <a:ext uri="{FF2B5EF4-FFF2-40B4-BE49-F238E27FC236}">
                  <a16:creationId xmlns:a16="http://schemas.microsoft.com/office/drawing/2014/main" id="{00000000-0008-0000-1300-00000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29</xdr:row>
          <xdr:rowOff>190500</xdr:rowOff>
        </xdr:from>
        <xdr:to>
          <xdr:col>1</xdr:col>
          <xdr:colOff>333375</xdr:colOff>
          <xdr:row>31</xdr:row>
          <xdr:rowOff>0</xdr:rowOff>
        </xdr:to>
        <xdr:sp macro="" textlink="">
          <xdr:nvSpPr>
            <xdr:cNvPr id="41989" name="Case à cocher 6" hidden="1">
              <a:extLst>
                <a:ext uri="{63B3BB69-23CF-44E3-9099-C40C66FF867C}">
                  <a14:compatExt spid="_x0000_s41989"/>
                </a:ext>
                <a:ext uri="{FF2B5EF4-FFF2-40B4-BE49-F238E27FC236}">
                  <a16:creationId xmlns:a16="http://schemas.microsoft.com/office/drawing/2014/main" id="{00000000-0008-0000-1300-00000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15</xdr:row>
          <xdr:rowOff>19050</xdr:rowOff>
        </xdr:from>
        <xdr:to>
          <xdr:col>1</xdr:col>
          <xdr:colOff>333375</xdr:colOff>
          <xdr:row>16</xdr:row>
          <xdr:rowOff>19050</xdr:rowOff>
        </xdr:to>
        <xdr:sp macro="" textlink="">
          <xdr:nvSpPr>
            <xdr:cNvPr id="41990" name="Case à cocher 7" hidden="1">
              <a:extLst>
                <a:ext uri="{63B3BB69-23CF-44E3-9099-C40C66FF867C}">
                  <a14:compatExt spid="_x0000_s41990"/>
                </a:ext>
                <a:ext uri="{FF2B5EF4-FFF2-40B4-BE49-F238E27FC236}">
                  <a16:creationId xmlns:a16="http://schemas.microsoft.com/office/drawing/2014/main" id="{00000000-0008-0000-1300-00000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16</xdr:row>
          <xdr:rowOff>9525</xdr:rowOff>
        </xdr:from>
        <xdr:to>
          <xdr:col>1</xdr:col>
          <xdr:colOff>333375</xdr:colOff>
          <xdr:row>17</xdr:row>
          <xdr:rowOff>9525</xdr:rowOff>
        </xdr:to>
        <xdr:sp macro="" textlink="">
          <xdr:nvSpPr>
            <xdr:cNvPr id="41991" name="Case à cocher 8" hidden="1">
              <a:extLst>
                <a:ext uri="{63B3BB69-23CF-44E3-9099-C40C66FF867C}">
                  <a14:compatExt spid="_x0000_s41991"/>
                </a:ext>
                <a:ext uri="{FF2B5EF4-FFF2-40B4-BE49-F238E27FC236}">
                  <a16:creationId xmlns:a16="http://schemas.microsoft.com/office/drawing/2014/main" id="{00000000-0008-0000-1300-00000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17</xdr:row>
          <xdr:rowOff>9525</xdr:rowOff>
        </xdr:from>
        <xdr:to>
          <xdr:col>1</xdr:col>
          <xdr:colOff>333375</xdr:colOff>
          <xdr:row>18</xdr:row>
          <xdr:rowOff>9525</xdr:rowOff>
        </xdr:to>
        <xdr:sp macro="" textlink="">
          <xdr:nvSpPr>
            <xdr:cNvPr id="41992" name="Case à cocher 9" hidden="1">
              <a:extLst>
                <a:ext uri="{63B3BB69-23CF-44E3-9099-C40C66FF867C}">
                  <a14:compatExt spid="_x0000_s41992"/>
                </a:ext>
                <a:ext uri="{FF2B5EF4-FFF2-40B4-BE49-F238E27FC236}">
                  <a16:creationId xmlns:a16="http://schemas.microsoft.com/office/drawing/2014/main" id="{00000000-0008-0000-1300-00000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17</xdr:row>
          <xdr:rowOff>171450</xdr:rowOff>
        </xdr:from>
        <xdr:to>
          <xdr:col>1</xdr:col>
          <xdr:colOff>333375</xdr:colOff>
          <xdr:row>18</xdr:row>
          <xdr:rowOff>171450</xdr:rowOff>
        </xdr:to>
        <xdr:sp macro="" textlink="">
          <xdr:nvSpPr>
            <xdr:cNvPr id="41993" name="Case à cocher 10" hidden="1">
              <a:extLst>
                <a:ext uri="{63B3BB69-23CF-44E3-9099-C40C66FF867C}">
                  <a14:compatExt spid="_x0000_s41993"/>
                </a:ext>
                <a:ext uri="{FF2B5EF4-FFF2-40B4-BE49-F238E27FC236}">
                  <a16:creationId xmlns:a16="http://schemas.microsoft.com/office/drawing/2014/main" id="{00000000-0008-0000-1300-00000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18</xdr:row>
          <xdr:rowOff>171450</xdr:rowOff>
        </xdr:from>
        <xdr:to>
          <xdr:col>1</xdr:col>
          <xdr:colOff>333375</xdr:colOff>
          <xdr:row>19</xdr:row>
          <xdr:rowOff>171450</xdr:rowOff>
        </xdr:to>
        <xdr:sp macro="" textlink="">
          <xdr:nvSpPr>
            <xdr:cNvPr id="41994" name="Case à cocher 11" hidden="1">
              <a:extLst>
                <a:ext uri="{63B3BB69-23CF-44E3-9099-C40C66FF867C}">
                  <a14:compatExt spid="_x0000_s41994"/>
                </a:ext>
                <a:ext uri="{FF2B5EF4-FFF2-40B4-BE49-F238E27FC236}">
                  <a16:creationId xmlns:a16="http://schemas.microsoft.com/office/drawing/2014/main" id="{00000000-0008-0000-1300-00000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20</xdr:row>
          <xdr:rowOff>180975</xdr:rowOff>
        </xdr:from>
        <xdr:to>
          <xdr:col>1</xdr:col>
          <xdr:colOff>333375</xdr:colOff>
          <xdr:row>21</xdr:row>
          <xdr:rowOff>180975</xdr:rowOff>
        </xdr:to>
        <xdr:sp macro="" textlink="">
          <xdr:nvSpPr>
            <xdr:cNvPr id="41995" name="Check Box 11" hidden="1">
              <a:extLst>
                <a:ext uri="{63B3BB69-23CF-44E3-9099-C40C66FF867C}">
                  <a14:compatExt spid="_x0000_s41995"/>
                </a:ext>
                <a:ext uri="{FF2B5EF4-FFF2-40B4-BE49-F238E27FC236}">
                  <a16:creationId xmlns:a16="http://schemas.microsoft.com/office/drawing/2014/main" id="{00000000-0008-0000-1300-00000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642738</xdr:colOff>
      <xdr:row>0</xdr:row>
      <xdr:rowOff>35778</xdr:rowOff>
    </xdr:from>
    <xdr:to>
      <xdr:col>19</xdr:col>
      <xdr:colOff>561095</xdr:colOff>
      <xdr:row>21</xdr:row>
      <xdr:rowOff>88846</xdr:rowOff>
    </xdr:to>
    <xdr:graphicFrame macro="">
      <xdr:nvGraphicFramePr>
        <xdr:cNvPr id="13" name="Chart 1">
          <a:extLst>
            <a:ext uri="{FF2B5EF4-FFF2-40B4-BE49-F238E27FC236}">
              <a16:creationId xmlns:a16="http://schemas.microsoft.com/office/drawing/2014/main" id="{00000000-0008-0000-1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11</xdr:row>
          <xdr:rowOff>180975</xdr:rowOff>
        </xdr:from>
        <xdr:to>
          <xdr:col>1</xdr:col>
          <xdr:colOff>333375</xdr:colOff>
          <xdr:row>13</xdr:row>
          <xdr:rowOff>0</xdr:rowOff>
        </xdr:to>
        <xdr:sp macro="" textlink="">
          <xdr:nvSpPr>
            <xdr:cNvPr id="41996" name="Check Box 13" hidden="1">
              <a:extLst>
                <a:ext uri="{63B3BB69-23CF-44E3-9099-C40C66FF867C}">
                  <a14:compatExt spid="_x0000_s41996"/>
                </a:ext>
                <a:ext uri="{FF2B5EF4-FFF2-40B4-BE49-F238E27FC236}">
                  <a16:creationId xmlns:a16="http://schemas.microsoft.com/office/drawing/2014/main" id="{00000000-0008-0000-1300-00000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21</xdr:row>
          <xdr:rowOff>180975</xdr:rowOff>
        </xdr:from>
        <xdr:to>
          <xdr:col>1</xdr:col>
          <xdr:colOff>333375</xdr:colOff>
          <xdr:row>23</xdr:row>
          <xdr:rowOff>0</xdr:rowOff>
        </xdr:to>
        <xdr:sp macro="" textlink="">
          <xdr:nvSpPr>
            <xdr:cNvPr id="41997" name="Check Box 14" hidden="1">
              <a:extLst>
                <a:ext uri="{63B3BB69-23CF-44E3-9099-C40C66FF867C}">
                  <a14:compatExt spid="_x0000_s41997"/>
                </a:ext>
                <a:ext uri="{FF2B5EF4-FFF2-40B4-BE49-F238E27FC236}">
                  <a16:creationId xmlns:a16="http://schemas.microsoft.com/office/drawing/2014/main" id="{00000000-0008-0000-1300-00000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6</xdr:row>
          <xdr:rowOff>0</xdr:rowOff>
        </xdr:from>
        <xdr:to>
          <xdr:col>1</xdr:col>
          <xdr:colOff>333375</xdr:colOff>
          <xdr:row>7</xdr:row>
          <xdr:rowOff>0</xdr:rowOff>
        </xdr:to>
        <xdr:sp macro="" textlink="">
          <xdr:nvSpPr>
            <xdr:cNvPr id="41998" name="Check Box 15" hidden="1">
              <a:extLst>
                <a:ext uri="{63B3BB69-23CF-44E3-9099-C40C66FF867C}">
                  <a14:compatExt spid="_x0000_s41998"/>
                </a:ext>
                <a:ext uri="{FF2B5EF4-FFF2-40B4-BE49-F238E27FC236}">
                  <a16:creationId xmlns:a16="http://schemas.microsoft.com/office/drawing/2014/main" id="{00000000-0008-0000-1300-00000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23</xdr:row>
          <xdr:rowOff>0</xdr:rowOff>
        </xdr:from>
        <xdr:to>
          <xdr:col>1</xdr:col>
          <xdr:colOff>333375</xdr:colOff>
          <xdr:row>24</xdr:row>
          <xdr:rowOff>9525</xdr:rowOff>
        </xdr:to>
        <xdr:sp macro="" textlink="">
          <xdr:nvSpPr>
            <xdr:cNvPr id="41999" name="Check Box 16" hidden="1">
              <a:extLst>
                <a:ext uri="{63B3BB69-23CF-44E3-9099-C40C66FF867C}">
                  <a14:compatExt spid="_x0000_s41999"/>
                </a:ext>
                <a:ext uri="{FF2B5EF4-FFF2-40B4-BE49-F238E27FC236}">
                  <a16:creationId xmlns:a16="http://schemas.microsoft.com/office/drawing/2014/main" id="{00000000-0008-0000-1300-00000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23</xdr:row>
          <xdr:rowOff>180975</xdr:rowOff>
        </xdr:from>
        <xdr:to>
          <xdr:col>1</xdr:col>
          <xdr:colOff>333375</xdr:colOff>
          <xdr:row>25</xdr:row>
          <xdr:rowOff>0</xdr:rowOff>
        </xdr:to>
        <xdr:sp macro="" textlink="">
          <xdr:nvSpPr>
            <xdr:cNvPr id="42000" name="Check Box 17" hidden="1">
              <a:extLst>
                <a:ext uri="{63B3BB69-23CF-44E3-9099-C40C66FF867C}">
                  <a14:compatExt spid="_x0000_s42000"/>
                </a:ext>
                <a:ext uri="{FF2B5EF4-FFF2-40B4-BE49-F238E27FC236}">
                  <a16:creationId xmlns:a16="http://schemas.microsoft.com/office/drawing/2014/main" id="{00000000-0008-0000-1300-00001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25</xdr:row>
          <xdr:rowOff>0</xdr:rowOff>
        </xdr:from>
        <xdr:to>
          <xdr:col>1</xdr:col>
          <xdr:colOff>333375</xdr:colOff>
          <xdr:row>26</xdr:row>
          <xdr:rowOff>0</xdr:rowOff>
        </xdr:to>
        <xdr:sp macro="" textlink="">
          <xdr:nvSpPr>
            <xdr:cNvPr id="42001" name="Check Box 18" hidden="1">
              <a:extLst>
                <a:ext uri="{63B3BB69-23CF-44E3-9099-C40C66FF867C}">
                  <a14:compatExt spid="_x0000_s42001"/>
                </a:ext>
                <a:ext uri="{FF2B5EF4-FFF2-40B4-BE49-F238E27FC236}">
                  <a16:creationId xmlns:a16="http://schemas.microsoft.com/office/drawing/2014/main" id="{00000000-0008-0000-1300-00001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26</xdr:row>
          <xdr:rowOff>0</xdr:rowOff>
        </xdr:from>
        <xdr:to>
          <xdr:col>1</xdr:col>
          <xdr:colOff>333375</xdr:colOff>
          <xdr:row>27</xdr:row>
          <xdr:rowOff>0</xdr:rowOff>
        </xdr:to>
        <xdr:sp macro="" textlink="">
          <xdr:nvSpPr>
            <xdr:cNvPr id="42002" name="Check Box 19" hidden="1">
              <a:extLst>
                <a:ext uri="{63B3BB69-23CF-44E3-9099-C40C66FF867C}">
                  <a14:compatExt spid="_x0000_s42002"/>
                </a:ext>
                <a:ext uri="{FF2B5EF4-FFF2-40B4-BE49-F238E27FC236}">
                  <a16:creationId xmlns:a16="http://schemas.microsoft.com/office/drawing/2014/main" id="{00000000-0008-0000-1300-00001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21</xdr:row>
      <xdr:rowOff>152396</xdr:rowOff>
    </xdr:from>
    <xdr:to>
      <xdr:col>20</xdr:col>
      <xdr:colOff>145676</xdr:colOff>
      <xdr:row>35</xdr:row>
      <xdr:rowOff>179293</xdr:rowOff>
    </xdr:to>
    <xdr:graphicFrame macro="">
      <xdr:nvGraphicFramePr>
        <xdr:cNvPr id="21" name="Chart 20">
          <a:extLst>
            <a:ext uri="{FF2B5EF4-FFF2-40B4-BE49-F238E27FC236}">
              <a16:creationId xmlns:a16="http://schemas.microsoft.com/office/drawing/2014/main" id="{00000000-0008-0000-1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27</xdr:row>
          <xdr:rowOff>9525</xdr:rowOff>
        </xdr:from>
        <xdr:to>
          <xdr:col>1</xdr:col>
          <xdr:colOff>333375</xdr:colOff>
          <xdr:row>28</xdr:row>
          <xdr:rowOff>9525</xdr:rowOff>
        </xdr:to>
        <xdr:sp macro="" textlink="">
          <xdr:nvSpPr>
            <xdr:cNvPr id="42003" name="Check Box 20" hidden="1">
              <a:extLst>
                <a:ext uri="{63B3BB69-23CF-44E3-9099-C40C66FF867C}">
                  <a14:compatExt spid="_x0000_s42003"/>
                </a:ext>
                <a:ext uri="{FF2B5EF4-FFF2-40B4-BE49-F238E27FC236}">
                  <a16:creationId xmlns:a16="http://schemas.microsoft.com/office/drawing/2014/main" id="{00000000-0008-0000-1300-00001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28</xdr:row>
          <xdr:rowOff>9525</xdr:rowOff>
        </xdr:from>
        <xdr:to>
          <xdr:col>1</xdr:col>
          <xdr:colOff>333375</xdr:colOff>
          <xdr:row>29</xdr:row>
          <xdr:rowOff>9525</xdr:rowOff>
        </xdr:to>
        <xdr:sp macro="" textlink="">
          <xdr:nvSpPr>
            <xdr:cNvPr id="42004" name="Check Box 21" hidden="1">
              <a:extLst>
                <a:ext uri="{63B3BB69-23CF-44E3-9099-C40C66FF867C}">
                  <a14:compatExt spid="_x0000_s42004"/>
                </a:ext>
                <a:ext uri="{FF2B5EF4-FFF2-40B4-BE49-F238E27FC236}">
                  <a16:creationId xmlns:a16="http://schemas.microsoft.com/office/drawing/2014/main" id="{00000000-0008-0000-1300-00001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28</xdr:row>
          <xdr:rowOff>180975</xdr:rowOff>
        </xdr:from>
        <xdr:to>
          <xdr:col>1</xdr:col>
          <xdr:colOff>333375</xdr:colOff>
          <xdr:row>29</xdr:row>
          <xdr:rowOff>180975</xdr:rowOff>
        </xdr:to>
        <xdr:sp macro="" textlink="">
          <xdr:nvSpPr>
            <xdr:cNvPr id="42005" name="Check Box 21" hidden="1">
              <a:extLst>
                <a:ext uri="{63B3BB69-23CF-44E3-9099-C40C66FF867C}">
                  <a14:compatExt spid="_x0000_s42005"/>
                </a:ext>
                <a:ext uri="{FF2B5EF4-FFF2-40B4-BE49-F238E27FC236}">
                  <a16:creationId xmlns:a16="http://schemas.microsoft.com/office/drawing/2014/main" id="{00000000-0008-0000-1300-00001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xdr:row>
          <xdr:rowOff>0</xdr:rowOff>
        </xdr:from>
        <xdr:to>
          <xdr:col>1</xdr:col>
          <xdr:colOff>333375</xdr:colOff>
          <xdr:row>5</xdr:row>
          <xdr:rowOff>0</xdr:rowOff>
        </xdr:to>
        <xdr:sp macro="" textlink="">
          <xdr:nvSpPr>
            <xdr:cNvPr id="42006" name="Check Box 22" hidden="1">
              <a:extLst>
                <a:ext uri="{63B3BB69-23CF-44E3-9099-C40C66FF867C}">
                  <a14:compatExt spid="_x0000_s42006"/>
                </a:ext>
                <a:ext uri="{FF2B5EF4-FFF2-40B4-BE49-F238E27FC236}">
                  <a16:creationId xmlns:a16="http://schemas.microsoft.com/office/drawing/2014/main" id="{00000000-0008-0000-1300-00001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19</xdr:row>
          <xdr:rowOff>180975</xdr:rowOff>
        </xdr:from>
        <xdr:to>
          <xdr:col>1</xdr:col>
          <xdr:colOff>333375</xdr:colOff>
          <xdr:row>20</xdr:row>
          <xdr:rowOff>180975</xdr:rowOff>
        </xdr:to>
        <xdr:sp macro="" textlink="">
          <xdr:nvSpPr>
            <xdr:cNvPr id="42007" name="Check Box 23" hidden="1">
              <a:extLst>
                <a:ext uri="{63B3BB69-23CF-44E3-9099-C40C66FF867C}">
                  <a14:compatExt spid="_x0000_s42007"/>
                </a:ext>
                <a:ext uri="{FF2B5EF4-FFF2-40B4-BE49-F238E27FC236}">
                  <a16:creationId xmlns:a16="http://schemas.microsoft.com/office/drawing/2014/main" id="{00000000-0008-0000-1300-00001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10</xdr:row>
          <xdr:rowOff>190500</xdr:rowOff>
        </xdr:from>
        <xdr:to>
          <xdr:col>1</xdr:col>
          <xdr:colOff>333375</xdr:colOff>
          <xdr:row>11</xdr:row>
          <xdr:rowOff>190500</xdr:rowOff>
        </xdr:to>
        <xdr:sp macro="" textlink="">
          <xdr:nvSpPr>
            <xdr:cNvPr id="42008" name="Check Box 24" hidden="1">
              <a:extLst>
                <a:ext uri="{63B3BB69-23CF-44E3-9099-C40C66FF867C}">
                  <a14:compatExt spid="_x0000_s42008"/>
                </a:ext>
                <a:ext uri="{FF2B5EF4-FFF2-40B4-BE49-F238E27FC236}">
                  <a16:creationId xmlns:a16="http://schemas.microsoft.com/office/drawing/2014/main" id="{00000000-0008-0000-1300-00001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0</xdr:rowOff>
        </xdr:from>
        <xdr:to>
          <xdr:col>1</xdr:col>
          <xdr:colOff>333375</xdr:colOff>
          <xdr:row>32</xdr:row>
          <xdr:rowOff>0</xdr:rowOff>
        </xdr:to>
        <xdr:sp macro="" textlink="">
          <xdr:nvSpPr>
            <xdr:cNvPr id="42009" name="Check Box 25" hidden="1">
              <a:extLst>
                <a:ext uri="{63B3BB69-23CF-44E3-9099-C40C66FF867C}">
                  <a14:compatExt spid="_x0000_s42009"/>
                </a:ext>
                <a:ext uri="{FF2B5EF4-FFF2-40B4-BE49-F238E27FC236}">
                  <a16:creationId xmlns:a16="http://schemas.microsoft.com/office/drawing/2014/main" id="{00000000-0008-0000-1300-00001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xdr:row>
          <xdr:rowOff>0</xdr:rowOff>
        </xdr:from>
        <xdr:to>
          <xdr:col>1</xdr:col>
          <xdr:colOff>333375</xdr:colOff>
          <xdr:row>33</xdr:row>
          <xdr:rowOff>0</xdr:rowOff>
        </xdr:to>
        <xdr:sp macro="" textlink="">
          <xdr:nvSpPr>
            <xdr:cNvPr id="42010" name="Check Box 26" hidden="1">
              <a:extLst>
                <a:ext uri="{63B3BB69-23CF-44E3-9099-C40C66FF867C}">
                  <a14:compatExt spid="_x0000_s42010"/>
                </a:ext>
                <a:ext uri="{FF2B5EF4-FFF2-40B4-BE49-F238E27FC236}">
                  <a16:creationId xmlns:a16="http://schemas.microsoft.com/office/drawing/2014/main" id="{00000000-0008-0000-1300-00001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33</xdr:row>
          <xdr:rowOff>0</xdr:rowOff>
        </xdr:from>
        <xdr:to>
          <xdr:col>1</xdr:col>
          <xdr:colOff>333375</xdr:colOff>
          <xdr:row>34</xdr:row>
          <xdr:rowOff>0</xdr:rowOff>
        </xdr:to>
        <xdr:sp macro="" textlink="">
          <xdr:nvSpPr>
            <xdr:cNvPr id="42011" name="Check Box 27" hidden="1">
              <a:extLst>
                <a:ext uri="{63B3BB69-23CF-44E3-9099-C40C66FF867C}">
                  <a14:compatExt spid="_x0000_s42011"/>
                </a:ext>
                <a:ext uri="{FF2B5EF4-FFF2-40B4-BE49-F238E27FC236}">
                  <a16:creationId xmlns:a16="http://schemas.microsoft.com/office/drawing/2014/main" id="{00000000-0008-0000-1300-00001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33</xdr:row>
          <xdr:rowOff>171450</xdr:rowOff>
        </xdr:from>
        <xdr:to>
          <xdr:col>1</xdr:col>
          <xdr:colOff>333375</xdr:colOff>
          <xdr:row>34</xdr:row>
          <xdr:rowOff>171450</xdr:rowOff>
        </xdr:to>
        <xdr:sp macro="" textlink="">
          <xdr:nvSpPr>
            <xdr:cNvPr id="42012" name="Check Box 28" hidden="1">
              <a:extLst>
                <a:ext uri="{63B3BB69-23CF-44E3-9099-C40C66FF867C}">
                  <a14:compatExt spid="_x0000_s42012"/>
                </a:ext>
                <a:ext uri="{FF2B5EF4-FFF2-40B4-BE49-F238E27FC236}">
                  <a16:creationId xmlns:a16="http://schemas.microsoft.com/office/drawing/2014/main" id="{00000000-0008-0000-1300-00001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5</xdr:row>
          <xdr:rowOff>0</xdr:rowOff>
        </xdr:from>
        <xdr:to>
          <xdr:col>1</xdr:col>
          <xdr:colOff>333375</xdr:colOff>
          <xdr:row>6</xdr:row>
          <xdr:rowOff>0</xdr:rowOff>
        </xdr:to>
        <xdr:sp macro="" textlink="">
          <xdr:nvSpPr>
            <xdr:cNvPr id="42013" name="Check Box 29" hidden="1">
              <a:extLst>
                <a:ext uri="{63B3BB69-23CF-44E3-9099-C40C66FF867C}">
                  <a14:compatExt spid="_x0000_s42013"/>
                </a:ext>
                <a:ext uri="{FF2B5EF4-FFF2-40B4-BE49-F238E27FC236}">
                  <a16:creationId xmlns:a16="http://schemas.microsoft.com/office/drawing/2014/main" id="{00000000-0008-0000-1300-00001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257737</xdr:colOff>
      <xdr:row>46</xdr:row>
      <xdr:rowOff>123264</xdr:rowOff>
    </xdr:from>
    <xdr:to>
      <xdr:col>11</xdr:col>
      <xdr:colOff>267103</xdr:colOff>
      <xdr:row>62</xdr:row>
      <xdr:rowOff>38902</xdr:rowOff>
    </xdr:to>
    <xdr:graphicFrame macro="">
      <xdr:nvGraphicFramePr>
        <xdr:cNvPr id="33" name="Chart 32">
          <a:extLst>
            <a:ext uri="{FF2B5EF4-FFF2-40B4-BE49-F238E27FC236}">
              <a16:creationId xmlns:a16="http://schemas.microsoft.com/office/drawing/2014/main" id="{00000000-0008-0000-13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336177</xdr:colOff>
      <xdr:row>46</xdr:row>
      <xdr:rowOff>123264</xdr:rowOff>
    </xdr:from>
    <xdr:to>
      <xdr:col>6</xdr:col>
      <xdr:colOff>110220</xdr:colOff>
      <xdr:row>62</xdr:row>
      <xdr:rowOff>38902</xdr:rowOff>
    </xdr:to>
    <xdr:graphicFrame macro="">
      <xdr:nvGraphicFramePr>
        <xdr:cNvPr id="34" name="Chart 33">
          <a:extLst>
            <a:ext uri="{FF2B5EF4-FFF2-40B4-BE49-F238E27FC236}">
              <a16:creationId xmlns:a16="http://schemas.microsoft.com/office/drawing/2014/main" id="{00000000-0008-0000-13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33618</xdr:colOff>
      <xdr:row>46</xdr:row>
      <xdr:rowOff>123264</xdr:rowOff>
    </xdr:from>
    <xdr:to>
      <xdr:col>15</xdr:col>
      <xdr:colOff>681719</xdr:colOff>
      <xdr:row>62</xdr:row>
      <xdr:rowOff>38902</xdr:rowOff>
    </xdr:to>
    <xdr:graphicFrame macro="">
      <xdr:nvGraphicFramePr>
        <xdr:cNvPr id="35" name="Chart 34">
          <a:extLst>
            <a:ext uri="{FF2B5EF4-FFF2-40B4-BE49-F238E27FC236}">
              <a16:creationId xmlns:a16="http://schemas.microsoft.com/office/drawing/2014/main" id="{00000000-0008-0000-13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8</xdr:row>
          <xdr:rowOff>180975</xdr:rowOff>
        </xdr:from>
        <xdr:to>
          <xdr:col>1</xdr:col>
          <xdr:colOff>333375</xdr:colOff>
          <xdr:row>9</xdr:row>
          <xdr:rowOff>180975</xdr:rowOff>
        </xdr:to>
        <xdr:sp macro="" textlink="">
          <xdr:nvSpPr>
            <xdr:cNvPr id="42014" name="Check Box 30" hidden="1">
              <a:extLst>
                <a:ext uri="{63B3BB69-23CF-44E3-9099-C40C66FF867C}">
                  <a14:compatExt spid="_x0000_s42014"/>
                </a:ext>
                <a:ext uri="{FF2B5EF4-FFF2-40B4-BE49-F238E27FC236}">
                  <a16:creationId xmlns:a16="http://schemas.microsoft.com/office/drawing/2014/main" id="{00000000-0008-0000-1300-00001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12</xdr:row>
          <xdr:rowOff>171450</xdr:rowOff>
        </xdr:from>
        <xdr:to>
          <xdr:col>1</xdr:col>
          <xdr:colOff>333375</xdr:colOff>
          <xdr:row>13</xdr:row>
          <xdr:rowOff>180975</xdr:rowOff>
        </xdr:to>
        <xdr:sp macro="" textlink="">
          <xdr:nvSpPr>
            <xdr:cNvPr id="42015" name="Check Box 31" hidden="1">
              <a:extLst>
                <a:ext uri="{63B3BB69-23CF-44E3-9099-C40C66FF867C}">
                  <a14:compatExt spid="_x0000_s42015"/>
                </a:ext>
                <a:ext uri="{FF2B5EF4-FFF2-40B4-BE49-F238E27FC236}">
                  <a16:creationId xmlns:a16="http://schemas.microsoft.com/office/drawing/2014/main" id="{00000000-0008-0000-1300-00001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34</xdr:row>
          <xdr:rowOff>180975</xdr:rowOff>
        </xdr:from>
        <xdr:to>
          <xdr:col>1</xdr:col>
          <xdr:colOff>333375</xdr:colOff>
          <xdr:row>35</xdr:row>
          <xdr:rowOff>180975</xdr:rowOff>
        </xdr:to>
        <xdr:sp macro="" textlink="">
          <xdr:nvSpPr>
            <xdr:cNvPr id="42016" name="Check Box 32" hidden="1">
              <a:extLst>
                <a:ext uri="{63B3BB69-23CF-44E3-9099-C40C66FF867C}">
                  <a14:compatExt spid="_x0000_s42016"/>
                </a:ext>
                <a:ext uri="{FF2B5EF4-FFF2-40B4-BE49-F238E27FC236}">
                  <a16:creationId xmlns:a16="http://schemas.microsoft.com/office/drawing/2014/main" id="{00000000-0008-0000-1300-00002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35</xdr:row>
          <xdr:rowOff>180975</xdr:rowOff>
        </xdr:from>
        <xdr:to>
          <xdr:col>1</xdr:col>
          <xdr:colOff>333375</xdr:colOff>
          <xdr:row>36</xdr:row>
          <xdr:rowOff>180975</xdr:rowOff>
        </xdr:to>
        <xdr:sp macro="" textlink="">
          <xdr:nvSpPr>
            <xdr:cNvPr id="42017" name="Check Box 33" hidden="1">
              <a:extLst>
                <a:ext uri="{63B3BB69-23CF-44E3-9099-C40C66FF867C}">
                  <a14:compatExt spid="_x0000_s42017"/>
                </a:ext>
                <a:ext uri="{FF2B5EF4-FFF2-40B4-BE49-F238E27FC236}">
                  <a16:creationId xmlns:a16="http://schemas.microsoft.com/office/drawing/2014/main" id="{00000000-0008-0000-1300-00002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13</xdr:row>
          <xdr:rowOff>161925</xdr:rowOff>
        </xdr:from>
        <xdr:to>
          <xdr:col>1</xdr:col>
          <xdr:colOff>333375</xdr:colOff>
          <xdr:row>14</xdr:row>
          <xdr:rowOff>171450</xdr:rowOff>
        </xdr:to>
        <xdr:sp macro="" textlink="">
          <xdr:nvSpPr>
            <xdr:cNvPr id="42018" name="Check Box 34" hidden="1">
              <a:extLst>
                <a:ext uri="{63B3BB69-23CF-44E3-9099-C40C66FF867C}">
                  <a14:compatExt spid="_x0000_s42018"/>
                </a:ext>
                <a:ext uri="{FF2B5EF4-FFF2-40B4-BE49-F238E27FC236}">
                  <a16:creationId xmlns:a16="http://schemas.microsoft.com/office/drawing/2014/main" id="{00000000-0008-0000-1300-00002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36</xdr:row>
          <xdr:rowOff>180975</xdr:rowOff>
        </xdr:from>
        <xdr:to>
          <xdr:col>1</xdr:col>
          <xdr:colOff>323850</xdr:colOff>
          <xdr:row>37</xdr:row>
          <xdr:rowOff>180975</xdr:rowOff>
        </xdr:to>
        <xdr:sp macro="" textlink="">
          <xdr:nvSpPr>
            <xdr:cNvPr id="42019" name="Check Box 35" hidden="1">
              <a:extLst>
                <a:ext uri="{63B3BB69-23CF-44E3-9099-C40C66FF867C}">
                  <a14:compatExt spid="_x0000_s42019"/>
                </a:ext>
                <a:ext uri="{FF2B5EF4-FFF2-40B4-BE49-F238E27FC236}">
                  <a16:creationId xmlns:a16="http://schemas.microsoft.com/office/drawing/2014/main" id="{00000000-0008-0000-1300-00002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0</xdr:col>
      <xdr:colOff>771525</xdr:colOff>
      <xdr:row>1</xdr:row>
      <xdr:rowOff>9525</xdr:rowOff>
    </xdr:to>
    <xdr:pic>
      <xdr:nvPicPr>
        <xdr:cNvPr id="42" name="Picture 41">
          <a:extLst>
            <a:ext uri="{FF2B5EF4-FFF2-40B4-BE49-F238E27FC236}">
              <a16:creationId xmlns:a16="http://schemas.microsoft.com/office/drawing/2014/main" id="{00000000-0008-0000-1300-00002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0"/>
          <a:ext cx="7715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142875</xdr:colOff>
          <xdr:row>38</xdr:row>
          <xdr:rowOff>171450</xdr:rowOff>
        </xdr:from>
        <xdr:to>
          <xdr:col>1</xdr:col>
          <xdr:colOff>323850</xdr:colOff>
          <xdr:row>39</xdr:row>
          <xdr:rowOff>171450</xdr:rowOff>
        </xdr:to>
        <xdr:sp macro="" textlink="">
          <xdr:nvSpPr>
            <xdr:cNvPr id="42020" name="Check Box 36" hidden="1">
              <a:extLst>
                <a:ext uri="{63B3BB69-23CF-44E3-9099-C40C66FF867C}">
                  <a14:compatExt spid="_x0000_s42020"/>
                </a:ext>
                <a:ext uri="{FF2B5EF4-FFF2-40B4-BE49-F238E27FC236}">
                  <a16:creationId xmlns:a16="http://schemas.microsoft.com/office/drawing/2014/main" id="{00000000-0008-0000-1300-00002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37</xdr:row>
          <xdr:rowOff>180975</xdr:rowOff>
        </xdr:from>
        <xdr:to>
          <xdr:col>1</xdr:col>
          <xdr:colOff>342900</xdr:colOff>
          <xdr:row>38</xdr:row>
          <xdr:rowOff>180975</xdr:rowOff>
        </xdr:to>
        <xdr:sp macro="" textlink="">
          <xdr:nvSpPr>
            <xdr:cNvPr id="42021" name="Check Box 37" hidden="1">
              <a:extLst>
                <a:ext uri="{63B3BB69-23CF-44E3-9099-C40C66FF867C}">
                  <a14:compatExt spid="_x0000_s42021"/>
                </a:ext>
                <a:ext uri="{FF2B5EF4-FFF2-40B4-BE49-F238E27FC236}">
                  <a16:creationId xmlns:a16="http://schemas.microsoft.com/office/drawing/2014/main" id="{00000000-0008-0000-1300-00002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9</xdr:row>
          <xdr:rowOff>171450</xdr:rowOff>
        </xdr:from>
        <xdr:to>
          <xdr:col>1</xdr:col>
          <xdr:colOff>323850</xdr:colOff>
          <xdr:row>10</xdr:row>
          <xdr:rowOff>171450</xdr:rowOff>
        </xdr:to>
        <xdr:sp macro="" textlink="">
          <xdr:nvSpPr>
            <xdr:cNvPr id="42022" name="Check Box 38" hidden="1">
              <a:extLst>
                <a:ext uri="{63B3BB69-23CF-44E3-9099-C40C66FF867C}">
                  <a14:compatExt spid="_x0000_s42022"/>
                </a:ext>
                <a:ext uri="{FF2B5EF4-FFF2-40B4-BE49-F238E27FC236}">
                  <a16:creationId xmlns:a16="http://schemas.microsoft.com/office/drawing/2014/main" id="{00000000-0008-0000-1300-00002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0</xdr:rowOff>
        </xdr:from>
        <xdr:to>
          <xdr:col>1</xdr:col>
          <xdr:colOff>342900</xdr:colOff>
          <xdr:row>4</xdr:row>
          <xdr:rowOff>0</xdr:rowOff>
        </xdr:to>
        <xdr:sp macro="" textlink="">
          <xdr:nvSpPr>
            <xdr:cNvPr id="43009" name="Case à cocher 1" hidden="1">
              <a:extLst>
                <a:ext uri="{63B3BB69-23CF-44E3-9099-C40C66FF867C}">
                  <a14:compatExt spid="_x0000_s43009"/>
                </a:ext>
                <a:ext uri="{FF2B5EF4-FFF2-40B4-BE49-F238E27FC236}">
                  <a16:creationId xmlns:a16="http://schemas.microsoft.com/office/drawing/2014/main" id="{00000000-0008-0000-1400-000001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xdr:row>
          <xdr:rowOff>9525</xdr:rowOff>
        </xdr:from>
        <xdr:to>
          <xdr:col>1</xdr:col>
          <xdr:colOff>333375</xdr:colOff>
          <xdr:row>4</xdr:row>
          <xdr:rowOff>9525</xdr:rowOff>
        </xdr:to>
        <xdr:sp macro="" textlink="">
          <xdr:nvSpPr>
            <xdr:cNvPr id="43010" name="Case à cocher 2" hidden="1">
              <a:extLst>
                <a:ext uri="{63B3BB69-23CF-44E3-9099-C40C66FF867C}">
                  <a14:compatExt spid="_x0000_s43010"/>
                </a:ext>
                <a:ext uri="{FF2B5EF4-FFF2-40B4-BE49-F238E27FC236}">
                  <a16:creationId xmlns:a16="http://schemas.microsoft.com/office/drawing/2014/main" id="{00000000-0008-0000-1400-000002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7</xdr:row>
          <xdr:rowOff>0</xdr:rowOff>
        </xdr:from>
        <xdr:to>
          <xdr:col>1</xdr:col>
          <xdr:colOff>333375</xdr:colOff>
          <xdr:row>8</xdr:row>
          <xdr:rowOff>0</xdr:rowOff>
        </xdr:to>
        <xdr:sp macro="" textlink="">
          <xdr:nvSpPr>
            <xdr:cNvPr id="43011" name="Case à cocher 4" hidden="1">
              <a:extLst>
                <a:ext uri="{63B3BB69-23CF-44E3-9099-C40C66FF867C}">
                  <a14:compatExt spid="_x0000_s43011"/>
                </a:ext>
                <a:ext uri="{FF2B5EF4-FFF2-40B4-BE49-F238E27FC236}">
                  <a16:creationId xmlns:a16="http://schemas.microsoft.com/office/drawing/2014/main" id="{00000000-0008-0000-1400-000003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8</xdr:row>
          <xdr:rowOff>9525</xdr:rowOff>
        </xdr:from>
        <xdr:to>
          <xdr:col>1</xdr:col>
          <xdr:colOff>333375</xdr:colOff>
          <xdr:row>9</xdr:row>
          <xdr:rowOff>9525</xdr:rowOff>
        </xdr:to>
        <xdr:sp macro="" textlink="">
          <xdr:nvSpPr>
            <xdr:cNvPr id="43012" name="Case à cocher 5" hidden="1">
              <a:extLst>
                <a:ext uri="{63B3BB69-23CF-44E3-9099-C40C66FF867C}">
                  <a14:compatExt spid="_x0000_s43012"/>
                </a:ext>
                <a:ext uri="{FF2B5EF4-FFF2-40B4-BE49-F238E27FC236}">
                  <a16:creationId xmlns:a16="http://schemas.microsoft.com/office/drawing/2014/main" id="{00000000-0008-0000-1400-000004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29</xdr:row>
          <xdr:rowOff>190500</xdr:rowOff>
        </xdr:from>
        <xdr:to>
          <xdr:col>1</xdr:col>
          <xdr:colOff>333375</xdr:colOff>
          <xdr:row>31</xdr:row>
          <xdr:rowOff>0</xdr:rowOff>
        </xdr:to>
        <xdr:sp macro="" textlink="">
          <xdr:nvSpPr>
            <xdr:cNvPr id="43013" name="Case à cocher 6" hidden="1">
              <a:extLst>
                <a:ext uri="{63B3BB69-23CF-44E3-9099-C40C66FF867C}">
                  <a14:compatExt spid="_x0000_s43013"/>
                </a:ext>
                <a:ext uri="{FF2B5EF4-FFF2-40B4-BE49-F238E27FC236}">
                  <a16:creationId xmlns:a16="http://schemas.microsoft.com/office/drawing/2014/main" id="{00000000-0008-0000-1400-000005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15</xdr:row>
          <xdr:rowOff>19050</xdr:rowOff>
        </xdr:from>
        <xdr:to>
          <xdr:col>1</xdr:col>
          <xdr:colOff>333375</xdr:colOff>
          <xdr:row>16</xdr:row>
          <xdr:rowOff>19050</xdr:rowOff>
        </xdr:to>
        <xdr:sp macro="" textlink="">
          <xdr:nvSpPr>
            <xdr:cNvPr id="43014" name="Case à cocher 7" hidden="1">
              <a:extLst>
                <a:ext uri="{63B3BB69-23CF-44E3-9099-C40C66FF867C}">
                  <a14:compatExt spid="_x0000_s43014"/>
                </a:ext>
                <a:ext uri="{FF2B5EF4-FFF2-40B4-BE49-F238E27FC236}">
                  <a16:creationId xmlns:a16="http://schemas.microsoft.com/office/drawing/2014/main" id="{00000000-0008-0000-1400-000006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16</xdr:row>
          <xdr:rowOff>9525</xdr:rowOff>
        </xdr:from>
        <xdr:to>
          <xdr:col>1</xdr:col>
          <xdr:colOff>333375</xdr:colOff>
          <xdr:row>17</xdr:row>
          <xdr:rowOff>9525</xdr:rowOff>
        </xdr:to>
        <xdr:sp macro="" textlink="">
          <xdr:nvSpPr>
            <xdr:cNvPr id="43015" name="Case à cocher 8" hidden="1">
              <a:extLst>
                <a:ext uri="{63B3BB69-23CF-44E3-9099-C40C66FF867C}">
                  <a14:compatExt spid="_x0000_s43015"/>
                </a:ext>
                <a:ext uri="{FF2B5EF4-FFF2-40B4-BE49-F238E27FC236}">
                  <a16:creationId xmlns:a16="http://schemas.microsoft.com/office/drawing/2014/main" id="{00000000-0008-0000-1400-000007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17</xdr:row>
          <xdr:rowOff>9525</xdr:rowOff>
        </xdr:from>
        <xdr:to>
          <xdr:col>1</xdr:col>
          <xdr:colOff>333375</xdr:colOff>
          <xdr:row>18</xdr:row>
          <xdr:rowOff>9525</xdr:rowOff>
        </xdr:to>
        <xdr:sp macro="" textlink="">
          <xdr:nvSpPr>
            <xdr:cNvPr id="43016" name="Case à cocher 9" hidden="1">
              <a:extLst>
                <a:ext uri="{63B3BB69-23CF-44E3-9099-C40C66FF867C}">
                  <a14:compatExt spid="_x0000_s43016"/>
                </a:ext>
                <a:ext uri="{FF2B5EF4-FFF2-40B4-BE49-F238E27FC236}">
                  <a16:creationId xmlns:a16="http://schemas.microsoft.com/office/drawing/2014/main" id="{00000000-0008-0000-1400-000008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17</xdr:row>
          <xdr:rowOff>171450</xdr:rowOff>
        </xdr:from>
        <xdr:to>
          <xdr:col>1</xdr:col>
          <xdr:colOff>333375</xdr:colOff>
          <xdr:row>18</xdr:row>
          <xdr:rowOff>171450</xdr:rowOff>
        </xdr:to>
        <xdr:sp macro="" textlink="">
          <xdr:nvSpPr>
            <xdr:cNvPr id="43017" name="Case à cocher 10" hidden="1">
              <a:extLst>
                <a:ext uri="{63B3BB69-23CF-44E3-9099-C40C66FF867C}">
                  <a14:compatExt spid="_x0000_s43017"/>
                </a:ext>
                <a:ext uri="{FF2B5EF4-FFF2-40B4-BE49-F238E27FC236}">
                  <a16:creationId xmlns:a16="http://schemas.microsoft.com/office/drawing/2014/main" id="{00000000-0008-0000-1400-000009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18</xdr:row>
          <xdr:rowOff>171450</xdr:rowOff>
        </xdr:from>
        <xdr:to>
          <xdr:col>1</xdr:col>
          <xdr:colOff>333375</xdr:colOff>
          <xdr:row>19</xdr:row>
          <xdr:rowOff>171450</xdr:rowOff>
        </xdr:to>
        <xdr:sp macro="" textlink="">
          <xdr:nvSpPr>
            <xdr:cNvPr id="43018" name="Case à cocher 11" hidden="1">
              <a:extLst>
                <a:ext uri="{63B3BB69-23CF-44E3-9099-C40C66FF867C}">
                  <a14:compatExt spid="_x0000_s43018"/>
                </a:ext>
                <a:ext uri="{FF2B5EF4-FFF2-40B4-BE49-F238E27FC236}">
                  <a16:creationId xmlns:a16="http://schemas.microsoft.com/office/drawing/2014/main" id="{00000000-0008-0000-1400-00000A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20</xdr:row>
          <xdr:rowOff>180975</xdr:rowOff>
        </xdr:from>
        <xdr:to>
          <xdr:col>1</xdr:col>
          <xdr:colOff>333375</xdr:colOff>
          <xdr:row>21</xdr:row>
          <xdr:rowOff>180975</xdr:rowOff>
        </xdr:to>
        <xdr:sp macro="" textlink="">
          <xdr:nvSpPr>
            <xdr:cNvPr id="43019" name="Check Box 11" hidden="1">
              <a:extLst>
                <a:ext uri="{63B3BB69-23CF-44E3-9099-C40C66FF867C}">
                  <a14:compatExt spid="_x0000_s43019"/>
                </a:ext>
                <a:ext uri="{FF2B5EF4-FFF2-40B4-BE49-F238E27FC236}">
                  <a16:creationId xmlns:a16="http://schemas.microsoft.com/office/drawing/2014/main" id="{00000000-0008-0000-1400-00000B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642738</xdr:colOff>
      <xdr:row>0</xdr:row>
      <xdr:rowOff>35778</xdr:rowOff>
    </xdr:from>
    <xdr:to>
      <xdr:col>19</xdr:col>
      <xdr:colOff>561095</xdr:colOff>
      <xdr:row>21</xdr:row>
      <xdr:rowOff>88846</xdr:rowOff>
    </xdr:to>
    <xdr:graphicFrame macro="">
      <xdr:nvGraphicFramePr>
        <xdr:cNvPr id="13" name="Chart 1">
          <a:extLst>
            <a:ext uri="{FF2B5EF4-FFF2-40B4-BE49-F238E27FC236}">
              <a16:creationId xmlns:a16="http://schemas.microsoft.com/office/drawing/2014/main" id="{00000000-0008-0000-1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11</xdr:row>
          <xdr:rowOff>180975</xdr:rowOff>
        </xdr:from>
        <xdr:to>
          <xdr:col>1</xdr:col>
          <xdr:colOff>333375</xdr:colOff>
          <xdr:row>13</xdr:row>
          <xdr:rowOff>0</xdr:rowOff>
        </xdr:to>
        <xdr:sp macro="" textlink="">
          <xdr:nvSpPr>
            <xdr:cNvPr id="43020" name="Check Box 13" hidden="1">
              <a:extLst>
                <a:ext uri="{63B3BB69-23CF-44E3-9099-C40C66FF867C}">
                  <a14:compatExt spid="_x0000_s43020"/>
                </a:ext>
                <a:ext uri="{FF2B5EF4-FFF2-40B4-BE49-F238E27FC236}">
                  <a16:creationId xmlns:a16="http://schemas.microsoft.com/office/drawing/2014/main" id="{00000000-0008-0000-1400-00000C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21</xdr:row>
          <xdr:rowOff>180975</xdr:rowOff>
        </xdr:from>
        <xdr:to>
          <xdr:col>1</xdr:col>
          <xdr:colOff>333375</xdr:colOff>
          <xdr:row>23</xdr:row>
          <xdr:rowOff>0</xdr:rowOff>
        </xdr:to>
        <xdr:sp macro="" textlink="">
          <xdr:nvSpPr>
            <xdr:cNvPr id="43021" name="Check Box 14" hidden="1">
              <a:extLst>
                <a:ext uri="{63B3BB69-23CF-44E3-9099-C40C66FF867C}">
                  <a14:compatExt spid="_x0000_s43021"/>
                </a:ext>
                <a:ext uri="{FF2B5EF4-FFF2-40B4-BE49-F238E27FC236}">
                  <a16:creationId xmlns:a16="http://schemas.microsoft.com/office/drawing/2014/main" id="{00000000-0008-0000-1400-00000D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6</xdr:row>
          <xdr:rowOff>0</xdr:rowOff>
        </xdr:from>
        <xdr:to>
          <xdr:col>1</xdr:col>
          <xdr:colOff>333375</xdr:colOff>
          <xdr:row>7</xdr:row>
          <xdr:rowOff>0</xdr:rowOff>
        </xdr:to>
        <xdr:sp macro="" textlink="">
          <xdr:nvSpPr>
            <xdr:cNvPr id="43022" name="Check Box 15" hidden="1">
              <a:extLst>
                <a:ext uri="{63B3BB69-23CF-44E3-9099-C40C66FF867C}">
                  <a14:compatExt spid="_x0000_s43022"/>
                </a:ext>
                <a:ext uri="{FF2B5EF4-FFF2-40B4-BE49-F238E27FC236}">
                  <a16:creationId xmlns:a16="http://schemas.microsoft.com/office/drawing/2014/main" id="{00000000-0008-0000-1400-00000E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23</xdr:row>
          <xdr:rowOff>0</xdr:rowOff>
        </xdr:from>
        <xdr:to>
          <xdr:col>1</xdr:col>
          <xdr:colOff>333375</xdr:colOff>
          <xdr:row>24</xdr:row>
          <xdr:rowOff>9525</xdr:rowOff>
        </xdr:to>
        <xdr:sp macro="" textlink="">
          <xdr:nvSpPr>
            <xdr:cNvPr id="43023" name="Check Box 16" hidden="1">
              <a:extLst>
                <a:ext uri="{63B3BB69-23CF-44E3-9099-C40C66FF867C}">
                  <a14:compatExt spid="_x0000_s43023"/>
                </a:ext>
                <a:ext uri="{FF2B5EF4-FFF2-40B4-BE49-F238E27FC236}">
                  <a16:creationId xmlns:a16="http://schemas.microsoft.com/office/drawing/2014/main" id="{00000000-0008-0000-1400-00000F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23</xdr:row>
          <xdr:rowOff>180975</xdr:rowOff>
        </xdr:from>
        <xdr:to>
          <xdr:col>1</xdr:col>
          <xdr:colOff>333375</xdr:colOff>
          <xdr:row>25</xdr:row>
          <xdr:rowOff>0</xdr:rowOff>
        </xdr:to>
        <xdr:sp macro="" textlink="">
          <xdr:nvSpPr>
            <xdr:cNvPr id="43024" name="Check Box 17" hidden="1">
              <a:extLst>
                <a:ext uri="{63B3BB69-23CF-44E3-9099-C40C66FF867C}">
                  <a14:compatExt spid="_x0000_s43024"/>
                </a:ext>
                <a:ext uri="{FF2B5EF4-FFF2-40B4-BE49-F238E27FC236}">
                  <a16:creationId xmlns:a16="http://schemas.microsoft.com/office/drawing/2014/main" id="{00000000-0008-0000-1400-000010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25</xdr:row>
          <xdr:rowOff>0</xdr:rowOff>
        </xdr:from>
        <xdr:to>
          <xdr:col>1</xdr:col>
          <xdr:colOff>333375</xdr:colOff>
          <xdr:row>26</xdr:row>
          <xdr:rowOff>0</xdr:rowOff>
        </xdr:to>
        <xdr:sp macro="" textlink="">
          <xdr:nvSpPr>
            <xdr:cNvPr id="43025" name="Check Box 18" hidden="1">
              <a:extLst>
                <a:ext uri="{63B3BB69-23CF-44E3-9099-C40C66FF867C}">
                  <a14:compatExt spid="_x0000_s43025"/>
                </a:ext>
                <a:ext uri="{FF2B5EF4-FFF2-40B4-BE49-F238E27FC236}">
                  <a16:creationId xmlns:a16="http://schemas.microsoft.com/office/drawing/2014/main" id="{00000000-0008-0000-1400-000011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26</xdr:row>
          <xdr:rowOff>0</xdr:rowOff>
        </xdr:from>
        <xdr:to>
          <xdr:col>1</xdr:col>
          <xdr:colOff>333375</xdr:colOff>
          <xdr:row>27</xdr:row>
          <xdr:rowOff>0</xdr:rowOff>
        </xdr:to>
        <xdr:sp macro="" textlink="">
          <xdr:nvSpPr>
            <xdr:cNvPr id="43026" name="Check Box 19" hidden="1">
              <a:extLst>
                <a:ext uri="{63B3BB69-23CF-44E3-9099-C40C66FF867C}">
                  <a14:compatExt spid="_x0000_s43026"/>
                </a:ext>
                <a:ext uri="{FF2B5EF4-FFF2-40B4-BE49-F238E27FC236}">
                  <a16:creationId xmlns:a16="http://schemas.microsoft.com/office/drawing/2014/main" id="{00000000-0008-0000-1400-000012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21</xdr:row>
      <xdr:rowOff>152396</xdr:rowOff>
    </xdr:from>
    <xdr:to>
      <xdr:col>20</xdr:col>
      <xdr:colOff>145676</xdr:colOff>
      <xdr:row>35</xdr:row>
      <xdr:rowOff>179293</xdr:rowOff>
    </xdr:to>
    <xdr:graphicFrame macro="">
      <xdr:nvGraphicFramePr>
        <xdr:cNvPr id="21" name="Chart 20">
          <a:extLst>
            <a:ext uri="{FF2B5EF4-FFF2-40B4-BE49-F238E27FC236}">
              <a16:creationId xmlns:a16="http://schemas.microsoft.com/office/drawing/2014/main" id="{00000000-0008-0000-14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27</xdr:row>
          <xdr:rowOff>9525</xdr:rowOff>
        </xdr:from>
        <xdr:to>
          <xdr:col>1</xdr:col>
          <xdr:colOff>333375</xdr:colOff>
          <xdr:row>28</xdr:row>
          <xdr:rowOff>9525</xdr:rowOff>
        </xdr:to>
        <xdr:sp macro="" textlink="">
          <xdr:nvSpPr>
            <xdr:cNvPr id="43027" name="Check Box 20" hidden="1">
              <a:extLst>
                <a:ext uri="{63B3BB69-23CF-44E3-9099-C40C66FF867C}">
                  <a14:compatExt spid="_x0000_s43027"/>
                </a:ext>
                <a:ext uri="{FF2B5EF4-FFF2-40B4-BE49-F238E27FC236}">
                  <a16:creationId xmlns:a16="http://schemas.microsoft.com/office/drawing/2014/main" id="{00000000-0008-0000-1400-000013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28</xdr:row>
          <xdr:rowOff>9525</xdr:rowOff>
        </xdr:from>
        <xdr:to>
          <xdr:col>1</xdr:col>
          <xdr:colOff>333375</xdr:colOff>
          <xdr:row>29</xdr:row>
          <xdr:rowOff>9525</xdr:rowOff>
        </xdr:to>
        <xdr:sp macro="" textlink="">
          <xdr:nvSpPr>
            <xdr:cNvPr id="43028" name="Check Box 21" hidden="1">
              <a:extLst>
                <a:ext uri="{63B3BB69-23CF-44E3-9099-C40C66FF867C}">
                  <a14:compatExt spid="_x0000_s43028"/>
                </a:ext>
                <a:ext uri="{FF2B5EF4-FFF2-40B4-BE49-F238E27FC236}">
                  <a16:creationId xmlns:a16="http://schemas.microsoft.com/office/drawing/2014/main" id="{00000000-0008-0000-1400-000014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28</xdr:row>
          <xdr:rowOff>180975</xdr:rowOff>
        </xdr:from>
        <xdr:to>
          <xdr:col>1</xdr:col>
          <xdr:colOff>333375</xdr:colOff>
          <xdr:row>29</xdr:row>
          <xdr:rowOff>180975</xdr:rowOff>
        </xdr:to>
        <xdr:sp macro="" textlink="">
          <xdr:nvSpPr>
            <xdr:cNvPr id="43029" name="Check Box 21" hidden="1">
              <a:extLst>
                <a:ext uri="{63B3BB69-23CF-44E3-9099-C40C66FF867C}">
                  <a14:compatExt spid="_x0000_s43029"/>
                </a:ext>
                <a:ext uri="{FF2B5EF4-FFF2-40B4-BE49-F238E27FC236}">
                  <a16:creationId xmlns:a16="http://schemas.microsoft.com/office/drawing/2014/main" id="{00000000-0008-0000-1400-000015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xdr:row>
          <xdr:rowOff>0</xdr:rowOff>
        </xdr:from>
        <xdr:to>
          <xdr:col>1</xdr:col>
          <xdr:colOff>333375</xdr:colOff>
          <xdr:row>5</xdr:row>
          <xdr:rowOff>0</xdr:rowOff>
        </xdr:to>
        <xdr:sp macro="" textlink="">
          <xdr:nvSpPr>
            <xdr:cNvPr id="43030" name="Check Box 22" hidden="1">
              <a:extLst>
                <a:ext uri="{63B3BB69-23CF-44E3-9099-C40C66FF867C}">
                  <a14:compatExt spid="_x0000_s43030"/>
                </a:ext>
                <a:ext uri="{FF2B5EF4-FFF2-40B4-BE49-F238E27FC236}">
                  <a16:creationId xmlns:a16="http://schemas.microsoft.com/office/drawing/2014/main" id="{00000000-0008-0000-1400-000016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19</xdr:row>
          <xdr:rowOff>180975</xdr:rowOff>
        </xdr:from>
        <xdr:to>
          <xdr:col>1</xdr:col>
          <xdr:colOff>333375</xdr:colOff>
          <xdr:row>20</xdr:row>
          <xdr:rowOff>180975</xdr:rowOff>
        </xdr:to>
        <xdr:sp macro="" textlink="">
          <xdr:nvSpPr>
            <xdr:cNvPr id="43031" name="Check Box 23" hidden="1">
              <a:extLst>
                <a:ext uri="{63B3BB69-23CF-44E3-9099-C40C66FF867C}">
                  <a14:compatExt spid="_x0000_s43031"/>
                </a:ext>
                <a:ext uri="{FF2B5EF4-FFF2-40B4-BE49-F238E27FC236}">
                  <a16:creationId xmlns:a16="http://schemas.microsoft.com/office/drawing/2014/main" id="{00000000-0008-0000-1400-000017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10</xdr:row>
          <xdr:rowOff>190500</xdr:rowOff>
        </xdr:from>
        <xdr:to>
          <xdr:col>1</xdr:col>
          <xdr:colOff>333375</xdr:colOff>
          <xdr:row>12</xdr:row>
          <xdr:rowOff>0</xdr:rowOff>
        </xdr:to>
        <xdr:sp macro="" textlink="">
          <xdr:nvSpPr>
            <xdr:cNvPr id="43032" name="Check Box 24" hidden="1">
              <a:extLst>
                <a:ext uri="{63B3BB69-23CF-44E3-9099-C40C66FF867C}">
                  <a14:compatExt spid="_x0000_s43032"/>
                </a:ext>
                <a:ext uri="{FF2B5EF4-FFF2-40B4-BE49-F238E27FC236}">
                  <a16:creationId xmlns:a16="http://schemas.microsoft.com/office/drawing/2014/main" id="{00000000-0008-0000-1400-000018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0</xdr:rowOff>
        </xdr:from>
        <xdr:to>
          <xdr:col>1</xdr:col>
          <xdr:colOff>333375</xdr:colOff>
          <xdr:row>32</xdr:row>
          <xdr:rowOff>0</xdr:rowOff>
        </xdr:to>
        <xdr:sp macro="" textlink="">
          <xdr:nvSpPr>
            <xdr:cNvPr id="43033" name="Check Box 25" hidden="1">
              <a:extLst>
                <a:ext uri="{63B3BB69-23CF-44E3-9099-C40C66FF867C}">
                  <a14:compatExt spid="_x0000_s43033"/>
                </a:ext>
                <a:ext uri="{FF2B5EF4-FFF2-40B4-BE49-F238E27FC236}">
                  <a16:creationId xmlns:a16="http://schemas.microsoft.com/office/drawing/2014/main" id="{00000000-0008-0000-1400-000019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xdr:row>
          <xdr:rowOff>0</xdr:rowOff>
        </xdr:from>
        <xdr:to>
          <xdr:col>1</xdr:col>
          <xdr:colOff>333375</xdr:colOff>
          <xdr:row>33</xdr:row>
          <xdr:rowOff>0</xdr:rowOff>
        </xdr:to>
        <xdr:sp macro="" textlink="">
          <xdr:nvSpPr>
            <xdr:cNvPr id="43034" name="Check Box 26" hidden="1">
              <a:extLst>
                <a:ext uri="{63B3BB69-23CF-44E3-9099-C40C66FF867C}">
                  <a14:compatExt spid="_x0000_s43034"/>
                </a:ext>
                <a:ext uri="{FF2B5EF4-FFF2-40B4-BE49-F238E27FC236}">
                  <a16:creationId xmlns:a16="http://schemas.microsoft.com/office/drawing/2014/main" id="{00000000-0008-0000-1400-00001A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33</xdr:row>
          <xdr:rowOff>0</xdr:rowOff>
        </xdr:from>
        <xdr:to>
          <xdr:col>1</xdr:col>
          <xdr:colOff>333375</xdr:colOff>
          <xdr:row>34</xdr:row>
          <xdr:rowOff>0</xdr:rowOff>
        </xdr:to>
        <xdr:sp macro="" textlink="">
          <xdr:nvSpPr>
            <xdr:cNvPr id="43035" name="Check Box 27" hidden="1">
              <a:extLst>
                <a:ext uri="{63B3BB69-23CF-44E3-9099-C40C66FF867C}">
                  <a14:compatExt spid="_x0000_s43035"/>
                </a:ext>
                <a:ext uri="{FF2B5EF4-FFF2-40B4-BE49-F238E27FC236}">
                  <a16:creationId xmlns:a16="http://schemas.microsoft.com/office/drawing/2014/main" id="{00000000-0008-0000-1400-00001B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33</xdr:row>
          <xdr:rowOff>171450</xdr:rowOff>
        </xdr:from>
        <xdr:to>
          <xdr:col>1</xdr:col>
          <xdr:colOff>333375</xdr:colOff>
          <xdr:row>34</xdr:row>
          <xdr:rowOff>171450</xdr:rowOff>
        </xdr:to>
        <xdr:sp macro="" textlink="">
          <xdr:nvSpPr>
            <xdr:cNvPr id="43036" name="Check Box 28" hidden="1">
              <a:extLst>
                <a:ext uri="{63B3BB69-23CF-44E3-9099-C40C66FF867C}">
                  <a14:compatExt spid="_x0000_s43036"/>
                </a:ext>
                <a:ext uri="{FF2B5EF4-FFF2-40B4-BE49-F238E27FC236}">
                  <a16:creationId xmlns:a16="http://schemas.microsoft.com/office/drawing/2014/main" id="{00000000-0008-0000-1400-00001C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5</xdr:row>
          <xdr:rowOff>0</xdr:rowOff>
        </xdr:from>
        <xdr:to>
          <xdr:col>1</xdr:col>
          <xdr:colOff>333375</xdr:colOff>
          <xdr:row>6</xdr:row>
          <xdr:rowOff>0</xdr:rowOff>
        </xdr:to>
        <xdr:sp macro="" textlink="">
          <xdr:nvSpPr>
            <xdr:cNvPr id="43037" name="Check Box 29" hidden="1">
              <a:extLst>
                <a:ext uri="{63B3BB69-23CF-44E3-9099-C40C66FF867C}">
                  <a14:compatExt spid="_x0000_s43037"/>
                </a:ext>
                <a:ext uri="{FF2B5EF4-FFF2-40B4-BE49-F238E27FC236}">
                  <a16:creationId xmlns:a16="http://schemas.microsoft.com/office/drawing/2014/main" id="{00000000-0008-0000-1400-00001D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257737</xdr:colOff>
      <xdr:row>47</xdr:row>
      <xdr:rowOff>123264</xdr:rowOff>
    </xdr:from>
    <xdr:to>
      <xdr:col>11</xdr:col>
      <xdr:colOff>267103</xdr:colOff>
      <xdr:row>63</xdr:row>
      <xdr:rowOff>38902</xdr:rowOff>
    </xdr:to>
    <xdr:graphicFrame macro="">
      <xdr:nvGraphicFramePr>
        <xdr:cNvPr id="33" name="Chart 32">
          <a:extLst>
            <a:ext uri="{FF2B5EF4-FFF2-40B4-BE49-F238E27FC236}">
              <a16:creationId xmlns:a16="http://schemas.microsoft.com/office/drawing/2014/main" id="{00000000-0008-0000-1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336177</xdr:colOff>
      <xdr:row>47</xdr:row>
      <xdr:rowOff>123264</xdr:rowOff>
    </xdr:from>
    <xdr:to>
      <xdr:col>6</xdr:col>
      <xdr:colOff>110220</xdr:colOff>
      <xdr:row>63</xdr:row>
      <xdr:rowOff>38902</xdr:rowOff>
    </xdr:to>
    <xdr:graphicFrame macro="">
      <xdr:nvGraphicFramePr>
        <xdr:cNvPr id="34" name="Chart 33">
          <a:extLst>
            <a:ext uri="{FF2B5EF4-FFF2-40B4-BE49-F238E27FC236}">
              <a16:creationId xmlns:a16="http://schemas.microsoft.com/office/drawing/2014/main" id="{00000000-0008-0000-1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33618</xdr:colOff>
      <xdr:row>47</xdr:row>
      <xdr:rowOff>123264</xdr:rowOff>
    </xdr:from>
    <xdr:to>
      <xdr:col>15</xdr:col>
      <xdr:colOff>681719</xdr:colOff>
      <xdr:row>63</xdr:row>
      <xdr:rowOff>38902</xdr:rowOff>
    </xdr:to>
    <xdr:graphicFrame macro="">
      <xdr:nvGraphicFramePr>
        <xdr:cNvPr id="35" name="Chart 34">
          <a:extLst>
            <a:ext uri="{FF2B5EF4-FFF2-40B4-BE49-F238E27FC236}">
              <a16:creationId xmlns:a16="http://schemas.microsoft.com/office/drawing/2014/main" id="{00000000-0008-0000-14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8</xdr:row>
          <xdr:rowOff>180975</xdr:rowOff>
        </xdr:from>
        <xdr:to>
          <xdr:col>1</xdr:col>
          <xdr:colOff>333375</xdr:colOff>
          <xdr:row>9</xdr:row>
          <xdr:rowOff>180975</xdr:rowOff>
        </xdr:to>
        <xdr:sp macro="" textlink="">
          <xdr:nvSpPr>
            <xdr:cNvPr id="43038" name="Check Box 30" hidden="1">
              <a:extLst>
                <a:ext uri="{63B3BB69-23CF-44E3-9099-C40C66FF867C}">
                  <a14:compatExt spid="_x0000_s43038"/>
                </a:ext>
                <a:ext uri="{FF2B5EF4-FFF2-40B4-BE49-F238E27FC236}">
                  <a16:creationId xmlns:a16="http://schemas.microsoft.com/office/drawing/2014/main" id="{00000000-0008-0000-1400-00001E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12</xdr:row>
          <xdr:rowOff>171450</xdr:rowOff>
        </xdr:from>
        <xdr:to>
          <xdr:col>1</xdr:col>
          <xdr:colOff>333375</xdr:colOff>
          <xdr:row>13</xdr:row>
          <xdr:rowOff>180975</xdr:rowOff>
        </xdr:to>
        <xdr:sp macro="" textlink="">
          <xdr:nvSpPr>
            <xdr:cNvPr id="43039" name="Check Box 31" hidden="1">
              <a:extLst>
                <a:ext uri="{63B3BB69-23CF-44E3-9099-C40C66FF867C}">
                  <a14:compatExt spid="_x0000_s43039"/>
                </a:ext>
                <a:ext uri="{FF2B5EF4-FFF2-40B4-BE49-F238E27FC236}">
                  <a16:creationId xmlns:a16="http://schemas.microsoft.com/office/drawing/2014/main" id="{00000000-0008-0000-1400-00001F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34</xdr:row>
          <xdr:rowOff>180975</xdr:rowOff>
        </xdr:from>
        <xdr:to>
          <xdr:col>1</xdr:col>
          <xdr:colOff>333375</xdr:colOff>
          <xdr:row>35</xdr:row>
          <xdr:rowOff>180975</xdr:rowOff>
        </xdr:to>
        <xdr:sp macro="" textlink="">
          <xdr:nvSpPr>
            <xdr:cNvPr id="43040" name="Check Box 32" hidden="1">
              <a:extLst>
                <a:ext uri="{63B3BB69-23CF-44E3-9099-C40C66FF867C}">
                  <a14:compatExt spid="_x0000_s43040"/>
                </a:ext>
                <a:ext uri="{FF2B5EF4-FFF2-40B4-BE49-F238E27FC236}">
                  <a16:creationId xmlns:a16="http://schemas.microsoft.com/office/drawing/2014/main" id="{00000000-0008-0000-1400-000020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35</xdr:row>
          <xdr:rowOff>180975</xdr:rowOff>
        </xdr:from>
        <xdr:to>
          <xdr:col>1</xdr:col>
          <xdr:colOff>333375</xdr:colOff>
          <xdr:row>36</xdr:row>
          <xdr:rowOff>180975</xdr:rowOff>
        </xdr:to>
        <xdr:sp macro="" textlink="">
          <xdr:nvSpPr>
            <xdr:cNvPr id="43041" name="Check Box 33" hidden="1">
              <a:extLst>
                <a:ext uri="{63B3BB69-23CF-44E3-9099-C40C66FF867C}">
                  <a14:compatExt spid="_x0000_s43041"/>
                </a:ext>
                <a:ext uri="{FF2B5EF4-FFF2-40B4-BE49-F238E27FC236}">
                  <a16:creationId xmlns:a16="http://schemas.microsoft.com/office/drawing/2014/main" id="{00000000-0008-0000-1400-000021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13</xdr:row>
          <xdr:rowOff>161925</xdr:rowOff>
        </xdr:from>
        <xdr:to>
          <xdr:col>1</xdr:col>
          <xdr:colOff>333375</xdr:colOff>
          <xdr:row>14</xdr:row>
          <xdr:rowOff>171450</xdr:rowOff>
        </xdr:to>
        <xdr:sp macro="" textlink="">
          <xdr:nvSpPr>
            <xdr:cNvPr id="43042" name="Check Box 34" hidden="1">
              <a:extLst>
                <a:ext uri="{63B3BB69-23CF-44E3-9099-C40C66FF867C}">
                  <a14:compatExt spid="_x0000_s43042"/>
                </a:ext>
                <a:ext uri="{FF2B5EF4-FFF2-40B4-BE49-F238E27FC236}">
                  <a16:creationId xmlns:a16="http://schemas.microsoft.com/office/drawing/2014/main" id="{00000000-0008-0000-1400-000022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36</xdr:row>
          <xdr:rowOff>180975</xdr:rowOff>
        </xdr:from>
        <xdr:to>
          <xdr:col>1</xdr:col>
          <xdr:colOff>323850</xdr:colOff>
          <xdr:row>37</xdr:row>
          <xdr:rowOff>180975</xdr:rowOff>
        </xdr:to>
        <xdr:sp macro="" textlink="">
          <xdr:nvSpPr>
            <xdr:cNvPr id="43043" name="Check Box 35" hidden="1">
              <a:extLst>
                <a:ext uri="{63B3BB69-23CF-44E3-9099-C40C66FF867C}">
                  <a14:compatExt spid="_x0000_s43043"/>
                </a:ext>
                <a:ext uri="{FF2B5EF4-FFF2-40B4-BE49-F238E27FC236}">
                  <a16:creationId xmlns:a16="http://schemas.microsoft.com/office/drawing/2014/main" id="{00000000-0008-0000-1400-000023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0</xdr:col>
      <xdr:colOff>771525</xdr:colOff>
      <xdr:row>1</xdr:row>
      <xdr:rowOff>9525</xdr:rowOff>
    </xdr:to>
    <xdr:pic>
      <xdr:nvPicPr>
        <xdr:cNvPr id="42" name="Picture 41">
          <a:extLst>
            <a:ext uri="{FF2B5EF4-FFF2-40B4-BE49-F238E27FC236}">
              <a16:creationId xmlns:a16="http://schemas.microsoft.com/office/drawing/2014/main" id="{00000000-0008-0000-1400-00002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0"/>
          <a:ext cx="7715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142875</xdr:colOff>
          <xdr:row>38</xdr:row>
          <xdr:rowOff>171450</xdr:rowOff>
        </xdr:from>
        <xdr:to>
          <xdr:col>1</xdr:col>
          <xdr:colOff>323850</xdr:colOff>
          <xdr:row>39</xdr:row>
          <xdr:rowOff>171450</xdr:rowOff>
        </xdr:to>
        <xdr:sp macro="" textlink="">
          <xdr:nvSpPr>
            <xdr:cNvPr id="43044" name="Check Box 36" hidden="1">
              <a:extLst>
                <a:ext uri="{63B3BB69-23CF-44E3-9099-C40C66FF867C}">
                  <a14:compatExt spid="_x0000_s43044"/>
                </a:ext>
                <a:ext uri="{FF2B5EF4-FFF2-40B4-BE49-F238E27FC236}">
                  <a16:creationId xmlns:a16="http://schemas.microsoft.com/office/drawing/2014/main" id="{00000000-0008-0000-1400-000024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37</xdr:row>
          <xdr:rowOff>180975</xdr:rowOff>
        </xdr:from>
        <xdr:to>
          <xdr:col>1</xdr:col>
          <xdr:colOff>342900</xdr:colOff>
          <xdr:row>38</xdr:row>
          <xdr:rowOff>180975</xdr:rowOff>
        </xdr:to>
        <xdr:sp macro="" textlink="">
          <xdr:nvSpPr>
            <xdr:cNvPr id="43045" name="Check Box 37" hidden="1">
              <a:extLst>
                <a:ext uri="{63B3BB69-23CF-44E3-9099-C40C66FF867C}">
                  <a14:compatExt spid="_x0000_s43045"/>
                </a:ext>
                <a:ext uri="{FF2B5EF4-FFF2-40B4-BE49-F238E27FC236}">
                  <a16:creationId xmlns:a16="http://schemas.microsoft.com/office/drawing/2014/main" id="{00000000-0008-0000-1400-000025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9</xdr:row>
          <xdr:rowOff>171450</xdr:rowOff>
        </xdr:from>
        <xdr:to>
          <xdr:col>1</xdr:col>
          <xdr:colOff>323850</xdr:colOff>
          <xdr:row>10</xdr:row>
          <xdr:rowOff>171450</xdr:rowOff>
        </xdr:to>
        <xdr:sp macro="" textlink="">
          <xdr:nvSpPr>
            <xdr:cNvPr id="43046" name="Check Box 38" hidden="1">
              <a:extLst>
                <a:ext uri="{63B3BB69-23CF-44E3-9099-C40C66FF867C}">
                  <a14:compatExt spid="_x0000_s43046"/>
                </a:ext>
                <a:ext uri="{FF2B5EF4-FFF2-40B4-BE49-F238E27FC236}">
                  <a16:creationId xmlns:a16="http://schemas.microsoft.com/office/drawing/2014/main" id="{00000000-0008-0000-1400-000026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39</xdr:row>
          <xdr:rowOff>180975</xdr:rowOff>
        </xdr:from>
        <xdr:to>
          <xdr:col>1</xdr:col>
          <xdr:colOff>323850</xdr:colOff>
          <xdr:row>40</xdr:row>
          <xdr:rowOff>180975</xdr:rowOff>
        </xdr:to>
        <xdr:sp macro="" textlink="">
          <xdr:nvSpPr>
            <xdr:cNvPr id="43047" name="Check Box 39" hidden="1">
              <a:extLst>
                <a:ext uri="{63B3BB69-23CF-44E3-9099-C40C66FF867C}">
                  <a14:compatExt spid="_x0000_s43047"/>
                </a:ext>
                <a:ext uri="{FF2B5EF4-FFF2-40B4-BE49-F238E27FC236}">
                  <a16:creationId xmlns:a16="http://schemas.microsoft.com/office/drawing/2014/main" id="{00000000-0008-0000-1400-000027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0</xdr:rowOff>
        </xdr:from>
        <xdr:to>
          <xdr:col>1</xdr:col>
          <xdr:colOff>342900</xdr:colOff>
          <xdr:row>4</xdr:row>
          <xdr:rowOff>0</xdr:rowOff>
        </xdr:to>
        <xdr:sp macro="" textlink="">
          <xdr:nvSpPr>
            <xdr:cNvPr id="45057" name="Case à cocher 1" hidden="1">
              <a:extLst>
                <a:ext uri="{63B3BB69-23CF-44E3-9099-C40C66FF867C}">
                  <a14:compatExt spid="_x0000_s45057"/>
                </a:ext>
                <a:ext uri="{FF2B5EF4-FFF2-40B4-BE49-F238E27FC236}">
                  <a16:creationId xmlns:a16="http://schemas.microsoft.com/office/drawing/2014/main" id="{00000000-0008-0000-1500-00000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xdr:row>
          <xdr:rowOff>9525</xdr:rowOff>
        </xdr:from>
        <xdr:to>
          <xdr:col>1</xdr:col>
          <xdr:colOff>333375</xdr:colOff>
          <xdr:row>4</xdr:row>
          <xdr:rowOff>9525</xdr:rowOff>
        </xdr:to>
        <xdr:sp macro="" textlink="">
          <xdr:nvSpPr>
            <xdr:cNvPr id="45058" name="Case à cocher 2" hidden="1">
              <a:extLst>
                <a:ext uri="{63B3BB69-23CF-44E3-9099-C40C66FF867C}">
                  <a14:compatExt spid="_x0000_s45058"/>
                </a:ext>
                <a:ext uri="{FF2B5EF4-FFF2-40B4-BE49-F238E27FC236}">
                  <a16:creationId xmlns:a16="http://schemas.microsoft.com/office/drawing/2014/main" id="{00000000-0008-0000-1500-00000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7</xdr:row>
          <xdr:rowOff>0</xdr:rowOff>
        </xdr:from>
        <xdr:to>
          <xdr:col>1</xdr:col>
          <xdr:colOff>333375</xdr:colOff>
          <xdr:row>8</xdr:row>
          <xdr:rowOff>0</xdr:rowOff>
        </xdr:to>
        <xdr:sp macro="" textlink="">
          <xdr:nvSpPr>
            <xdr:cNvPr id="45059" name="Case à cocher 4" hidden="1">
              <a:extLst>
                <a:ext uri="{63B3BB69-23CF-44E3-9099-C40C66FF867C}">
                  <a14:compatExt spid="_x0000_s45059"/>
                </a:ext>
                <a:ext uri="{FF2B5EF4-FFF2-40B4-BE49-F238E27FC236}">
                  <a16:creationId xmlns:a16="http://schemas.microsoft.com/office/drawing/2014/main" id="{00000000-0008-0000-1500-00000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8</xdr:row>
          <xdr:rowOff>9525</xdr:rowOff>
        </xdr:from>
        <xdr:to>
          <xdr:col>1</xdr:col>
          <xdr:colOff>333375</xdr:colOff>
          <xdr:row>9</xdr:row>
          <xdr:rowOff>9525</xdr:rowOff>
        </xdr:to>
        <xdr:sp macro="" textlink="">
          <xdr:nvSpPr>
            <xdr:cNvPr id="45060" name="Case à cocher 5" hidden="1">
              <a:extLst>
                <a:ext uri="{63B3BB69-23CF-44E3-9099-C40C66FF867C}">
                  <a14:compatExt spid="_x0000_s45060"/>
                </a:ext>
                <a:ext uri="{FF2B5EF4-FFF2-40B4-BE49-F238E27FC236}">
                  <a16:creationId xmlns:a16="http://schemas.microsoft.com/office/drawing/2014/main" id="{00000000-0008-0000-1500-00000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29</xdr:row>
          <xdr:rowOff>190500</xdr:rowOff>
        </xdr:from>
        <xdr:to>
          <xdr:col>1</xdr:col>
          <xdr:colOff>333375</xdr:colOff>
          <xdr:row>31</xdr:row>
          <xdr:rowOff>0</xdr:rowOff>
        </xdr:to>
        <xdr:sp macro="" textlink="">
          <xdr:nvSpPr>
            <xdr:cNvPr id="45061" name="Case à cocher 6" hidden="1">
              <a:extLst>
                <a:ext uri="{63B3BB69-23CF-44E3-9099-C40C66FF867C}">
                  <a14:compatExt spid="_x0000_s45061"/>
                </a:ext>
                <a:ext uri="{FF2B5EF4-FFF2-40B4-BE49-F238E27FC236}">
                  <a16:creationId xmlns:a16="http://schemas.microsoft.com/office/drawing/2014/main" id="{00000000-0008-0000-1500-00000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15</xdr:row>
          <xdr:rowOff>19050</xdr:rowOff>
        </xdr:from>
        <xdr:to>
          <xdr:col>1</xdr:col>
          <xdr:colOff>333375</xdr:colOff>
          <xdr:row>16</xdr:row>
          <xdr:rowOff>19050</xdr:rowOff>
        </xdr:to>
        <xdr:sp macro="" textlink="">
          <xdr:nvSpPr>
            <xdr:cNvPr id="45062" name="Case à cocher 7" hidden="1">
              <a:extLst>
                <a:ext uri="{63B3BB69-23CF-44E3-9099-C40C66FF867C}">
                  <a14:compatExt spid="_x0000_s45062"/>
                </a:ext>
                <a:ext uri="{FF2B5EF4-FFF2-40B4-BE49-F238E27FC236}">
                  <a16:creationId xmlns:a16="http://schemas.microsoft.com/office/drawing/2014/main" id="{00000000-0008-0000-1500-00000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16</xdr:row>
          <xdr:rowOff>9525</xdr:rowOff>
        </xdr:from>
        <xdr:to>
          <xdr:col>1</xdr:col>
          <xdr:colOff>333375</xdr:colOff>
          <xdr:row>17</xdr:row>
          <xdr:rowOff>9525</xdr:rowOff>
        </xdr:to>
        <xdr:sp macro="" textlink="">
          <xdr:nvSpPr>
            <xdr:cNvPr id="45063" name="Case à cocher 8" hidden="1">
              <a:extLst>
                <a:ext uri="{63B3BB69-23CF-44E3-9099-C40C66FF867C}">
                  <a14:compatExt spid="_x0000_s45063"/>
                </a:ext>
                <a:ext uri="{FF2B5EF4-FFF2-40B4-BE49-F238E27FC236}">
                  <a16:creationId xmlns:a16="http://schemas.microsoft.com/office/drawing/2014/main" id="{00000000-0008-0000-1500-00000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17</xdr:row>
          <xdr:rowOff>9525</xdr:rowOff>
        </xdr:from>
        <xdr:to>
          <xdr:col>1</xdr:col>
          <xdr:colOff>333375</xdr:colOff>
          <xdr:row>18</xdr:row>
          <xdr:rowOff>9525</xdr:rowOff>
        </xdr:to>
        <xdr:sp macro="" textlink="">
          <xdr:nvSpPr>
            <xdr:cNvPr id="45064" name="Case à cocher 9" hidden="1">
              <a:extLst>
                <a:ext uri="{63B3BB69-23CF-44E3-9099-C40C66FF867C}">
                  <a14:compatExt spid="_x0000_s45064"/>
                </a:ext>
                <a:ext uri="{FF2B5EF4-FFF2-40B4-BE49-F238E27FC236}">
                  <a16:creationId xmlns:a16="http://schemas.microsoft.com/office/drawing/2014/main" id="{00000000-0008-0000-1500-00000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17</xdr:row>
          <xdr:rowOff>171450</xdr:rowOff>
        </xdr:from>
        <xdr:to>
          <xdr:col>1</xdr:col>
          <xdr:colOff>333375</xdr:colOff>
          <xdr:row>18</xdr:row>
          <xdr:rowOff>171450</xdr:rowOff>
        </xdr:to>
        <xdr:sp macro="" textlink="">
          <xdr:nvSpPr>
            <xdr:cNvPr id="45065" name="Case à cocher 10" hidden="1">
              <a:extLst>
                <a:ext uri="{63B3BB69-23CF-44E3-9099-C40C66FF867C}">
                  <a14:compatExt spid="_x0000_s45065"/>
                </a:ext>
                <a:ext uri="{FF2B5EF4-FFF2-40B4-BE49-F238E27FC236}">
                  <a16:creationId xmlns:a16="http://schemas.microsoft.com/office/drawing/2014/main" id="{00000000-0008-0000-1500-00000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18</xdr:row>
          <xdr:rowOff>171450</xdr:rowOff>
        </xdr:from>
        <xdr:to>
          <xdr:col>1</xdr:col>
          <xdr:colOff>333375</xdr:colOff>
          <xdr:row>19</xdr:row>
          <xdr:rowOff>171450</xdr:rowOff>
        </xdr:to>
        <xdr:sp macro="" textlink="">
          <xdr:nvSpPr>
            <xdr:cNvPr id="45066" name="Case à cocher 11" hidden="1">
              <a:extLst>
                <a:ext uri="{63B3BB69-23CF-44E3-9099-C40C66FF867C}">
                  <a14:compatExt spid="_x0000_s45066"/>
                </a:ext>
                <a:ext uri="{FF2B5EF4-FFF2-40B4-BE49-F238E27FC236}">
                  <a16:creationId xmlns:a16="http://schemas.microsoft.com/office/drawing/2014/main" id="{00000000-0008-0000-1500-00000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20</xdr:row>
          <xdr:rowOff>180975</xdr:rowOff>
        </xdr:from>
        <xdr:to>
          <xdr:col>1</xdr:col>
          <xdr:colOff>333375</xdr:colOff>
          <xdr:row>21</xdr:row>
          <xdr:rowOff>180975</xdr:rowOff>
        </xdr:to>
        <xdr:sp macro="" textlink="">
          <xdr:nvSpPr>
            <xdr:cNvPr id="45067" name="Check Box 11" hidden="1">
              <a:extLst>
                <a:ext uri="{63B3BB69-23CF-44E3-9099-C40C66FF867C}">
                  <a14:compatExt spid="_x0000_s45067"/>
                </a:ext>
                <a:ext uri="{FF2B5EF4-FFF2-40B4-BE49-F238E27FC236}">
                  <a16:creationId xmlns:a16="http://schemas.microsoft.com/office/drawing/2014/main" id="{00000000-0008-0000-1500-00000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642738</xdr:colOff>
      <xdr:row>0</xdr:row>
      <xdr:rowOff>35778</xdr:rowOff>
    </xdr:from>
    <xdr:to>
      <xdr:col>19</xdr:col>
      <xdr:colOff>561095</xdr:colOff>
      <xdr:row>21</xdr:row>
      <xdr:rowOff>88846</xdr:rowOff>
    </xdr:to>
    <xdr:graphicFrame macro="">
      <xdr:nvGraphicFramePr>
        <xdr:cNvPr id="13" name="Chart 1">
          <a:extLst>
            <a:ext uri="{FF2B5EF4-FFF2-40B4-BE49-F238E27FC236}">
              <a16:creationId xmlns:a16="http://schemas.microsoft.com/office/drawing/2014/main" id="{00000000-0008-0000-1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11</xdr:row>
          <xdr:rowOff>180975</xdr:rowOff>
        </xdr:from>
        <xdr:to>
          <xdr:col>1</xdr:col>
          <xdr:colOff>333375</xdr:colOff>
          <xdr:row>13</xdr:row>
          <xdr:rowOff>0</xdr:rowOff>
        </xdr:to>
        <xdr:sp macro="" textlink="">
          <xdr:nvSpPr>
            <xdr:cNvPr id="45068" name="Check Box 13" hidden="1">
              <a:extLst>
                <a:ext uri="{63B3BB69-23CF-44E3-9099-C40C66FF867C}">
                  <a14:compatExt spid="_x0000_s45068"/>
                </a:ext>
                <a:ext uri="{FF2B5EF4-FFF2-40B4-BE49-F238E27FC236}">
                  <a16:creationId xmlns:a16="http://schemas.microsoft.com/office/drawing/2014/main" id="{00000000-0008-0000-1500-00000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21</xdr:row>
          <xdr:rowOff>180975</xdr:rowOff>
        </xdr:from>
        <xdr:to>
          <xdr:col>1</xdr:col>
          <xdr:colOff>333375</xdr:colOff>
          <xdr:row>23</xdr:row>
          <xdr:rowOff>0</xdr:rowOff>
        </xdr:to>
        <xdr:sp macro="" textlink="">
          <xdr:nvSpPr>
            <xdr:cNvPr id="45069" name="Check Box 14" hidden="1">
              <a:extLst>
                <a:ext uri="{63B3BB69-23CF-44E3-9099-C40C66FF867C}">
                  <a14:compatExt spid="_x0000_s45069"/>
                </a:ext>
                <a:ext uri="{FF2B5EF4-FFF2-40B4-BE49-F238E27FC236}">
                  <a16:creationId xmlns:a16="http://schemas.microsoft.com/office/drawing/2014/main" id="{00000000-0008-0000-1500-00000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6</xdr:row>
          <xdr:rowOff>0</xdr:rowOff>
        </xdr:from>
        <xdr:to>
          <xdr:col>1</xdr:col>
          <xdr:colOff>333375</xdr:colOff>
          <xdr:row>7</xdr:row>
          <xdr:rowOff>0</xdr:rowOff>
        </xdr:to>
        <xdr:sp macro="" textlink="">
          <xdr:nvSpPr>
            <xdr:cNvPr id="45070" name="Check Box 15" hidden="1">
              <a:extLst>
                <a:ext uri="{63B3BB69-23CF-44E3-9099-C40C66FF867C}">
                  <a14:compatExt spid="_x0000_s45070"/>
                </a:ext>
                <a:ext uri="{FF2B5EF4-FFF2-40B4-BE49-F238E27FC236}">
                  <a16:creationId xmlns:a16="http://schemas.microsoft.com/office/drawing/2014/main" id="{00000000-0008-0000-1500-00000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23</xdr:row>
          <xdr:rowOff>0</xdr:rowOff>
        </xdr:from>
        <xdr:to>
          <xdr:col>1</xdr:col>
          <xdr:colOff>333375</xdr:colOff>
          <xdr:row>24</xdr:row>
          <xdr:rowOff>9525</xdr:rowOff>
        </xdr:to>
        <xdr:sp macro="" textlink="">
          <xdr:nvSpPr>
            <xdr:cNvPr id="45071" name="Check Box 16" hidden="1">
              <a:extLst>
                <a:ext uri="{63B3BB69-23CF-44E3-9099-C40C66FF867C}">
                  <a14:compatExt spid="_x0000_s45071"/>
                </a:ext>
                <a:ext uri="{FF2B5EF4-FFF2-40B4-BE49-F238E27FC236}">
                  <a16:creationId xmlns:a16="http://schemas.microsoft.com/office/drawing/2014/main" id="{00000000-0008-0000-1500-00000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23</xdr:row>
          <xdr:rowOff>180975</xdr:rowOff>
        </xdr:from>
        <xdr:to>
          <xdr:col>1</xdr:col>
          <xdr:colOff>333375</xdr:colOff>
          <xdr:row>25</xdr:row>
          <xdr:rowOff>0</xdr:rowOff>
        </xdr:to>
        <xdr:sp macro="" textlink="">
          <xdr:nvSpPr>
            <xdr:cNvPr id="45072" name="Check Box 17" hidden="1">
              <a:extLst>
                <a:ext uri="{63B3BB69-23CF-44E3-9099-C40C66FF867C}">
                  <a14:compatExt spid="_x0000_s45072"/>
                </a:ext>
                <a:ext uri="{FF2B5EF4-FFF2-40B4-BE49-F238E27FC236}">
                  <a16:creationId xmlns:a16="http://schemas.microsoft.com/office/drawing/2014/main" id="{00000000-0008-0000-1500-00001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25</xdr:row>
          <xdr:rowOff>0</xdr:rowOff>
        </xdr:from>
        <xdr:to>
          <xdr:col>1</xdr:col>
          <xdr:colOff>333375</xdr:colOff>
          <xdr:row>26</xdr:row>
          <xdr:rowOff>0</xdr:rowOff>
        </xdr:to>
        <xdr:sp macro="" textlink="">
          <xdr:nvSpPr>
            <xdr:cNvPr id="45073" name="Check Box 18" hidden="1">
              <a:extLst>
                <a:ext uri="{63B3BB69-23CF-44E3-9099-C40C66FF867C}">
                  <a14:compatExt spid="_x0000_s45073"/>
                </a:ext>
                <a:ext uri="{FF2B5EF4-FFF2-40B4-BE49-F238E27FC236}">
                  <a16:creationId xmlns:a16="http://schemas.microsoft.com/office/drawing/2014/main" id="{00000000-0008-0000-1500-00001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26</xdr:row>
          <xdr:rowOff>0</xdr:rowOff>
        </xdr:from>
        <xdr:to>
          <xdr:col>1</xdr:col>
          <xdr:colOff>333375</xdr:colOff>
          <xdr:row>27</xdr:row>
          <xdr:rowOff>0</xdr:rowOff>
        </xdr:to>
        <xdr:sp macro="" textlink="">
          <xdr:nvSpPr>
            <xdr:cNvPr id="45074" name="Check Box 19" hidden="1">
              <a:extLst>
                <a:ext uri="{63B3BB69-23CF-44E3-9099-C40C66FF867C}">
                  <a14:compatExt spid="_x0000_s45074"/>
                </a:ext>
                <a:ext uri="{FF2B5EF4-FFF2-40B4-BE49-F238E27FC236}">
                  <a16:creationId xmlns:a16="http://schemas.microsoft.com/office/drawing/2014/main" id="{00000000-0008-0000-1500-00001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21</xdr:row>
      <xdr:rowOff>152396</xdr:rowOff>
    </xdr:from>
    <xdr:to>
      <xdr:col>20</xdr:col>
      <xdr:colOff>145676</xdr:colOff>
      <xdr:row>35</xdr:row>
      <xdr:rowOff>179293</xdr:rowOff>
    </xdr:to>
    <xdr:graphicFrame macro="">
      <xdr:nvGraphicFramePr>
        <xdr:cNvPr id="21" name="Chart 20">
          <a:extLst>
            <a:ext uri="{FF2B5EF4-FFF2-40B4-BE49-F238E27FC236}">
              <a16:creationId xmlns:a16="http://schemas.microsoft.com/office/drawing/2014/main" id="{00000000-0008-0000-15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27</xdr:row>
          <xdr:rowOff>9525</xdr:rowOff>
        </xdr:from>
        <xdr:to>
          <xdr:col>1</xdr:col>
          <xdr:colOff>333375</xdr:colOff>
          <xdr:row>28</xdr:row>
          <xdr:rowOff>9525</xdr:rowOff>
        </xdr:to>
        <xdr:sp macro="" textlink="">
          <xdr:nvSpPr>
            <xdr:cNvPr id="45075" name="Check Box 20" hidden="1">
              <a:extLst>
                <a:ext uri="{63B3BB69-23CF-44E3-9099-C40C66FF867C}">
                  <a14:compatExt spid="_x0000_s45075"/>
                </a:ext>
                <a:ext uri="{FF2B5EF4-FFF2-40B4-BE49-F238E27FC236}">
                  <a16:creationId xmlns:a16="http://schemas.microsoft.com/office/drawing/2014/main" id="{00000000-0008-0000-1500-00001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28</xdr:row>
          <xdr:rowOff>9525</xdr:rowOff>
        </xdr:from>
        <xdr:to>
          <xdr:col>1</xdr:col>
          <xdr:colOff>333375</xdr:colOff>
          <xdr:row>29</xdr:row>
          <xdr:rowOff>9525</xdr:rowOff>
        </xdr:to>
        <xdr:sp macro="" textlink="">
          <xdr:nvSpPr>
            <xdr:cNvPr id="45076" name="Check Box 21" hidden="1">
              <a:extLst>
                <a:ext uri="{63B3BB69-23CF-44E3-9099-C40C66FF867C}">
                  <a14:compatExt spid="_x0000_s45076"/>
                </a:ext>
                <a:ext uri="{FF2B5EF4-FFF2-40B4-BE49-F238E27FC236}">
                  <a16:creationId xmlns:a16="http://schemas.microsoft.com/office/drawing/2014/main" id="{00000000-0008-0000-1500-00001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28</xdr:row>
          <xdr:rowOff>180975</xdr:rowOff>
        </xdr:from>
        <xdr:to>
          <xdr:col>1</xdr:col>
          <xdr:colOff>333375</xdr:colOff>
          <xdr:row>29</xdr:row>
          <xdr:rowOff>180975</xdr:rowOff>
        </xdr:to>
        <xdr:sp macro="" textlink="">
          <xdr:nvSpPr>
            <xdr:cNvPr id="45077" name="Check Box 21" hidden="1">
              <a:extLst>
                <a:ext uri="{63B3BB69-23CF-44E3-9099-C40C66FF867C}">
                  <a14:compatExt spid="_x0000_s45077"/>
                </a:ext>
                <a:ext uri="{FF2B5EF4-FFF2-40B4-BE49-F238E27FC236}">
                  <a16:creationId xmlns:a16="http://schemas.microsoft.com/office/drawing/2014/main" id="{00000000-0008-0000-1500-00001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xdr:row>
          <xdr:rowOff>0</xdr:rowOff>
        </xdr:from>
        <xdr:to>
          <xdr:col>1</xdr:col>
          <xdr:colOff>333375</xdr:colOff>
          <xdr:row>5</xdr:row>
          <xdr:rowOff>0</xdr:rowOff>
        </xdr:to>
        <xdr:sp macro="" textlink="">
          <xdr:nvSpPr>
            <xdr:cNvPr id="45078" name="Check Box 22" hidden="1">
              <a:extLst>
                <a:ext uri="{63B3BB69-23CF-44E3-9099-C40C66FF867C}">
                  <a14:compatExt spid="_x0000_s45078"/>
                </a:ext>
                <a:ext uri="{FF2B5EF4-FFF2-40B4-BE49-F238E27FC236}">
                  <a16:creationId xmlns:a16="http://schemas.microsoft.com/office/drawing/2014/main" id="{00000000-0008-0000-1500-00001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19</xdr:row>
          <xdr:rowOff>180975</xdr:rowOff>
        </xdr:from>
        <xdr:to>
          <xdr:col>1</xdr:col>
          <xdr:colOff>333375</xdr:colOff>
          <xdr:row>20</xdr:row>
          <xdr:rowOff>180975</xdr:rowOff>
        </xdr:to>
        <xdr:sp macro="" textlink="">
          <xdr:nvSpPr>
            <xdr:cNvPr id="45079" name="Check Box 23" hidden="1">
              <a:extLst>
                <a:ext uri="{63B3BB69-23CF-44E3-9099-C40C66FF867C}">
                  <a14:compatExt spid="_x0000_s45079"/>
                </a:ext>
                <a:ext uri="{FF2B5EF4-FFF2-40B4-BE49-F238E27FC236}">
                  <a16:creationId xmlns:a16="http://schemas.microsoft.com/office/drawing/2014/main" id="{00000000-0008-0000-1500-00001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10</xdr:row>
          <xdr:rowOff>190500</xdr:rowOff>
        </xdr:from>
        <xdr:to>
          <xdr:col>1</xdr:col>
          <xdr:colOff>333375</xdr:colOff>
          <xdr:row>12</xdr:row>
          <xdr:rowOff>0</xdr:rowOff>
        </xdr:to>
        <xdr:sp macro="" textlink="">
          <xdr:nvSpPr>
            <xdr:cNvPr id="45080" name="Check Box 24" hidden="1">
              <a:extLst>
                <a:ext uri="{63B3BB69-23CF-44E3-9099-C40C66FF867C}">
                  <a14:compatExt spid="_x0000_s45080"/>
                </a:ext>
                <a:ext uri="{FF2B5EF4-FFF2-40B4-BE49-F238E27FC236}">
                  <a16:creationId xmlns:a16="http://schemas.microsoft.com/office/drawing/2014/main" id="{00000000-0008-0000-1500-00001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0</xdr:rowOff>
        </xdr:from>
        <xdr:to>
          <xdr:col>1</xdr:col>
          <xdr:colOff>333375</xdr:colOff>
          <xdr:row>32</xdr:row>
          <xdr:rowOff>0</xdr:rowOff>
        </xdr:to>
        <xdr:sp macro="" textlink="">
          <xdr:nvSpPr>
            <xdr:cNvPr id="45081" name="Check Box 25" hidden="1">
              <a:extLst>
                <a:ext uri="{63B3BB69-23CF-44E3-9099-C40C66FF867C}">
                  <a14:compatExt spid="_x0000_s45081"/>
                </a:ext>
                <a:ext uri="{FF2B5EF4-FFF2-40B4-BE49-F238E27FC236}">
                  <a16:creationId xmlns:a16="http://schemas.microsoft.com/office/drawing/2014/main" id="{00000000-0008-0000-1500-00001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xdr:row>
          <xdr:rowOff>0</xdr:rowOff>
        </xdr:from>
        <xdr:to>
          <xdr:col>1</xdr:col>
          <xdr:colOff>333375</xdr:colOff>
          <xdr:row>33</xdr:row>
          <xdr:rowOff>0</xdr:rowOff>
        </xdr:to>
        <xdr:sp macro="" textlink="">
          <xdr:nvSpPr>
            <xdr:cNvPr id="45082" name="Check Box 26" hidden="1">
              <a:extLst>
                <a:ext uri="{63B3BB69-23CF-44E3-9099-C40C66FF867C}">
                  <a14:compatExt spid="_x0000_s45082"/>
                </a:ext>
                <a:ext uri="{FF2B5EF4-FFF2-40B4-BE49-F238E27FC236}">
                  <a16:creationId xmlns:a16="http://schemas.microsoft.com/office/drawing/2014/main" id="{00000000-0008-0000-1500-00001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33</xdr:row>
          <xdr:rowOff>0</xdr:rowOff>
        </xdr:from>
        <xdr:to>
          <xdr:col>1</xdr:col>
          <xdr:colOff>333375</xdr:colOff>
          <xdr:row>34</xdr:row>
          <xdr:rowOff>0</xdr:rowOff>
        </xdr:to>
        <xdr:sp macro="" textlink="">
          <xdr:nvSpPr>
            <xdr:cNvPr id="45083" name="Check Box 27" hidden="1">
              <a:extLst>
                <a:ext uri="{63B3BB69-23CF-44E3-9099-C40C66FF867C}">
                  <a14:compatExt spid="_x0000_s45083"/>
                </a:ext>
                <a:ext uri="{FF2B5EF4-FFF2-40B4-BE49-F238E27FC236}">
                  <a16:creationId xmlns:a16="http://schemas.microsoft.com/office/drawing/2014/main" id="{00000000-0008-0000-1500-00001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33</xdr:row>
          <xdr:rowOff>171450</xdr:rowOff>
        </xdr:from>
        <xdr:to>
          <xdr:col>1</xdr:col>
          <xdr:colOff>333375</xdr:colOff>
          <xdr:row>34</xdr:row>
          <xdr:rowOff>171450</xdr:rowOff>
        </xdr:to>
        <xdr:sp macro="" textlink="">
          <xdr:nvSpPr>
            <xdr:cNvPr id="45084" name="Check Box 28" hidden="1">
              <a:extLst>
                <a:ext uri="{63B3BB69-23CF-44E3-9099-C40C66FF867C}">
                  <a14:compatExt spid="_x0000_s45084"/>
                </a:ext>
                <a:ext uri="{FF2B5EF4-FFF2-40B4-BE49-F238E27FC236}">
                  <a16:creationId xmlns:a16="http://schemas.microsoft.com/office/drawing/2014/main" id="{00000000-0008-0000-1500-00001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5</xdr:row>
          <xdr:rowOff>0</xdr:rowOff>
        </xdr:from>
        <xdr:to>
          <xdr:col>1</xdr:col>
          <xdr:colOff>333375</xdr:colOff>
          <xdr:row>6</xdr:row>
          <xdr:rowOff>0</xdr:rowOff>
        </xdr:to>
        <xdr:sp macro="" textlink="">
          <xdr:nvSpPr>
            <xdr:cNvPr id="45085" name="Check Box 29" hidden="1">
              <a:extLst>
                <a:ext uri="{63B3BB69-23CF-44E3-9099-C40C66FF867C}">
                  <a14:compatExt spid="_x0000_s45085"/>
                </a:ext>
                <a:ext uri="{FF2B5EF4-FFF2-40B4-BE49-F238E27FC236}">
                  <a16:creationId xmlns:a16="http://schemas.microsoft.com/office/drawing/2014/main" id="{00000000-0008-0000-1500-00001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257737</xdr:colOff>
      <xdr:row>47</xdr:row>
      <xdr:rowOff>123264</xdr:rowOff>
    </xdr:from>
    <xdr:to>
      <xdr:col>11</xdr:col>
      <xdr:colOff>267103</xdr:colOff>
      <xdr:row>63</xdr:row>
      <xdr:rowOff>38902</xdr:rowOff>
    </xdr:to>
    <xdr:graphicFrame macro="">
      <xdr:nvGraphicFramePr>
        <xdr:cNvPr id="33" name="Chart 32">
          <a:extLst>
            <a:ext uri="{FF2B5EF4-FFF2-40B4-BE49-F238E27FC236}">
              <a16:creationId xmlns:a16="http://schemas.microsoft.com/office/drawing/2014/main" id="{00000000-0008-0000-1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336177</xdr:colOff>
      <xdr:row>47</xdr:row>
      <xdr:rowOff>123264</xdr:rowOff>
    </xdr:from>
    <xdr:to>
      <xdr:col>6</xdr:col>
      <xdr:colOff>110220</xdr:colOff>
      <xdr:row>63</xdr:row>
      <xdr:rowOff>38902</xdr:rowOff>
    </xdr:to>
    <xdr:graphicFrame macro="">
      <xdr:nvGraphicFramePr>
        <xdr:cNvPr id="34" name="Chart 33">
          <a:extLst>
            <a:ext uri="{FF2B5EF4-FFF2-40B4-BE49-F238E27FC236}">
              <a16:creationId xmlns:a16="http://schemas.microsoft.com/office/drawing/2014/main" id="{00000000-0008-0000-1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33618</xdr:colOff>
      <xdr:row>47</xdr:row>
      <xdr:rowOff>123264</xdr:rowOff>
    </xdr:from>
    <xdr:to>
      <xdr:col>15</xdr:col>
      <xdr:colOff>681719</xdr:colOff>
      <xdr:row>63</xdr:row>
      <xdr:rowOff>38902</xdr:rowOff>
    </xdr:to>
    <xdr:graphicFrame macro="">
      <xdr:nvGraphicFramePr>
        <xdr:cNvPr id="35" name="Chart 34">
          <a:extLst>
            <a:ext uri="{FF2B5EF4-FFF2-40B4-BE49-F238E27FC236}">
              <a16:creationId xmlns:a16="http://schemas.microsoft.com/office/drawing/2014/main" id="{00000000-0008-0000-15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8</xdr:row>
          <xdr:rowOff>180975</xdr:rowOff>
        </xdr:from>
        <xdr:to>
          <xdr:col>1</xdr:col>
          <xdr:colOff>333375</xdr:colOff>
          <xdr:row>9</xdr:row>
          <xdr:rowOff>180975</xdr:rowOff>
        </xdr:to>
        <xdr:sp macro="" textlink="">
          <xdr:nvSpPr>
            <xdr:cNvPr id="45086" name="Check Box 30" hidden="1">
              <a:extLst>
                <a:ext uri="{63B3BB69-23CF-44E3-9099-C40C66FF867C}">
                  <a14:compatExt spid="_x0000_s45086"/>
                </a:ext>
                <a:ext uri="{FF2B5EF4-FFF2-40B4-BE49-F238E27FC236}">
                  <a16:creationId xmlns:a16="http://schemas.microsoft.com/office/drawing/2014/main" id="{00000000-0008-0000-1500-00001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12</xdr:row>
          <xdr:rowOff>171450</xdr:rowOff>
        </xdr:from>
        <xdr:to>
          <xdr:col>1</xdr:col>
          <xdr:colOff>333375</xdr:colOff>
          <xdr:row>13</xdr:row>
          <xdr:rowOff>180975</xdr:rowOff>
        </xdr:to>
        <xdr:sp macro="" textlink="">
          <xdr:nvSpPr>
            <xdr:cNvPr id="45087" name="Check Box 31" hidden="1">
              <a:extLst>
                <a:ext uri="{63B3BB69-23CF-44E3-9099-C40C66FF867C}">
                  <a14:compatExt spid="_x0000_s45087"/>
                </a:ext>
                <a:ext uri="{FF2B5EF4-FFF2-40B4-BE49-F238E27FC236}">
                  <a16:creationId xmlns:a16="http://schemas.microsoft.com/office/drawing/2014/main" id="{00000000-0008-0000-1500-00001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34</xdr:row>
          <xdr:rowOff>180975</xdr:rowOff>
        </xdr:from>
        <xdr:to>
          <xdr:col>1</xdr:col>
          <xdr:colOff>333375</xdr:colOff>
          <xdr:row>35</xdr:row>
          <xdr:rowOff>180975</xdr:rowOff>
        </xdr:to>
        <xdr:sp macro="" textlink="">
          <xdr:nvSpPr>
            <xdr:cNvPr id="45088" name="Check Box 32" hidden="1">
              <a:extLst>
                <a:ext uri="{63B3BB69-23CF-44E3-9099-C40C66FF867C}">
                  <a14:compatExt spid="_x0000_s45088"/>
                </a:ext>
                <a:ext uri="{FF2B5EF4-FFF2-40B4-BE49-F238E27FC236}">
                  <a16:creationId xmlns:a16="http://schemas.microsoft.com/office/drawing/2014/main" id="{00000000-0008-0000-1500-00002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35</xdr:row>
          <xdr:rowOff>180975</xdr:rowOff>
        </xdr:from>
        <xdr:to>
          <xdr:col>1</xdr:col>
          <xdr:colOff>333375</xdr:colOff>
          <xdr:row>36</xdr:row>
          <xdr:rowOff>180975</xdr:rowOff>
        </xdr:to>
        <xdr:sp macro="" textlink="">
          <xdr:nvSpPr>
            <xdr:cNvPr id="45089" name="Check Box 33" hidden="1">
              <a:extLst>
                <a:ext uri="{63B3BB69-23CF-44E3-9099-C40C66FF867C}">
                  <a14:compatExt spid="_x0000_s45089"/>
                </a:ext>
                <a:ext uri="{FF2B5EF4-FFF2-40B4-BE49-F238E27FC236}">
                  <a16:creationId xmlns:a16="http://schemas.microsoft.com/office/drawing/2014/main" id="{00000000-0008-0000-1500-00002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13</xdr:row>
          <xdr:rowOff>161925</xdr:rowOff>
        </xdr:from>
        <xdr:to>
          <xdr:col>1</xdr:col>
          <xdr:colOff>333375</xdr:colOff>
          <xdr:row>14</xdr:row>
          <xdr:rowOff>171450</xdr:rowOff>
        </xdr:to>
        <xdr:sp macro="" textlink="">
          <xdr:nvSpPr>
            <xdr:cNvPr id="45090" name="Check Box 34" hidden="1">
              <a:extLst>
                <a:ext uri="{63B3BB69-23CF-44E3-9099-C40C66FF867C}">
                  <a14:compatExt spid="_x0000_s45090"/>
                </a:ext>
                <a:ext uri="{FF2B5EF4-FFF2-40B4-BE49-F238E27FC236}">
                  <a16:creationId xmlns:a16="http://schemas.microsoft.com/office/drawing/2014/main" id="{00000000-0008-0000-1500-00002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36</xdr:row>
          <xdr:rowOff>180975</xdr:rowOff>
        </xdr:from>
        <xdr:to>
          <xdr:col>1</xdr:col>
          <xdr:colOff>323850</xdr:colOff>
          <xdr:row>37</xdr:row>
          <xdr:rowOff>180975</xdr:rowOff>
        </xdr:to>
        <xdr:sp macro="" textlink="">
          <xdr:nvSpPr>
            <xdr:cNvPr id="45091" name="Check Box 35" hidden="1">
              <a:extLst>
                <a:ext uri="{63B3BB69-23CF-44E3-9099-C40C66FF867C}">
                  <a14:compatExt spid="_x0000_s45091"/>
                </a:ext>
                <a:ext uri="{FF2B5EF4-FFF2-40B4-BE49-F238E27FC236}">
                  <a16:creationId xmlns:a16="http://schemas.microsoft.com/office/drawing/2014/main" id="{00000000-0008-0000-1500-00002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0</xdr:col>
      <xdr:colOff>771525</xdr:colOff>
      <xdr:row>1</xdr:row>
      <xdr:rowOff>9525</xdr:rowOff>
    </xdr:to>
    <xdr:pic>
      <xdr:nvPicPr>
        <xdr:cNvPr id="42" name="Picture 41">
          <a:extLst>
            <a:ext uri="{FF2B5EF4-FFF2-40B4-BE49-F238E27FC236}">
              <a16:creationId xmlns:a16="http://schemas.microsoft.com/office/drawing/2014/main" id="{00000000-0008-0000-1500-00002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0"/>
          <a:ext cx="7715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142875</xdr:colOff>
          <xdr:row>38</xdr:row>
          <xdr:rowOff>171450</xdr:rowOff>
        </xdr:from>
        <xdr:to>
          <xdr:col>1</xdr:col>
          <xdr:colOff>323850</xdr:colOff>
          <xdr:row>39</xdr:row>
          <xdr:rowOff>171450</xdr:rowOff>
        </xdr:to>
        <xdr:sp macro="" textlink="">
          <xdr:nvSpPr>
            <xdr:cNvPr id="45092" name="Check Box 36" hidden="1">
              <a:extLst>
                <a:ext uri="{63B3BB69-23CF-44E3-9099-C40C66FF867C}">
                  <a14:compatExt spid="_x0000_s45092"/>
                </a:ext>
                <a:ext uri="{FF2B5EF4-FFF2-40B4-BE49-F238E27FC236}">
                  <a16:creationId xmlns:a16="http://schemas.microsoft.com/office/drawing/2014/main" id="{00000000-0008-0000-1500-00002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37</xdr:row>
          <xdr:rowOff>180975</xdr:rowOff>
        </xdr:from>
        <xdr:to>
          <xdr:col>1</xdr:col>
          <xdr:colOff>342900</xdr:colOff>
          <xdr:row>38</xdr:row>
          <xdr:rowOff>180975</xdr:rowOff>
        </xdr:to>
        <xdr:sp macro="" textlink="">
          <xdr:nvSpPr>
            <xdr:cNvPr id="45093" name="Check Box 37" hidden="1">
              <a:extLst>
                <a:ext uri="{63B3BB69-23CF-44E3-9099-C40C66FF867C}">
                  <a14:compatExt spid="_x0000_s45093"/>
                </a:ext>
                <a:ext uri="{FF2B5EF4-FFF2-40B4-BE49-F238E27FC236}">
                  <a16:creationId xmlns:a16="http://schemas.microsoft.com/office/drawing/2014/main" id="{00000000-0008-0000-1500-00002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9</xdr:row>
          <xdr:rowOff>171450</xdr:rowOff>
        </xdr:from>
        <xdr:to>
          <xdr:col>1</xdr:col>
          <xdr:colOff>323850</xdr:colOff>
          <xdr:row>10</xdr:row>
          <xdr:rowOff>171450</xdr:rowOff>
        </xdr:to>
        <xdr:sp macro="" textlink="">
          <xdr:nvSpPr>
            <xdr:cNvPr id="45094" name="Check Box 38" hidden="1">
              <a:extLst>
                <a:ext uri="{63B3BB69-23CF-44E3-9099-C40C66FF867C}">
                  <a14:compatExt spid="_x0000_s45094"/>
                </a:ext>
                <a:ext uri="{FF2B5EF4-FFF2-40B4-BE49-F238E27FC236}">
                  <a16:creationId xmlns:a16="http://schemas.microsoft.com/office/drawing/2014/main" id="{00000000-0008-0000-1500-00002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39</xdr:row>
          <xdr:rowOff>180975</xdr:rowOff>
        </xdr:from>
        <xdr:to>
          <xdr:col>1</xdr:col>
          <xdr:colOff>323850</xdr:colOff>
          <xdr:row>40</xdr:row>
          <xdr:rowOff>180975</xdr:rowOff>
        </xdr:to>
        <xdr:sp macro="" textlink="">
          <xdr:nvSpPr>
            <xdr:cNvPr id="45095" name="Check Box 39" hidden="1">
              <a:extLst>
                <a:ext uri="{63B3BB69-23CF-44E3-9099-C40C66FF867C}">
                  <a14:compatExt spid="_x0000_s45095"/>
                </a:ext>
                <a:ext uri="{FF2B5EF4-FFF2-40B4-BE49-F238E27FC236}">
                  <a16:creationId xmlns:a16="http://schemas.microsoft.com/office/drawing/2014/main" id="{00000000-0008-0000-1500-00002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0</xdr:rowOff>
        </xdr:from>
        <xdr:to>
          <xdr:col>1</xdr:col>
          <xdr:colOff>342900</xdr:colOff>
          <xdr:row>4</xdr:row>
          <xdr:rowOff>0</xdr:rowOff>
        </xdr:to>
        <xdr:sp macro="" textlink="">
          <xdr:nvSpPr>
            <xdr:cNvPr id="46081" name="Case à cocher 1" hidden="1">
              <a:extLst>
                <a:ext uri="{63B3BB69-23CF-44E3-9099-C40C66FF867C}">
                  <a14:compatExt spid="_x0000_s46081"/>
                </a:ext>
                <a:ext uri="{FF2B5EF4-FFF2-40B4-BE49-F238E27FC236}">
                  <a16:creationId xmlns:a16="http://schemas.microsoft.com/office/drawing/2014/main" id="{00000000-0008-0000-1600-000001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xdr:row>
          <xdr:rowOff>9525</xdr:rowOff>
        </xdr:from>
        <xdr:to>
          <xdr:col>1</xdr:col>
          <xdr:colOff>333375</xdr:colOff>
          <xdr:row>4</xdr:row>
          <xdr:rowOff>9525</xdr:rowOff>
        </xdr:to>
        <xdr:sp macro="" textlink="">
          <xdr:nvSpPr>
            <xdr:cNvPr id="46082" name="Case à cocher 2" hidden="1">
              <a:extLst>
                <a:ext uri="{63B3BB69-23CF-44E3-9099-C40C66FF867C}">
                  <a14:compatExt spid="_x0000_s46082"/>
                </a:ext>
                <a:ext uri="{FF2B5EF4-FFF2-40B4-BE49-F238E27FC236}">
                  <a16:creationId xmlns:a16="http://schemas.microsoft.com/office/drawing/2014/main" id="{00000000-0008-0000-1600-000002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7</xdr:row>
          <xdr:rowOff>0</xdr:rowOff>
        </xdr:from>
        <xdr:to>
          <xdr:col>1</xdr:col>
          <xdr:colOff>333375</xdr:colOff>
          <xdr:row>8</xdr:row>
          <xdr:rowOff>0</xdr:rowOff>
        </xdr:to>
        <xdr:sp macro="" textlink="">
          <xdr:nvSpPr>
            <xdr:cNvPr id="46083" name="Case à cocher 4" hidden="1">
              <a:extLst>
                <a:ext uri="{63B3BB69-23CF-44E3-9099-C40C66FF867C}">
                  <a14:compatExt spid="_x0000_s46083"/>
                </a:ext>
                <a:ext uri="{FF2B5EF4-FFF2-40B4-BE49-F238E27FC236}">
                  <a16:creationId xmlns:a16="http://schemas.microsoft.com/office/drawing/2014/main" id="{00000000-0008-0000-1600-000003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8</xdr:row>
          <xdr:rowOff>9525</xdr:rowOff>
        </xdr:from>
        <xdr:to>
          <xdr:col>1</xdr:col>
          <xdr:colOff>333375</xdr:colOff>
          <xdr:row>9</xdr:row>
          <xdr:rowOff>9525</xdr:rowOff>
        </xdr:to>
        <xdr:sp macro="" textlink="">
          <xdr:nvSpPr>
            <xdr:cNvPr id="46084" name="Case à cocher 5" hidden="1">
              <a:extLst>
                <a:ext uri="{63B3BB69-23CF-44E3-9099-C40C66FF867C}">
                  <a14:compatExt spid="_x0000_s46084"/>
                </a:ext>
                <a:ext uri="{FF2B5EF4-FFF2-40B4-BE49-F238E27FC236}">
                  <a16:creationId xmlns:a16="http://schemas.microsoft.com/office/drawing/2014/main" id="{00000000-0008-0000-1600-000004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29</xdr:row>
          <xdr:rowOff>190500</xdr:rowOff>
        </xdr:from>
        <xdr:to>
          <xdr:col>1</xdr:col>
          <xdr:colOff>333375</xdr:colOff>
          <xdr:row>31</xdr:row>
          <xdr:rowOff>0</xdr:rowOff>
        </xdr:to>
        <xdr:sp macro="" textlink="">
          <xdr:nvSpPr>
            <xdr:cNvPr id="46085" name="Case à cocher 6" hidden="1">
              <a:extLst>
                <a:ext uri="{63B3BB69-23CF-44E3-9099-C40C66FF867C}">
                  <a14:compatExt spid="_x0000_s46085"/>
                </a:ext>
                <a:ext uri="{FF2B5EF4-FFF2-40B4-BE49-F238E27FC236}">
                  <a16:creationId xmlns:a16="http://schemas.microsoft.com/office/drawing/2014/main" id="{00000000-0008-0000-1600-000005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15</xdr:row>
          <xdr:rowOff>19050</xdr:rowOff>
        </xdr:from>
        <xdr:to>
          <xdr:col>1</xdr:col>
          <xdr:colOff>333375</xdr:colOff>
          <xdr:row>16</xdr:row>
          <xdr:rowOff>19050</xdr:rowOff>
        </xdr:to>
        <xdr:sp macro="" textlink="">
          <xdr:nvSpPr>
            <xdr:cNvPr id="46086" name="Case à cocher 7" hidden="1">
              <a:extLst>
                <a:ext uri="{63B3BB69-23CF-44E3-9099-C40C66FF867C}">
                  <a14:compatExt spid="_x0000_s46086"/>
                </a:ext>
                <a:ext uri="{FF2B5EF4-FFF2-40B4-BE49-F238E27FC236}">
                  <a16:creationId xmlns:a16="http://schemas.microsoft.com/office/drawing/2014/main" id="{00000000-0008-0000-1600-000006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16</xdr:row>
          <xdr:rowOff>9525</xdr:rowOff>
        </xdr:from>
        <xdr:to>
          <xdr:col>1</xdr:col>
          <xdr:colOff>333375</xdr:colOff>
          <xdr:row>17</xdr:row>
          <xdr:rowOff>9525</xdr:rowOff>
        </xdr:to>
        <xdr:sp macro="" textlink="">
          <xdr:nvSpPr>
            <xdr:cNvPr id="46087" name="Case à cocher 8" hidden="1">
              <a:extLst>
                <a:ext uri="{63B3BB69-23CF-44E3-9099-C40C66FF867C}">
                  <a14:compatExt spid="_x0000_s46087"/>
                </a:ext>
                <a:ext uri="{FF2B5EF4-FFF2-40B4-BE49-F238E27FC236}">
                  <a16:creationId xmlns:a16="http://schemas.microsoft.com/office/drawing/2014/main" id="{00000000-0008-0000-1600-000007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17</xdr:row>
          <xdr:rowOff>9525</xdr:rowOff>
        </xdr:from>
        <xdr:to>
          <xdr:col>1</xdr:col>
          <xdr:colOff>333375</xdr:colOff>
          <xdr:row>18</xdr:row>
          <xdr:rowOff>9525</xdr:rowOff>
        </xdr:to>
        <xdr:sp macro="" textlink="">
          <xdr:nvSpPr>
            <xdr:cNvPr id="46088" name="Case à cocher 9" hidden="1">
              <a:extLst>
                <a:ext uri="{63B3BB69-23CF-44E3-9099-C40C66FF867C}">
                  <a14:compatExt spid="_x0000_s46088"/>
                </a:ext>
                <a:ext uri="{FF2B5EF4-FFF2-40B4-BE49-F238E27FC236}">
                  <a16:creationId xmlns:a16="http://schemas.microsoft.com/office/drawing/2014/main" id="{00000000-0008-0000-1600-000008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17</xdr:row>
          <xdr:rowOff>171450</xdr:rowOff>
        </xdr:from>
        <xdr:to>
          <xdr:col>1</xdr:col>
          <xdr:colOff>333375</xdr:colOff>
          <xdr:row>18</xdr:row>
          <xdr:rowOff>171450</xdr:rowOff>
        </xdr:to>
        <xdr:sp macro="" textlink="">
          <xdr:nvSpPr>
            <xdr:cNvPr id="46089" name="Case à cocher 10" hidden="1">
              <a:extLst>
                <a:ext uri="{63B3BB69-23CF-44E3-9099-C40C66FF867C}">
                  <a14:compatExt spid="_x0000_s46089"/>
                </a:ext>
                <a:ext uri="{FF2B5EF4-FFF2-40B4-BE49-F238E27FC236}">
                  <a16:creationId xmlns:a16="http://schemas.microsoft.com/office/drawing/2014/main" id="{00000000-0008-0000-1600-000009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18</xdr:row>
          <xdr:rowOff>171450</xdr:rowOff>
        </xdr:from>
        <xdr:to>
          <xdr:col>1</xdr:col>
          <xdr:colOff>333375</xdr:colOff>
          <xdr:row>19</xdr:row>
          <xdr:rowOff>171450</xdr:rowOff>
        </xdr:to>
        <xdr:sp macro="" textlink="">
          <xdr:nvSpPr>
            <xdr:cNvPr id="46090" name="Case à cocher 11" hidden="1">
              <a:extLst>
                <a:ext uri="{63B3BB69-23CF-44E3-9099-C40C66FF867C}">
                  <a14:compatExt spid="_x0000_s46090"/>
                </a:ext>
                <a:ext uri="{FF2B5EF4-FFF2-40B4-BE49-F238E27FC236}">
                  <a16:creationId xmlns:a16="http://schemas.microsoft.com/office/drawing/2014/main" id="{00000000-0008-0000-1600-00000A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20</xdr:row>
          <xdr:rowOff>180975</xdr:rowOff>
        </xdr:from>
        <xdr:to>
          <xdr:col>1</xdr:col>
          <xdr:colOff>333375</xdr:colOff>
          <xdr:row>21</xdr:row>
          <xdr:rowOff>180975</xdr:rowOff>
        </xdr:to>
        <xdr:sp macro="" textlink="">
          <xdr:nvSpPr>
            <xdr:cNvPr id="46091" name="Check Box 11" hidden="1">
              <a:extLst>
                <a:ext uri="{63B3BB69-23CF-44E3-9099-C40C66FF867C}">
                  <a14:compatExt spid="_x0000_s46091"/>
                </a:ext>
                <a:ext uri="{FF2B5EF4-FFF2-40B4-BE49-F238E27FC236}">
                  <a16:creationId xmlns:a16="http://schemas.microsoft.com/office/drawing/2014/main" id="{00000000-0008-0000-1600-00000B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642738</xdr:colOff>
      <xdr:row>0</xdr:row>
      <xdr:rowOff>35778</xdr:rowOff>
    </xdr:from>
    <xdr:to>
      <xdr:col>19</xdr:col>
      <xdr:colOff>561095</xdr:colOff>
      <xdr:row>21</xdr:row>
      <xdr:rowOff>88846</xdr:rowOff>
    </xdr:to>
    <xdr:graphicFrame macro="">
      <xdr:nvGraphicFramePr>
        <xdr:cNvPr id="13" name="Chart 1">
          <a:extLst>
            <a:ext uri="{FF2B5EF4-FFF2-40B4-BE49-F238E27FC236}">
              <a16:creationId xmlns:a16="http://schemas.microsoft.com/office/drawing/2014/main" id="{00000000-0008-0000-1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11</xdr:row>
          <xdr:rowOff>180975</xdr:rowOff>
        </xdr:from>
        <xdr:to>
          <xdr:col>1</xdr:col>
          <xdr:colOff>333375</xdr:colOff>
          <xdr:row>13</xdr:row>
          <xdr:rowOff>0</xdr:rowOff>
        </xdr:to>
        <xdr:sp macro="" textlink="">
          <xdr:nvSpPr>
            <xdr:cNvPr id="46092" name="Check Box 13" hidden="1">
              <a:extLst>
                <a:ext uri="{63B3BB69-23CF-44E3-9099-C40C66FF867C}">
                  <a14:compatExt spid="_x0000_s46092"/>
                </a:ext>
                <a:ext uri="{FF2B5EF4-FFF2-40B4-BE49-F238E27FC236}">
                  <a16:creationId xmlns:a16="http://schemas.microsoft.com/office/drawing/2014/main" id="{00000000-0008-0000-1600-00000C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21</xdr:row>
          <xdr:rowOff>180975</xdr:rowOff>
        </xdr:from>
        <xdr:to>
          <xdr:col>1</xdr:col>
          <xdr:colOff>333375</xdr:colOff>
          <xdr:row>23</xdr:row>
          <xdr:rowOff>0</xdr:rowOff>
        </xdr:to>
        <xdr:sp macro="" textlink="">
          <xdr:nvSpPr>
            <xdr:cNvPr id="46093" name="Check Box 14" hidden="1">
              <a:extLst>
                <a:ext uri="{63B3BB69-23CF-44E3-9099-C40C66FF867C}">
                  <a14:compatExt spid="_x0000_s46093"/>
                </a:ext>
                <a:ext uri="{FF2B5EF4-FFF2-40B4-BE49-F238E27FC236}">
                  <a16:creationId xmlns:a16="http://schemas.microsoft.com/office/drawing/2014/main" id="{00000000-0008-0000-1600-00000D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6</xdr:row>
          <xdr:rowOff>0</xdr:rowOff>
        </xdr:from>
        <xdr:to>
          <xdr:col>1</xdr:col>
          <xdr:colOff>333375</xdr:colOff>
          <xdr:row>7</xdr:row>
          <xdr:rowOff>0</xdr:rowOff>
        </xdr:to>
        <xdr:sp macro="" textlink="">
          <xdr:nvSpPr>
            <xdr:cNvPr id="46094" name="Check Box 15" hidden="1">
              <a:extLst>
                <a:ext uri="{63B3BB69-23CF-44E3-9099-C40C66FF867C}">
                  <a14:compatExt spid="_x0000_s46094"/>
                </a:ext>
                <a:ext uri="{FF2B5EF4-FFF2-40B4-BE49-F238E27FC236}">
                  <a16:creationId xmlns:a16="http://schemas.microsoft.com/office/drawing/2014/main" id="{00000000-0008-0000-1600-00000E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23</xdr:row>
          <xdr:rowOff>0</xdr:rowOff>
        </xdr:from>
        <xdr:to>
          <xdr:col>1</xdr:col>
          <xdr:colOff>333375</xdr:colOff>
          <xdr:row>24</xdr:row>
          <xdr:rowOff>9525</xdr:rowOff>
        </xdr:to>
        <xdr:sp macro="" textlink="">
          <xdr:nvSpPr>
            <xdr:cNvPr id="46095" name="Check Box 16" hidden="1">
              <a:extLst>
                <a:ext uri="{63B3BB69-23CF-44E3-9099-C40C66FF867C}">
                  <a14:compatExt spid="_x0000_s46095"/>
                </a:ext>
                <a:ext uri="{FF2B5EF4-FFF2-40B4-BE49-F238E27FC236}">
                  <a16:creationId xmlns:a16="http://schemas.microsoft.com/office/drawing/2014/main" id="{00000000-0008-0000-1600-00000F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23</xdr:row>
          <xdr:rowOff>180975</xdr:rowOff>
        </xdr:from>
        <xdr:to>
          <xdr:col>1</xdr:col>
          <xdr:colOff>333375</xdr:colOff>
          <xdr:row>25</xdr:row>
          <xdr:rowOff>0</xdr:rowOff>
        </xdr:to>
        <xdr:sp macro="" textlink="">
          <xdr:nvSpPr>
            <xdr:cNvPr id="46096" name="Check Box 17" hidden="1">
              <a:extLst>
                <a:ext uri="{63B3BB69-23CF-44E3-9099-C40C66FF867C}">
                  <a14:compatExt spid="_x0000_s46096"/>
                </a:ext>
                <a:ext uri="{FF2B5EF4-FFF2-40B4-BE49-F238E27FC236}">
                  <a16:creationId xmlns:a16="http://schemas.microsoft.com/office/drawing/2014/main" id="{00000000-0008-0000-1600-000010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25</xdr:row>
          <xdr:rowOff>0</xdr:rowOff>
        </xdr:from>
        <xdr:to>
          <xdr:col>1</xdr:col>
          <xdr:colOff>333375</xdr:colOff>
          <xdr:row>26</xdr:row>
          <xdr:rowOff>0</xdr:rowOff>
        </xdr:to>
        <xdr:sp macro="" textlink="">
          <xdr:nvSpPr>
            <xdr:cNvPr id="46097" name="Check Box 18" hidden="1">
              <a:extLst>
                <a:ext uri="{63B3BB69-23CF-44E3-9099-C40C66FF867C}">
                  <a14:compatExt spid="_x0000_s46097"/>
                </a:ext>
                <a:ext uri="{FF2B5EF4-FFF2-40B4-BE49-F238E27FC236}">
                  <a16:creationId xmlns:a16="http://schemas.microsoft.com/office/drawing/2014/main" id="{00000000-0008-0000-1600-000011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26</xdr:row>
          <xdr:rowOff>0</xdr:rowOff>
        </xdr:from>
        <xdr:to>
          <xdr:col>1</xdr:col>
          <xdr:colOff>333375</xdr:colOff>
          <xdr:row>27</xdr:row>
          <xdr:rowOff>0</xdr:rowOff>
        </xdr:to>
        <xdr:sp macro="" textlink="">
          <xdr:nvSpPr>
            <xdr:cNvPr id="46098" name="Check Box 19" hidden="1">
              <a:extLst>
                <a:ext uri="{63B3BB69-23CF-44E3-9099-C40C66FF867C}">
                  <a14:compatExt spid="_x0000_s46098"/>
                </a:ext>
                <a:ext uri="{FF2B5EF4-FFF2-40B4-BE49-F238E27FC236}">
                  <a16:creationId xmlns:a16="http://schemas.microsoft.com/office/drawing/2014/main" id="{00000000-0008-0000-1600-000012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21</xdr:row>
      <xdr:rowOff>152396</xdr:rowOff>
    </xdr:from>
    <xdr:to>
      <xdr:col>20</xdr:col>
      <xdr:colOff>145676</xdr:colOff>
      <xdr:row>35</xdr:row>
      <xdr:rowOff>179293</xdr:rowOff>
    </xdr:to>
    <xdr:graphicFrame macro="">
      <xdr:nvGraphicFramePr>
        <xdr:cNvPr id="21" name="Chart 20">
          <a:extLst>
            <a:ext uri="{FF2B5EF4-FFF2-40B4-BE49-F238E27FC236}">
              <a16:creationId xmlns:a16="http://schemas.microsoft.com/office/drawing/2014/main" id="{00000000-0008-0000-1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27</xdr:row>
          <xdr:rowOff>9525</xdr:rowOff>
        </xdr:from>
        <xdr:to>
          <xdr:col>1</xdr:col>
          <xdr:colOff>333375</xdr:colOff>
          <xdr:row>28</xdr:row>
          <xdr:rowOff>9525</xdr:rowOff>
        </xdr:to>
        <xdr:sp macro="" textlink="">
          <xdr:nvSpPr>
            <xdr:cNvPr id="46099" name="Check Box 20" hidden="1">
              <a:extLst>
                <a:ext uri="{63B3BB69-23CF-44E3-9099-C40C66FF867C}">
                  <a14:compatExt spid="_x0000_s46099"/>
                </a:ext>
                <a:ext uri="{FF2B5EF4-FFF2-40B4-BE49-F238E27FC236}">
                  <a16:creationId xmlns:a16="http://schemas.microsoft.com/office/drawing/2014/main" id="{00000000-0008-0000-1600-000013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28</xdr:row>
          <xdr:rowOff>9525</xdr:rowOff>
        </xdr:from>
        <xdr:to>
          <xdr:col>1</xdr:col>
          <xdr:colOff>333375</xdr:colOff>
          <xdr:row>29</xdr:row>
          <xdr:rowOff>9525</xdr:rowOff>
        </xdr:to>
        <xdr:sp macro="" textlink="">
          <xdr:nvSpPr>
            <xdr:cNvPr id="46100" name="Check Box 21" hidden="1">
              <a:extLst>
                <a:ext uri="{63B3BB69-23CF-44E3-9099-C40C66FF867C}">
                  <a14:compatExt spid="_x0000_s46100"/>
                </a:ext>
                <a:ext uri="{FF2B5EF4-FFF2-40B4-BE49-F238E27FC236}">
                  <a16:creationId xmlns:a16="http://schemas.microsoft.com/office/drawing/2014/main" id="{00000000-0008-0000-1600-000014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28</xdr:row>
          <xdr:rowOff>180975</xdr:rowOff>
        </xdr:from>
        <xdr:to>
          <xdr:col>1</xdr:col>
          <xdr:colOff>333375</xdr:colOff>
          <xdr:row>29</xdr:row>
          <xdr:rowOff>180975</xdr:rowOff>
        </xdr:to>
        <xdr:sp macro="" textlink="">
          <xdr:nvSpPr>
            <xdr:cNvPr id="46101" name="Check Box 21" hidden="1">
              <a:extLst>
                <a:ext uri="{63B3BB69-23CF-44E3-9099-C40C66FF867C}">
                  <a14:compatExt spid="_x0000_s46101"/>
                </a:ext>
                <a:ext uri="{FF2B5EF4-FFF2-40B4-BE49-F238E27FC236}">
                  <a16:creationId xmlns:a16="http://schemas.microsoft.com/office/drawing/2014/main" id="{00000000-0008-0000-1600-000015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xdr:row>
          <xdr:rowOff>0</xdr:rowOff>
        </xdr:from>
        <xdr:to>
          <xdr:col>1</xdr:col>
          <xdr:colOff>333375</xdr:colOff>
          <xdr:row>5</xdr:row>
          <xdr:rowOff>0</xdr:rowOff>
        </xdr:to>
        <xdr:sp macro="" textlink="">
          <xdr:nvSpPr>
            <xdr:cNvPr id="46102" name="Check Box 22" hidden="1">
              <a:extLst>
                <a:ext uri="{63B3BB69-23CF-44E3-9099-C40C66FF867C}">
                  <a14:compatExt spid="_x0000_s46102"/>
                </a:ext>
                <a:ext uri="{FF2B5EF4-FFF2-40B4-BE49-F238E27FC236}">
                  <a16:creationId xmlns:a16="http://schemas.microsoft.com/office/drawing/2014/main" id="{00000000-0008-0000-1600-000016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19</xdr:row>
          <xdr:rowOff>180975</xdr:rowOff>
        </xdr:from>
        <xdr:to>
          <xdr:col>1</xdr:col>
          <xdr:colOff>333375</xdr:colOff>
          <xdr:row>20</xdr:row>
          <xdr:rowOff>180975</xdr:rowOff>
        </xdr:to>
        <xdr:sp macro="" textlink="">
          <xdr:nvSpPr>
            <xdr:cNvPr id="46103" name="Check Box 23" hidden="1">
              <a:extLst>
                <a:ext uri="{63B3BB69-23CF-44E3-9099-C40C66FF867C}">
                  <a14:compatExt spid="_x0000_s46103"/>
                </a:ext>
                <a:ext uri="{FF2B5EF4-FFF2-40B4-BE49-F238E27FC236}">
                  <a16:creationId xmlns:a16="http://schemas.microsoft.com/office/drawing/2014/main" id="{00000000-0008-0000-1600-000017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10</xdr:row>
          <xdr:rowOff>190500</xdr:rowOff>
        </xdr:from>
        <xdr:to>
          <xdr:col>1</xdr:col>
          <xdr:colOff>333375</xdr:colOff>
          <xdr:row>12</xdr:row>
          <xdr:rowOff>0</xdr:rowOff>
        </xdr:to>
        <xdr:sp macro="" textlink="">
          <xdr:nvSpPr>
            <xdr:cNvPr id="46104" name="Check Box 24" hidden="1">
              <a:extLst>
                <a:ext uri="{63B3BB69-23CF-44E3-9099-C40C66FF867C}">
                  <a14:compatExt spid="_x0000_s46104"/>
                </a:ext>
                <a:ext uri="{FF2B5EF4-FFF2-40B4-BE49-F238E27FC236}">
                  <a16:creationId xmlns:a16="http://schemas.microsoft.com/office/drawing/2014/main" id="{00000000-0008-0000-1600-000018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0</xdr:rowOff>
        </xdr:from>
        <xdr:to>
          <xdr:col>1</xdr:col>
          <xdr:colOff>333375</xdr:colOff>
          <xdr:row>32</xdr:row>
          <xdr:rowOff>0</xdr:rowOff>
        </xdr:to>
        <xdr:sp macro="" textlink="">
          <xdr:nvSpPr>
            <xdr:cNvPr id="46105" name="Check Box 25" hidden="1">
              <a:extLst>
                <a:ext uri="{63B3BB69-23CF-44E3-9099-C40C66FF867C}">
                  <a14:compatExt spid="_x0000_s46105"/>
                </a:ext>
                <a:ext uri="{FF2B5EF4-FFF2-40B4-BE49-F238E27FC236}">
                  <a16:creationId xmlns:a16="http://schemas.microsoft.com/office/drawing/2014/main" id="{00000000-0008-0000-1600-000019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xdr:row>
          <xdr:rowOff>0</xdr:rowOff>
        </xdr:from>
        <xdr:to>
          <xdr:col>1</xdr:col>
          <xdr:colOff>333375</xdr:colOff>
          <xdr:row>33</xdr:row>
          <xdr:rowOff>0</xdr:rowOff>
        </xdr:to>
        <xdr:sp macro="" textlink="">
          <xdr:nvSpPr>
            <xdr:cNvPr id="46106" name="Check Box 26" hidden="1">
              <a:extLst>
                <a:ext uri="{63B3BB69-23CF-44E3-9099-C40C66FF867C}">
                  <a14:compatExt spid="_x0000_s46106"/>
                </a:ext>
                <a:ext uri="{FF2B5EF4-FFF2-40B4-BE49-F238E27FC236}">
                  <a16:creationId xmlns:a16="http://schemas.microsoft.com/office/drawing/2014/main" id="{00000000-0008-0000-1600-00001A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33</xdr:row>
          <xdr:rowOff>0</xdr:rowOff>
        </xdr:from>
        <xdr:to>
          <xdr:col>1</xdr:col>
          <xdr:colOff>333375</xdr:colOff>
          <xdr:row>34</xdr:row>
          <xdr:rowOff>0</xdr:rowOff>
        </xdr:to>
        <xdr:sp macro="" textlink="">
          <xdr:nvSpPr>
            <xdr:cNvPr id="46107" name="Check Box 27" hidden="1">
              <a:extLst>
                <a:ext uri="{63B3BB69-23CF-44E3-9099-C40C66FF867C}">
                  <a14:compatExt spid="_x0000_s46107"/>
                </a:ext>
                <a:ext uri="{FF2B5EF4-FFF2-40B4-BE49-F238E27FC236}">
                  <a16:creationId xmlns:a16="http://schemas.microsoft.com/office/drawing/2014/main" id="{00000000-0008-0000-1600-00001B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33</xdr:row>
          <xdr:rowOff>171450</xdr:rowOff>
        </xdr:from>
        <xdr:to>
          <xdr:col>1</xdr:col>
          <xdr:colOff>333375</xdr:colOff>
          <xdr:row>34</xdr:row>
          <xdr:rowOff>171450</xdr:rowOff>
        </xdr:to>
        <xdr:sp macro="" textlink="">
          <xdr:nvSpPr>
            <xdr:cNvPr id="46108" name="Check Box 28" hidden="1">
              <a:extLst>
                <a:ext uri="{63B3BB69-23CF-44E3-9099-C40C66FF867C}">
                  <a14:compatExt spid="_x0000_s46108"/>
                </a:ext>
                <a:ext uri="{FF2B5EF4-FFF2-40B4-BE49-F238E27FC236}">
                  <a16:creationId xmlns:a16="http://schemas.microsoft.com/office/drawing/2014/main" id="{00000000-0008-0000-1600-00001C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5</xdr:row>
          <xdr:rowOff>0</xdr:rowOff>
        </xdr:from>
        <xdr:to>
          <xdr:col>1</xdr:col>
          <xdr:colOff>333375</xdr:colOff>
          <xdr:row>6</xdr:row>
          <xdr:rowOff>0</xdr:rowOff>
        </xdr:to>
        <xdr:sp macro="" textlink="">
          <xdr:nvSpPr>
            <xdr:cNvPr id="46109" name="Check Box 29" hidden="1">
              <a:extLst>
                <a:ext uri="{63B3BB69-23CF-44E3-9099-C40C66FF867C}">
                  <a14:compatExt spid="_x0000_s46109"/>
                </a:ext>
                <a:ext uri="{FF2B5EF4-FFF2-40B4-BE49-F238E27FC236}">
                  <a16:creationId xmlns:a16="http://schemas.microsoft.com/office/drawing/2014/main" id="{00000000-0008-0000-1600-00001D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257737</xdr:colOff>
      <xdr:row>48</xdr:row>
      <xdr:rowOff>123264</xdr:rowOff>
    </xdr:from>
    <xdr:to>
      <xdr:col>11</xdr:col>
      <xdr:colOff>267103</xdr:colOff>
      <xdr:row>64</xdr:row>
      <xdr:rowOff>38902</xdr:rowOff>
    </xdr:to>
    <xdr:graphicFrame macro="">
      <xdr:nvGraphicFramePr>
        <xdr:cNvPr id="33" name="Chart 32">
          <a:extLst>
            <a:ext uri="{FF2B5EF4-FFF2-40B4-BE49-F238E27FC236}">
              <a16:creationId xmlns:a16="http://schemas.microsoft.com/office/drawing/2014/main" id="{00000000-0008-0000-1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336177</xdr:colOff>
      <xdr:row>48</xdr:row>
      <xdr:rowOff>123264</xdr:rowOff>
    </xdr:from>
    <xdr:to>
      <xdr:col>6</xdr:col>
      <xdr:colOff>110220</xdr:colOff>
      <xdr:row>64</xdr:row>
      <xdr:rowOff>38902</xdr:rowOff>
    </xdr:to>
    <xdr:graphicFrame macro="">
      <xdr:nvGraphicFramePr>
        <xdr:cNvPr id="34" name="Chart 33">
          <a:extLst>
            <a:ext uri="{FF2B5EF4-FFF2-40B4-BE49-F238E27FC236}">
              <a16:creationId xmlns:a16="http://schemas.microsoft.com/office/drawing/2014/main" id="{00000000-0008-0000-1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33618</xdr:colOff>
      <xdr:row>48</xdr:row>
      <xdr:rowOff>123264</xdr:rowOff>
    </xdr:from>
    <xdr:to>
      <xdr:col>15</xdr:col>
      <xdr:colOff>681719</xdr:colOff>
      <xdr:row>64</xdr:row>
      <xdr:rowOff>38902</xdr:rowOff>
    </xdr:to>
    <xdr:graphicFrame macro="">
      <xdr:nvGraphicFramePr>
        <xdr:cNvPr id="35" name="Chart 34">
          <a:extLst>
            <a:ext uri="{FF2B5EF4-FFF2-40B4-BE49-F238E27FC236}">
              <a16:creationId xmlns:a16="http://schemas.microsoft.com/office/drawing/2014/main" id="{00000000-0008-0000-16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8</xdr:row>
          <xdr:rowOff>180975</xdr:rowOff>
        </xdr:from>
        <xdr:to>
          <xdr:col>1</xdr:col>
          <xdr:colOff>333375</xdr:colOff>
          <xdr:row>9</xdr:row>
          <xdr:rowOff>180975</xdr:rowOff>
        </xdr:to>
        <xdr:sp macro="" textlink="">
          <xdr:nvSpPr>
            <xdr:cNvPr id="46110" name="Check Box 30" hidden="1">
              <a:extLst>
                <a:ext uri="{63B3BB69-23CF-44E3-9099-C40C66FF867C}">
                  <a14:compatExt spid="_x0000_s46110"/>
                </a:ext>
                <a:ext uri="{FF2B5EF4-FFF2-40B4-BE49-F238E27FC236}">
                  <a16:creationId xmlns:a16="http://schemas.microsoft.com/office/drawing/2014/main" id="{00000000-0008-0000-1600-00001E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12</xdr:row>
          <xdr:rowOff>171450</xdr:rowOff>
        </xdr:from>
        <xdr:to>
          <xdr:col>1</xdr:col>
          <xdr:colOff>333375</xdr:colOff>
          <xdr:row>13</xdr:row>
          <xdr:rowOff>180975</xdr:rowOff>
        </xdr:to>
        <xdr:sp macro="" textlink="">
          <xdr:nvSpPr>
            <xdr:cNvPr id="46111" name="Check Box 31" hidden="1">
              <a:extLst>
                <a:ext uri="{63B3BB69-23CF-44E3-9099-C40C66FF867C}">
                  <a14:compatExt spid="_x0000_s46111"/>
                </a:ext>
                <a:ext uri="{FF2B5EF4-FFF2-40B4-BE49-F238E27FC236}">
                  <a16:creationId xmlns:a16="http://schemas.microsoft.com/office/drawing/2014/main" id="{00000000-0008-0000-1600-00001F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34</xdr:row>
          <xdr:rowOff>180975</xdr:rowOff>
        </xdr:from>
        <xdr:to>
          <xdr:col>1</xdr:col>
          <xdr:colOff>333375</xdr:colOff>
          <xdr:row>35</xdr:row>
          <xdr:rowOff>180975</xdr:rowOff>
        </xdr:to>
        <xdr:sp macro="" textlink="">
          <xdr:nvSpPr>
            <xdr:cNvPr id="46112" name="Check Box 32" hidden="1">
              <a:extLst>
                <a:ext uri="{63B3BB69-23CF-44E3-9099-C40C66FF867C}">
                  <a14:compatExt spid="_x0000_s46112"/>
                </a:ext>
                <a:ext uri="{FF2B5EF4-FFF2-40B4-BE49-F238E27FC236}">
                  <a16:creationId xmlns:a16="http://schemas.microsoft.com/office/drawing/2014/main" id="{00000000-0008-0000-1600-000020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35</xdr:row>
          <xdr:rowOff>180975</xdr:rowOff>
        </xdr:from>
        <xdr:to>
          <xdr:col>1</xdr:col>
          <xdr:colOff>333375</xdr:colOff>
          <xdr:row>36</xdr:row>
          <xdr:rowOff>180975</xdr:rowOff>
        </xdr:to>
        <xdr:sp macro="" textlink="">
          <xdr:nvSpPr>
            <xdr:cNvPr id="46113" name="Check Box 33" hidden="1">
              <a:extLst>
                <a:ext uri="{63B3BB69-23CF-44E3-9099-C40C66FF867C}">
                  <a14:compatExt spid="_x0000_s46113"/>
                </a:ext>
                <a:ext uri="{FF2B5EF4-FFF2-40B4-BE49-F238E27FC236}">
                  <a16:creationId xmlns:a16="http://schemas.microsoft.com/office/drawing/2014/main" id="{00000000-0008-0000-1600-000021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13</xdr:row>
          <xdr:rowOff>161925</xdr:rowOff>
        </xdr:from>
        <xdr:to>
          <xdr:col>1</xdr:col>
          <xdr:colOff>333375</xdr:colOff>
          <xdr:row>14</xdr:row>
          <xdr:rowOff>171450</xdr:rowOff>
        </xdr:to>
        <xdr:sp macro="" textlink="">
          <xdr:nvSpPr>
            <xdr:cNvPr id="46114" name="Check Box 34" hidden="1">
              <a:extLst>
                <a:ext uri="{63B3BB69-23CF-44E3-9099-C40C66FF867C}">
                  <a14:compatExt spid="_x0000_s46114"/>
                </a:ext>
                <a:ext uri="{FF2B5EF4-FFF2-40B4-BE49-F238E27FC236}">
                  <a16:creationId xmlns:a16="http://schemas.microsoft.com/office/drawing/2014/main" id="{00000000-0008-0000-1600-000022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36</xdr:row>
          <xdr:rowOff>180975</xdr:rowOff>
        </xdr:from>
        <xdr:to>
          <xdr:col>1</xdr:col>
          <xdr:colOff>323850</xdr:colOff>
          <xdr:row>37</xdr:row>
          <xdr:rowOff>180975</xdr:rowOff>
        </xdr:to>
        <xdr:sp macro="" textlink="">
          <xdr:nvSpPr>
            <xdr:cNvPr id="46115" name="Check Box 35" hidden="1">
              <a:extLst>
                <a:ext uri="{63B3BB69-23CF-44E3-9099-C40C66FF867C}">
                  <a14:compatExt spid="_x0000_s46115"/>
                </a:ext>
                <a:ext uri="{FF2B5EF4-FFF2-40B4-BE49-F238E27FC236}">
                  <a16:creationId xmlns:a16="http://schemas.microsoft.com/office/drawing/2014/main" id="{00000000-0008-0000-1600-000023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0</xdr:col>
      <xdr:colOff>771525</xdr:colOff>
      <xdr:row>1</xdr:row>
      <xdr:rowOff>9525</xdr:rowOff>
    </xdr:to>
    <xdr:pic>
      <xdr:nvPicPr>
        <xdr:cNvPr id="42" name="Picture 41">
          <a:extLst>
            <a:ext uri="{FF2B5EF4-FFF2-40B4-BE49-F238E27FC236}">
              <a16:creationId xmlns:a16="http://schemas.microsoft.com/office/drawing/2014/main" id="{00000000-0008-0000-1600-00002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0"/>
          <a:ext cx="7715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142875</xdr:colOff>
          <xdr:row>38</xdr:row>
          <xdr:rowOff>171450</xdr:rowOff>
        </xdr:from>
        <xdr:to>
          <xdr:col>1</xdr:col>
          <xdr:colOff>323850</xdr:colOff>
          <xdr:row>39</xdr:row>
          <xdr:rowOff>171450</xdr:rowOff>
        </xdr:to>
        <xdr:sp macro="" textlink="">
          <xdr:nvSpPr>
            <xdr:cNvPr id="46116" name="Check Box 36" hidden="1">
              <a:extLst>
                <a:ext uri="{63B3BB69-23CF-44E3-9099-C40C66FF867C}">
                  <a14:compatExt spid="_x0000_s46116"/>
                </a:ext>
                <a:ext uri="{FF2B5EF4-FFF2-40B4-BE49-F238E27FC236}">
                  <a16:creationId xmlns:a16="http://schemas.microsoft.com/office/drawing/2014/main" id="{00000000-0008-0000-1600-000024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37</xdr:row>
          <xdr:rowOff>180975</xdr:rowOff>
        </xdr:from>
        <xdr:to>
          <xdr:col>1</xdr:col>
          <xdr:colOff>342900</xdr:colOff>
          <xdr:row>38</xdr:row>
          <xdr:rowOff>180975</xdr:rowOff>
        </xdr:to>
        <xdr:sp macro="" textlink="">
          <xdr:nvSpPr>
            <xdr:cNvPr id="46117" name="Check Box 37" hidden="1">
              <a:extLst>
                <a:ext uri="{63B3BB69-23CF-44E3-9099-C40C66FF867C}">
                  <a14:compatExt spid="_x0000_s46117"/>
                </a:ext>
                <a:ext uri="{FF2B5EF4-FFF2-40B4-BE49-F238E27FC236}">
                  <a16:creationId xmlns:a16="http://schemas.microsoft.com/office/drawing/2014/main" id="{00000000-0008-0000-1600-000025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9</xdr:row>
          <xdr:rowOff>171450</xdr:rowOff>
        </xdr:from>
        <xdr:to>
          <xdr:col>1</xdr:col>
          <xdr:colOff>323850</xdr:colOff>
          <xdr:row>10</xdr:row>
          <xdr:rowOff>171450</xdr:rowOff>
        </xdr:to>
        <xdr:sp macro="" textlink="">
          <xdr:nvSpPr>
            <xdr:cNvPr id="46118" name="Check Box 38" hidden="1">
              <a:extLst>
                <a:ext uri="{63B3BB69-23CF-44E3-9099-C40C66FF867C}">
                  <a14:compatExt spid="_x0000_s46118"/>
                </a:ext>
                <a:ext uri="{FF2B5EF4-FFF2-40B4-BE49-F238E27FC236}">
                  <a16:creationId xmlns:a16="http://schemas.microsoft.com/office/drawing/2014/main" id="{00000000-0008-0000-1600-000026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39</xdr:row>
          <xdr:rowOff>180975</xdr:rowOff>
        </xdr:from>
        <xdr:to>
          <xdr:col>1</xdr:col>
          <xdr:colOff>323850</xdr:colOff>
          <xdr:row>40</xdr:row>
          <xdr:rowOff>180975</xdr:rowOff>
        </xdr:to>
        <xdr:sp macro="" textlink="">
          <xdr:nvSpPr>
            <xdr:cNvPr id="46119" name="Check Box 39" hidden="1">
              <a:extLst>
                <a:ext uri="{63B3BB69-23CF-44E3-9099-C40C66FF867C}">
                  <a14:compatExt spid="_x0000_s46119"/>
                </a:ext>
                <a:ext uri="{FF2B5EF4-FFF2-40B4-BE49-F238E27FC236}">
                  <a16:creationId xmlns:a16="http://schemas.microsoft.com/office/drawing/2014/main" id="{00000000-0008-0000-1600-000027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40</xdr:row>
          <xdr:rowOff>171450</xdr:rowOff>
        </xdr:from>
        <xdr:to>
          <xdr:col>1</xdr:col>
          <xdr:colOff>323850</xdr:colOff>
          <xdr:row>41</xdr:row>
          <xdr:rowOff>171450</xdr:rowOff>
        </xdr:to>
        <xdr:sp macro="" textlink="">
          <xdr:nvSpPr>
            <xdr:cNvPr id="46120" name="Check Box 40" hidden="1">
              <a:extLst>
                <a:ext uri="{63B3BB69-23CF-44E3-9099-C40C66FF867C}">
                  <a14:compatExt spid="_x0000_s46120"/>
                </a:ext>
                <a:ext uri="{FF2B5EF4-FFF2-40B4-BE49-F238E27FC236}">
                  <a16:creationId xmlns:a16="http://schemas.microsoft.com/office/drawing/2014/main" id="{00000000-0008-0000-1600-000028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0</xdr:rowOff>
        </xdr:from>
        <xdr:to>
          <xdr:col>1</xdr:col>
          <xdr:colOff>342900</xdr:colOff>
          <xdr:row>4</xdr:row>
          <xdr:rowOff>0</xdr:rowOff>
        </xdr:to>
        <xdr:sp macro="" textlink="">
          <xdr:nvSpPr>
            <xdr:cNvPr id="48129" name="Case à cocher 1" hidden="1">
              <a:extLst>
                <a:ext uri="{63B3BB69-23CF-44E3-9099-C40C66FF867C}">
                  <a14:compatExt spid="_x0000_s48129"/>
                </a:ext>
                <a:ext uri="{FF2B5EF4-FFF2-40B4-BE49-F238E27FC236}">
                  <a16:creationId xmlns:a16="http://schemas.microsoft.com/office/drawing/2014/main" id="{00000000-0008-0000-1700-000001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xdr:row>
          <xdr:rowOff>9525</xdr:rowOff>
        </xdr:from>
        <xdr:to>
          <xdr:col>1</xdr:col>
          <xdr:colOff>333375</xdr:colOff>
          <xdr:row>4</xdr:row>
          <xdr:rowOff>9525</xdr:rowOff>
        </xdr:to>
        <xdr:sp macro="" textlink="">
          <xdr:nvSpPr>
            <xdr:cNvPr id="48130" name="Case à cocher 2" hidden="1">
              <a:extLst>
                <a:ext uri="{63B3BB69-23CF-44E3-9099-C40C66FF867C}">
                  <a14:compatExt spid="_x0000_s48130"/>
                </a:ext>
                <a:ext uri="{FF2B5EF4-FFF2-40B4-BE49-F238E27FC236}">
                  <a16:creationId xmlns:a16="http://schemas.microsoft.com/office/drawing/2014/main" id="{00000000-0008-0000-1700-000002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7</xdr:row>
          <xdr:rowOff>0</xdr:rowOff>
        </xdr:from>
        <xdr:to>
          <xdr:col>1</xdr:col>
          <xdr:colOff>333375</xdr:colOff>
          <xdr:row>8</xdr:row>
          <xdr:rowOff>0</xdr:rowOff>
        </xdr:to>
        <xdr:sp macro="" textlink="">
          <xdr:nvSpPr>
            <xdr:cNvPr id="48131" name="Case à cocher 4" hidden="1">
              <a:extLst>
                <a:ext uri="{63B3BB69-23CF-44E3-9099-C40C66FF867C}">
                  <a14:compatExt spid="_x0000_s48131"/>
                </a:ext>
                <a:ext uri="{FF2B5EF4-FFF2-40B4-BE49-F238E27FC236}">
                  <a16:creationId xmlns:a16="http://schemas.microsoft.com/office/drawing/2014/main" id="{00000000-0008-0000-1700-000003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8</xdr:row>
          <xdr:rowOff>9525</xdr:rowOff>
        </xdr:from>
        <xdr:to>
          <xdr:col>1</xdr:col>
          <xdr:colOff>333375</xdr:colOff>
          <xdr:row>9</xdr:row>
          <xdr:rowOff>9525</xdr:rowOff>
        </xdr:to>
        <xdr:sp macro="" textlink="">
          <xdr:nvSpPr>
            <xdr:cNvPr id="48132" name="Case à cocher 5" hidden="1">
              <a:extLst>
                <a:ext uri="{63B3BB69-23CF-44E3-9099-C40C66FF867C}">
                  <a14:compatExt spid="_x0000_s48132"/>
                </a:ext>
                <a:ext uri="{FF2B5EF4-FFF2-40B4-BE49-F238E27FC236}">
                  <a16:creationId xmlns:a16="http://schemas.microsoft.com/office/drawing/2014/main" id="{00000000-0008-0000-1700-000004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29</xdr:row>
          <xdr:rowOff>190500</xdr:rowOff>
        </xdr:from>
        <xdr:to>
          <xdr:col>1</xdr:col>
          <xdr:colOff>333375</xdr:colOff>
          <xdr:row>31</xdr:row>
          <xdr:rowOff>0</xdr:rowOff>
        </xdr:to>
        <xdr:sp macro="" textlink="">
          <xdr:nvSpPr>
            <xdr:cNvPr id="48133" name="Case à cocher 6" hidden="1">
              <a:extLst>
                <a:ext uri="{63B3BB69-23CF-44E3-9099-C40C66FF867C}">
                  <a14:compatExt spid="_x0000_s48133"/>
                </a:ext>
                <a:ext uri="{FF2B5EF4-FFF2-40B4-BE49-F238E27FC236}">
                  <a16:creationId xmlns:a16="http://schemas.microsoft.com/office/drawing/2014/main" id="{00000000-0008-0000-1700-000005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15</xdr:row>
          <xdr:rowOff>19050</xdr:rowOff>
        </xdr:from>
        <xdr:to>
          <xdr:col>1</xdr:col>
          <xdr:colOff>333375</xdr:colOff>
          <xdr:row>16</xdr:row>
          <xdr:rowOff>19050</xdr:rowOff>
        </xdr:to>
        <xdr:sp macro="" textlink="">
          <xdr:nvSpPr>
            <xdr:cNvPr id="48134" name="Case à cocher 7" hidden="1">
              <a:extLst>
                <a:ext uri="{63B3BB69-23CF-44E3-9099-C40C66FF867C}">
                  <a14:compatExt spid="_x0000_s48134"/>
                </a:ext>
                <a:ext uri="{FF2B5EF4-FFF2-40B4-BE49-F238E27FC236}">
                  <a16:creationId xmlns:a16="http://schemas.microsoft.com/office/drawing/2014/main" id="{00000000-0008-0000-1700-000006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16</xdr:row>
          <xdr:rowOff>9525</xdr:rowOff>
        </xdr:from>
        <xdr:to>
          <xdr:col>1</xdr:col>
          <xdr:colOff>333375</xdr:colOff>
          <xdr:row>17</xdr:row>
          <xdr:rowOff>9525</xdr:rowOff>
        </xdr:to>
        <xdr:sp macro="" textlink="">
          <xdr:nvSpPr>
            <xdr:cNvPr id="48135" name="Case à cocher 8" hidden="1">
              <a:extLst>
                <a:ext uri="{63B3BB69-23CF-44E3-9099-C40C66FF867C}">
                  <a14:compatExt spid="_x0000_s48135"/>
                </a:ext>
                <a:ext uri="{FF2B5EF4-FFF2-40B4-BE49-F238E27FC236}">
                  <a16:creationId xmlns:a16="http://schemas.microsoft.com/office/drawing/2014/main" id="{00000000-0008-0000-1700-000007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17</xdr:row>
          <xdr:rowOff>9525</xdr:rowOff>
        </xdr:from>
        <xdr:to>
          <xdr:col>1</xdr:col>
          <xdr:colOff>333375</xdr:colOff>
          <xdr:row>18</xdr:row>
          <xdr:rowOff>9525</xdr:rowOff>
        </xdr:to>
        <xdr:sp macro="" textlink="">
          <xdr:nvSpPr>
            <xdr:cNvPr id="48136" name="Case à cocher 9" hidden="1">
              <a:extLst>
                <a:ext uri="{63B3BB69-23CF-44E3-9099-C40C66FF867C}">
                  <a14:compatExt spid="_x0000_s48136"/>
                </a:ext>
                <a:ext uri="{FF2B5EF4-FFF2-40B4-BE49-F238E27FC236}">
                  <a16:creationId xmlns:a16="http://schemas.microsoft.com/office/drawing/2014/main" id="{00000000-0008-0000-1700-000008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17</xdr:row>
          <xdr:rowOff>171450</xdr:rowOff>
        </xdr:from>
        <xdr:to>
          <xdr:col>1</xdr:col>
          <xdr:colOff>333375</xdr:colOff>
          <xdr:row>18</xdr:row>
          <xdr:rowOff>171450</xdr:rowOff>
        </xdr:to>
        <xdr:sp macro="" textlink="">
          <xdr:nvSpPr>
            <xdr:cNvPr id="48137" name="Case à cocher 10" hidden="1">
              <a:extLst>
                <a:ext uri="{63B3BB69-23CF-44E3-9099-C40C66FF867C}">
                  <a14:compatExt spid="_x0000_s48137"/>
                </a:ext>
                <a:ext uri="{FF2B5EF4-FFF2-40B4-BE49-F238E27FC236}">
                  <a16:creationId xmlns:a16="http://schemas.microsoft.com/office/drawing/2014/main" id="{00000000-0008-0000-1700-000009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18</xdr:row>
          <xdr:rowOff>171450</xdr:rowOff>
        </xdr:from>
        <xdr:to>
          <xdr:col>1</xdr:col>
          <xdr:colOff>333375</xdr:colOff>
          <xdr:row>19</xdr:row>
          <xdr:rowOff>171450</xdr:rowOff>
        </xdr:to>
        <xdr:sp macro="" textlink="">
          <xdr:nvSpPr>
            <xdr:cNvPr id="48138" name="Case à cocher 11" hidden="1">
              <a:extLst>
                <a:ext uri="{63B3BB69-23CF-44E3-9099-C40C66FF867C}">
                  <a14:compatExt spid="_x0000_s48138"/>
                </a:ext>
                <a:ext uri="{FF2B5EF4-FFF2-40B4-BE49-F238E27FC236}">
                  <a16:creationId xmlns:a16="http://schemas.microsoft.com/office/drawing/2014/main" id="{00000000-0008-0000-1700-00000A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20</xdr:row>
          <xdr:rowOff>180975</xdr:rowOff>
        </xdr:from>
        <xdr:to>
          <xdr:col>1</xdr:col>
          <xdr:colOff>333375</xdr:colOff>
          <xdr:row>21</xdr:row>
          <xdr:rowOff>180975</xdr:rowOff>
        </xdr:to>
        <xdr:sp macro="" textlink="">
          <xdr:nvSpPr>
            <xdr:cNvPr id="48139" name="Check Box 11" hidden="1">
              <a:extLst>
                <a:ext uri="{63B3BB69-23CF-44E3-9099-C40C66FF867C}">
                  <a14:compatExt spid="_x0000_s48139"/>
                </a:ext>
                <a:ext uri="{FF2B5EF4-FFF2-40B4-BE49-F238E27FC236}">
                  <a16:creationId xmlns:a16="http://schemas.microsoft.com/office/drawing/2014/main" id="{00000000-0008-0000-1700-00000B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642738</xdr:colOff>
      <xdr:row>0</xdr:row>
      <xdr:rowOff>35778</xdr:rowOff>
    </xdr:from>
    <xdr:to>
      <xdr:col>19</xdr:col>
      <xdr:colOff>561095</xdr:colOff>
      <xdr:row>21</xdr:row>
      <xdr:rowOff>88846</xdr:rowOff>
    </xdr:to>
    <xdr:graphicFrame macro="">
      <xdr:nvGraphicFramePr>
        <xdr:cNvPr id="13" name="Chart 1">
          <a:extLst>
            <a:ext uri="{FF2B5EF4-FFF2-40B4-BE49-F238E27FC236}">
              <a16:creationId xmlns:a16="http://schemas.microsoft.com/office/drawing/2014/main" id="{00000000-0008-0000-1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11</xdr:row>
          <xdr:rowOff>180975</xdr:rowOff>
        </xdr:from>
        <xdr:to>
          <xdr:col>1</xdr:col>
          <xdr:colOff>333375</xdr:colOff>
          <xdr:row>13</xdr:row>
          <xdr:rowOff>0</xdr:rowOff>
        </xdr:to>
        <xdr:sp macro="" textlink="">
          <xdr:nvSpPr>
            <xdr:cNvPr id="48140" name="Check Box 13" hidden="1">
              <a:extLst>
                <a:ext uri="{63B3BB69-23CF-44E3-9099-C40C66FF867C}">
                  <a14:compatExt spid="_x0000_s48140"/>
                </a:ext>
                <a:ext uri="{FF2B5EF4-FFF2-40B4-BE49-F238E27FC236}">
                  <a16:creationId xmlns:a16="http://schemas.microsoft.com/office/drawing/2014/main" id="{00000000-0008-0000-1700-00000C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21</xdr:row>
          <xdr:rowOff>180975</xdr:rowOff>
        </xdr:from>
        <xdr:to>
          <xdr:col>1</xdr:col>
          <xdr:colOff>333375</xdr:colOff>
          <xdr:row>23</xdr:row>
          <xdr:rowOff>0</xdr:rowOff>
        </xdr:to>
        <xdr:sp macro="" textlink="">
          <xdr:nvSpPr>
            <xdr:cNvPr id="48141" name="Check Box 14" hidden="1">
              <a:extLst>
                <a:ext uri="{63B3BB69-23CF-44E3-9099-C40C66FF867C}">
                  <a14:compatExt spid="_x0000_s48141"/>
                </a:ext>
                <a:ext uri="{FF2B5EF4-FFF2-40B4-BE49-F238E27FC236}">
                  <a16:creationId xmlns:a16="http://schemas.microsoft.com/office/drawing/2014/main" id="{00000000-0008-0000-1700-00000D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6</xdr:row>
          <xdr:rowOff>0</xdr:rowOff>
        </xdr:from>
        <xdr:to>
          <xdr:col>1</xdr:col>
          <xdr:colOff>333375</xdr:colOff>
          <xdr:row>7</xdr:row>
          <xdr:rowOff>0</xdr:rowOff>
        </xdr:to>
        <xdr:sp macro="" textlink="">
          <xdr:nvSpPr>
            <xdr:cNvPr id="48142" name="Check Box 15" hidden="1">
              <a:extLst>
                <a:ext uri="{63B3BB69-23CF-44E3-9099-C40C66FF867C}">
                  <a14:compatExt spid="_x0000_s48142"/>
                </a:ext>
                <a:ext uri="{FF2B5EF4-FFF2-40B4-BE49-F238E27FC236}">
                  <a16:creationId xmlns:a16="http://schemas.microsoft.com/office/drawing/2014/main" id="{00000000-0008-0000-1700-00000E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23</xdr:row>
          <xdr:rowOff>0</xdr:rowOff>
        </xdr:from>
        <xdr:to>
          <xdr:col>1</xdr:col>
          <xdr:colOff>333375</xdr:colOff>
          <xdr:row>24</xdr:row>
          <xdr:rowOff>9525</xdr:rowOff>
        </xdr:to>
        <xdr:sp macro="" textlink="">
          <xdr:nvSpPr>
            <xdr:cNvPr id="48143" name="Check Box 16" hidden="1">
              <a:extLst>
                <a:ext uri="{63B3BB69-23CF-44E3-9099-C40C66FF867C}">
                  <a14:compatExt spid="_x0000_s48143"/>
                </a:ext>
                <a:ext uri="{FF2B5EF4-FFF2-40B4-BE49-F238E27FC236}">
                  <a16:creationId xmlns:a16="http://schemas.microsoft.com/office/drawing/2014/main" id="{00000000-0008-0000-1700-00000F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23</xdr:row>
          <xdr:rowOff>180975</xdr:rowOff>
        </xdr:from>
        <xdr:to>
          <xdr:col>1</xdr:col>
          <xdr:colOff>333375</xdr:colOff>
          <xdr:row>25</xdr:row>
          <xdr:rowOff>0</xdr:rowOff>
        </xdr:to>
        <xdr:sp macro="" textlink="">
          <xdr:nvSpPr>
            <xdr:cNvPr id="48144" name="Check Box 17" hidden="1">
              <a:extLst>
                <a:ext uri="{63B3BB69-23CF-44E3-9099-C40C66FF867C}">
                  <a14:compatExt spid="_x0000_s48144"/>
                </a:ext>
                <a:ext uri="{FF2B5EF4-FFF2-40B4-BE49-F238E27FC236}">
                  <a16:creationId xmlns:a16="http://schemas.microsoft.com/office/drawing/2014/main" id="{00000000-0008-0000-1700-000010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25</xdr:row>
          <xdr:rowOff>0</xdr:rowOff>
        </xdr:from>
        <xdr:to>
          <xdr:col>1</xdr:col>
          <xdr:colOff>333375</xdr:colOff>
          <xdr:row>26</xdr:row>
          <xdr:rowOff>0</xdr:rowOff>
        </xdr:to>
        <xdr:sp macro="" textlink="">
          <xdr:nvSpPr>
            <xdr:cNvPr id="48145" name="Check Box 18" hidden="1">
              <a:extLst>
                <a:ext uri="{63B3BB69-23CF-44E3-9099-C40C66FF867C}">
                  <a14:compatExt spid="_x0000_s48145"/>
                </a:ext>
                <a:ext uri="{FF2B5EF4-FFF2-40B4-BE49-F238E27FC236}">
                  <a16:creationId xmlns:a16="http://schemas.microsoft.com/office/drawing/2014/main" id="{00000000-0008-0000-1700-000011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26</xdr:row>
          <xdr:rowOff>0</xdr:rowOff>
        </xdr:from>
        <xdr:to>
          <xdr:col>1</xdr:col>
          <xdr:colOff>333375</xdr:colOff>
          <xdr:row>27</xdr:row>
          <xdr:rowOff>0</xdr:rowOff>
        </xdr:to>
        <xdr:sp macro="" textlink="">
          <xdr:nvSpPr>
            <xdr:cNvPr id="48146" name="Check Box 19" hidden="1">
              <a:extLst>
                <a:ext uri="{63B3BB69-23CF-44E3-9099-C40C66FF867C}">
                  <a14:compatExt spid="_x0000_s48146"/>
                </a:ext>
                <a:ext uri="{FF2B5EF4-FFF2-40B4-BE49-F238E27FC236}">
                  <a16:creationId xmlns:a16="http://schemas.microsoft.com/office/drawing/2014/main" id="{00000000-0008-0000-1700-000012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21</xdr:row>
      <xdr:rowOff>152396</xdr:rowOff>
    </xdr:from>
    <xdr:to>
      <xdr:col>20</xdr:col>
      <xdr:colOff>145676</xdr:colOff>
      <xdr:row>35</xdr:row>
      <xdr:rowOff>179293</xdr:rowOff>
    </xdr:to>
    <xdr:graphicFrame macro="">
      <xdr:nvGraphicFramePr>
        <xdr:cNvPr id="21" name="Chart 20">
          <a:extLst>
            <a:ext uri="{FF2B5EF4-FFF2-40B4-BE49-F238E27FC236}">
              <a16:creationId xmlns:a16="http://schemas.microsoft.com/office/drawing/2014/main" id="{00000000-0008-0000-1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27</xdr:row>
          <xdr:rowOff>9525</xdr:rowOff>
        </xdr:from>
        <xdr:to>
          <xdr:col>1</xdr:col>
          <xdr:colOff>333375</xdr:colOff>
          <xdr:row>28</xdr:row>
          <xdr:rowOff>9525</xdr:rowOff>
        </xdr:to>
        <xdr:sp macro="" textlink="">
          <xdr:nvSpPr>
            <xdr:cNvPr id="48147" name="Check Box 20" hidden="1">
              <a:extLst>
                <a:ext uri="{63B3BB69-23CF-44E3-9099-C40C66FF867C}">
                  <a14:compatExt spid="_x0000_s48147"/>
                </a:ext>
                <a:ext uri="{FF2B5EF4-FFF2-40B4-BE49-F238E27FC236}">
                  <a16:creationId xmlns:a16="http://schemas.microsoft.com/office/drawing/2014/main" id="{00000000-0008-0000-1700-000013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28</xdr:row>
          <xdr:rowOff>9525</xdr:rowOff>
        </xdr:from>
        <xdr:to>
          <xdr:col>1</xdr:col>
          <xdr:colOff>333375</xdr:colOff>
          <xdr:row>29</xdr:row>
          <xdr:rowOff>9525</xdr:rowOff>
        </xdr:to>
        <xdr:sp macro="" textlink="">
          <xdr:nvSpPr>
            <xdr:cNvPr id="48148" name="Check Box 21" hidden="1">
              <a:extLst>
                <a:ext uri="{63B3BB69-23CF-44E3-9099-C40C66FF867C}">
                  <a14:compatExt spid="_x0000_s48148"/>
                </a:ext>
                <a:ext uri="{FF2B5EF4-FFF2-40B4-BE49-F238E27FC236}">
                  <a16:creationId xmlns:a16="http://schemas.microsoft.com/office/drawing/2014/main" id="{00000000-0008-0000-1700-000014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28</xdr:row>
          <xdr:rowOff>180975</xdr:rowOff>
        </xdr:from>
        <xdr:to>
          <xdr:col>1</xdr:col>
          <xdr:colOff>333375</xdr:colOff>
          <xdr:row>29</xdr:row>
          <xdr:rowOff>180975</xdr:rowOff>
        </xdr:to>
        <xdr:sp macro="" textlink="">
          <xdr:nvSpPr>
            <xdr:cNvPr id="48149" name="Check Box 21" hidden="1">
              <a:extLst>
                <a:ext uri="{63B3BB69-23CF-44E3-9099-C40C66FF867C}">
                  <a14:compatExt spid="_x0000_s48149"/>
                </a:ext>
                <a:ext uri="{FF2B5EF4-FFF2-40B4-BE49-F238E27FC236}">
                  <a16:creationId xmlns:a16="http://schemas.microsoft.com/office/drawing/2014/main" id="{00000000-0008-0000-1700-000015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xdr:row>
          <xdr:rowOff>0</xdr:rowOff>
        </xdr:from>
        <xdr:to>
          <xdr:col>1</xdr:col>
          <xdr:colOff>333375</xdr:colOff>
          <xdr:row>5</xdr:row>
          <xdr:rowOff>0</xdr:rowOff>
        </xdr:to>
        <xdr:sp macro="" textlink="">
          <xdr:nvSpPr>
            <xdr:cNvPr id="48150" name="Check Box 22" hidden="1">
              <a:extLst>
                <a:ext uri="{63B3BB69-23CF-44E3-9099-C40C66FF867C}">
                  <a14:compatExt spid="_x0000_s48150"/>
                </a:ext>
                <a:ext uri="{FF2B5EF4-FFF2-40B4-BE49-F238E27FC236}">
                  <a16:creationId xmlns:a16="http://schemas.microsoft.com/office/drawing/2014/main" id="{00000000-0008-0000-1700-000016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19</xdr:row>
          <xdr:rowOff>180975</xdr:rowOff>
        </xdr:from>
        <xdr:to>
          <xdr:col>1</xdr:col>
          <xdr:colOff>333375</xdr:colOff>
          <xdr:row>20</xdr:row>
          <xdr:rowOff>180975</xdr:rowOff>
        </xdr:to>
        <xdr:sp macro="" textlink="">
          <xdr:nvSpPr>
            <xdr:cNvPr id="48151" name="Check Box 23" hidden="1">
              <a:extLst>
                <a:ext uri="{63B3BB69-23CF-44E3-9099-C40C66FF867C}">
                  <a14:compatExt spid="_x0000_s48151"/>
                </a:ext>
                <a:ext uri="{FF2B5EF4-FFF2-40B4-BE49-F238E27FC236}">
                  <a16:creationId xmlns:a16="http://schemas.microsoft.com/office/drawing/2014/main" id="{00000000-0008-0000-1700-000017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10</xdr:row>
          <xdr:rowOff>190500</xdr:rowOff>
        </xdr:from>
        <xdr:to>
          <xdr:col>1</xdr:col>
          <xdr:colOff>333375</xdr:colOff>
          <xdr:row>12</xdr:row>
          <xdr:rowOff>0</xdr:rowOff>
        </xdr:to>
        <xdr:sp macro="" textlink="">
          <xdr:nvSpPr>
            <xdr:cNvPr id="48152" name="Check Box 24" hidden="1">
              <a:extLst>
                <a:ext uri="{63B3BB69-23CF-44E3-9099-C40C66FF867C}">
                  <a14:compatExt spid="_x0000_s48152"/>
                </a:ext>
                <a:ext uri="{FF2B5EF4-FFF2-40B4-BE49-F238E27FC236}">
                  <a16:creationId xmlns:a16="http://schemas.microsoft.com/office/drawing/2014/main" id="{00000000-0008-0000-1700-000018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0</xdr:rowOff>
        </xdr:from>
        <xdr:to>
          <xdr:col>1</xdr:col>
          <xdr:colOff>333375</xdr:colOff>
          <xdr:row>32</xdr:row>
          <xdr:rowOff>0</xdr:rowOff>
        </xdr:to>
        <xdr:sp macro="" textlink="">
          <xdr:nvSpPr>
            <xdr:cNvPr id="48153" name="Check Box 25" hidden="1">
              <a:extLst>
                <a:ext uri="{63B3BB69-23CF-44E3-9099-C40C66FF867C}">
                  <a14:compatExt spid="_x0000_s48153"/>
                </a:ext>
                <a:ext uri="{FF2B5EF4-FFF2-40B4-BE49-F238E27FC236}">
                  <a16:creationId xmlns:a16="http://schemas.microsoft.com/office/drawing/2014/main" id="{00000000-0008-0000-1700-000019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xdr:row>
          <xdr:rowOff>0</xdr:rowOff>
        </xdr:from>
        <xdr:to>
          <xdr:col>1</xdr:col>
          <xdr:colOff>333375</xdr:colOff>
          <xdr:row>33</xdr:row>
          <xdr:rowOff>0</xdr:rowOff>
        </xdr:to>
        <xdr:sp macro="" textlink="">
          <xdr:nvSpPr>
            <xdr:cNvPr id="48154" name="Check Box 26" hidden="1">
              <a:extLst>
                <a:ext uri="{63B3BB69-23CF-44E3-9099-C40C66FF867C}">
                  <a14:compatExt spid="_x0000_s48154"/>
                </a:ext>
                <a:ext uri="{FF2B5EF4-FFF2-40B4-BE49-F238E27FC236}">
                  <a16:creationId xmlns:a16="http://schemas.microsoft.com/office/drawing/2014/main" id="{00000000-0008-0000-1700-00001A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33</xdr:row>
          <xdr:rowOff>0</xdr:rowOff>
        </xdr:from>
        <xdr:to>
          <xdr:col>1</xdr:col>
          <xdr:colOff>333375</xdr:colOff>
          <xdr:row>34</xdr:row>
          <xdr:rowOff>0</xdr:rowOff>
        </xdr:to>
        <xdr:sp macro="" textlink="">
          <xdr:nvSpPr>
            <xdr:cNvPr id="48155" name="Check Box 27" hidden="1">
              <a:extLst>
                <a:ext uri="{63B3BB69-23CF-44E3-9099-C40C66FF867C}">
                  <a14:compatExt spid="_x0000_s48155"/>
                </a:ext>
                <a:ext uri="{FF2B5EF4-FFF2-40B4-BE49-F238E27FC236}">
                  <a16:creationId xmlns:a16="http://schemas.microsoft.com/office/drawing/2014/main" id="{00000000-0008-0000-1700-00001B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33</xdr:row>
          <xdr:rowOff>171450</xdr:rowOff>
        </xdr:from>
        <xdr:to>
          <xdr:col>1</xdr:col>
          <xdr:colOff>333375</xdr:colOff>
          <xdr:row>34</xdr:row>
          <xdr:rowOff>171450</xdr:rowOff>
        </xdr:to>
        <xdr:sp macro="" textlink="">
          <xdr:nvSpPr>
            <xdr:cNvPr id="48156" name="Check Box 28" hidden="1">
              <a:extLst>
                <a:ext uri="{63B3BB69-23CF-44E3-9099-C40C66FF867C}">
                  <a14:compatExt spid="_x0000_s48156"/>
                </a:ext>
                <a:ext uri="{FF2B5EF4-FFF2-40B4-BE49-F238E27FC236}">
                  <a16:creationId xmlns:a16="http://schemas.microsoft.com/office/drawing/2014/main" id="{00000000-0008-0000-1700-00001C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5</xdr:row>
          <xdr:rowOff>0</xdr:rowOff>
        </xdr:from>
        <xdr:to>
          <xdr:col>1</xdr:col>
          <xdr:colOff>333375</xdr:colOff>
          <xdr:row>6</xdr:row>
          <xdr:rowOff>0</xdr:rowOff>
        </xdr:to>
        <xdr:sp macro="" textlink="">
          <xdr:nvSpPr>
            <xdr:cNvPr id="48157" name="Check Box 29" hidden="1">
              <a:extLst>
                <a:ext uri="{63B3BB69-23CF-44E3-9099-C40C66FF867C}">
                  <a14:compatExt spid="_x0000_s48157"/>
                </a:ext>
                <a:ext uri="{FF2B5EF4-FFF2-40B4-BE49-F238E27FC236}">
                  <a16:creationId xmlns:a16="http://schemas.microsoft.com/office/drawing/2014/main" id="{00000000-0008-0000-1700-00001D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257737</xdr:colOff>
      <xdr:row>49</xdr:row>
      <xdr:rowOff>123264</xdr:rowOff>
    </xdr:from>
    <xdr:to>
      <xdr:col>11</xdr:col>
      <xdr:colOff>267103</xdr:colOff>
      <xdr:row>65</xdr:row>
      <xdr:rowOff>38902</xdr:rowOff>
    </xdr:to>
    <xdr:graphicFrame macro="">
      <xdr:nvGraphicFramePr>
        <xdr:cNvPr id="33" name="Chart 32">
          <a:extLst>
            <a:ext uri="{FF2B5EF4-FFF2-40B4-BE49-F238E27FC236}">
              <a16:creationId xmlns:a16="http://schemas.microsoft.com/office/drawing/2014/main" id="{00000000-0008-0000-1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336177</xdr:colOff>
      <xdr:row>49</xdr:row>
      <xdr:rowOff>123264</xdr:rowOff>
    </xdr:from>
    <xdr:to>
      <xdr:col>6</xdr:col>
      <xdr:colOff>110220</xdr:colOff>
      <xdr:row>65</xdr:row>
      <xdr:rowOff>38902</xdr:rowOff>
    </xdr:to>
    <xdr:graphicFrame macro="">
      <xdr:nvGraphicFramePr>
        <xdr:cNvPr id="34" name="Chart 33">
          <a:extLst>
            <a:ext uri="{FF2B5EF4-FFF2-40B4-BE49-F238E27FC236}">
              <a16:creationId xmlns:a16="http://schemas.microsoft.com/office/drawing/2014/main" id="{00000000-0008-0000-1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33618</xdr:colOff>
      <xdr:row>49</xdr:row>
      <xdr:rowOff>123264</xdr:rowOff>
    </xdr:from>
    <xdr:to>
      <xdr:col>15</xdr:col>
      <xdr:colOff>681719</xdr:colOff>
      <xdr:row>65</xdr:row>
      <xdr:rowOff>38902</xdr:rowOff>
    </xdr:to>
    <xdr:graphicFrame macro="">
      <xdr:nvGraphicFramePr>
        <xdr:cNvPr id="35" name="Chart 34">
          <a:extLst>
            <a:ext uri="{FF2B5EF4-FFF2-40B4-BE49-F238E27FC236}">
              <a16:creationId xmlns:a16="http://schemas.microsoft.com/office/drawing/2014/main" id="{00000000-0008-0000-1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8</xdr:row>
          <xdr:rowOff>180975</xdr:rowOff>
        </xdr:from>
        <xdr:to>
          <xdr:col>1</xdr:col>
          <xdr:colOff>333375</xdr:colOff>
          <xdr:row>9</xdr:row>
          <xdr:rowOff>180975</xdr:rowOff>
        </xdr:to>
        <xdr:sp macro="" textlink="">
          <xdr:nvSpPr>
            <xdr:cNvPr id="48158" name="Check Box 30" hidden="1">
              <a:extLst>
                <a:ext uri="{63B3BB69-23CF-44E3-9099-C40C66FF867C}">
                  <a14:compatExt spid="_x0000_s48158"/>
                </a:ext>
                <a:ext uri="{FF2B5EF4-FFF2-40B4-BE49-F238E27FC236}">
                  <a16:creationId xmlns:a16="http://schemas.microsoft.com/office/drawing/2014/main" id="{00000000-0008-0000-1700-00001E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12</xdr:row>
          <xdr:rowOff>171450</xdr:rowOff>
        </xdr:from>
        <xdr:to>
          <xdr:col>1</xdr:col>
          <xdr:colOff>333375</xdr:colOff>
          <xdr:row>13</xdr:row>
          <xdr:rowOff>180975</xdr:rowOff>
        </xdr:to>
        <xdr:sp macro="" textlink="">
          <xdr:nvSpPr>
            <xdr:cNvPr id="48159" name="Check Box 31" hidden="1">
              <a:extLst>
                <a:ext uri="{63B3BB69-23CF-44E3-9099-C40C66FF867C}">
                  <a14:compatExt spid="_x0000_s48159"/>
                </a:ext>
                <a:ext uri="{FF2B5EF4-FFF2-40B4-BE49-F238E27FC236}">
                  <a16:creationId xmlns:a16="http://schemas.microsoft.com/office/drawing/2014/main" id="{00000000-0008-0000-1700-00001F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34</xdr:row>
          <xdr:rowOff>180975</xdr:rowOff>
        </xdr:from>
        <xdr:to>
          <xdr:col>1</xdr:col>
          <xdr:colOff>333375</xdr:colOff>
          <xdr:row>35</xdr:row>
          <xdr:rowOff>180975</xdr:rowOff>
        </xdr:to>
        <xdr:sp macro="" textlink="">
          <xdr:nvSpPr>
            <xdr:cNvPr id="48160" name="Check Box 32" hidden="1">
              <a:extLst>
                <a:ext uri="{63B3BB69-23CF-44E3-9099-C40C66FF867C}">
                  <a14:compatExt spid="_x0000_s48160"/>
                </a:ext>
                <a:ext uri="{FF2B5EF4-FFF2-40B4-BE49-F238E27FC236}">
                  <a16:creationId xmlns:a16="http://schemas.microsoft.com/office/drawing/2014/main" id="{00000000-0008-0000-1700-000020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35</xdr:row>
          <xdr:rowOff>180975</xdr:rowOff>
        </xdr:from>
        <xdr:to>
          <xdr:col>1</xdr:col>
          <xdr:colOff>333375</xdr:colOff>
          <xdr:row>36</xdr:row>
          <xdr:rowOff>180975</xdr:rowOff>
        </xdr:to>
        <xdr:sp macro="" textlink="">
          <xdr:nvSpPr>
            <xdr:cNvPr id="48161" name="Check Box 33" hidden="1">
              <a:extLst>
                <a:ext uri="{63B3BB69-23CF-44E3-9099-C40C66FF867C}">
                  <a14:compatExt spid="_x0000_s48161"/>
                </a:ext>
                <a:ext uri="{FF2B5EF4-FFF2-40B4-BE49-F238E27FC236}">
                  <a16:creationId xmlns:a16="http://schemas.microsoft.com/office/drawing/2014/main" id="{00000000-0008-0000-1700-000021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13</xdr:row>
          <xdr:rowOff>161925</xdr:rowOff>
        </xdr:from>
        <xdr:to>
          <xdr:col>1</xdr:col>
          <xdr:colOff>333375</xdr:colOff>
          <xdr:row>14</xdr:row>
          <xdr:rowOff>171450</xdr:rowOff>
        </xdr:to>
        <xdr:sp macro="" textlink="">
          <xdr:nvSpPr>
            <xdr:cNvPr id="48162" name="Check Box 34" hidden="1">
              <a:extLst>
                <a:ext uri="{63B3BB69-23CF-44E3-9099-C40C66FF867C}">
                  <a14:compatExt spid="_x0000_s48162"/>
                </a:ext>
                <a:ext uri="{FF2B5EF4-FFF2-40B4-BE49-F238E27FC236}">
                  <a16:creationId xmlns:a16="http://schemas.microsoft.com/office/drawing/2014/main" id="{00000000-0008-0000-1700-000022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36</xdr:row>
          <xdr:rowOff>180975</xdr:rowOff>
        </xdr:from>
        <xdr:to>
          <xdr:col>1</xdr:col>
          <xdr:colOff>323850</xdr:colOff>
          <xdr:row>37</xdr:row>
          <xdr:rowOff>180975</xdr:rowOff>
        </xdr:to>
        <xdr:sp macro="" textlink="">
          <xdr:nvSpPr>
            <xdr:cNvPr id="48163" name="Check Box 35" hidden="1">
              <a:extLst>
                <a:ext uri="{63B3BB69-23CF-44E3-9099-C40C66FF867C}">
                  <a14:compatExt spid="_x0000_s48163"/>
                </a:ext>
                <a:ext uri="{FF2B5EF4-FFF2-40B4-BE49-F238E27FC236}">
                  <a16:creationId xmlns:a16="http://schemas.microsoft.com/office/drawing/2014/main" id="{00000000-0008-0000-1700-000023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0</xdr:col>
      <xdr:colOff>771525</xdr:colOff>
      <xdr:row>1</xdr:row>
      <xdr:rowOff>9525</xdr:rowOff>
    </xdr:to>
    <xdr:pic>
      <xdr:nvPicPr>
        <xdr:cNvPr id="42" name="Picture 41">
          <a:extLst>
            <a:ext uri="{FF2B5EF4-FFF2-40B4-BE49-F238E27FC236}">
              <a16:creationId xmlns:a16="http://schemas.microsoft.com/office/drawing/2014/main" id="{00000000-0008-0000-1700-00002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0"/>
          <a:ext cx="7715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142875</xdr:colOff>
          <xdr:row>38</xdr:row>
          <xdr:rowOff>171450</xdr:rowOff>
        </xdr:from>
        <xdr:to>
          <xdr:col>1</xdr:col>
          <xdr:colOff>323850</xdr:colOff>
          <xdr:row>39</xdr:row>
          <xdr:rowOff>171450</xdr:rowOff>
        </xdr:to>
        <xdr:sp macro="" textlink="">
          <xdr:nvSpPr>
            <xdr:cNvPr id="48164" name="Check Box 36" hidden="1">
              <a:extLst>
                <a:ext uri="{63B3BB69-23CF-44E3-9099-C40C66FF867C}">
                  <a14:compatExt spid="_x0000_s48164"/>
                </a:ext>
                <a:ext uri="{FF2B5EF4-FFF2-40B4-BE49-F238E27FC236}">
                  <a16:creationId xmlns:a16="http://schemas.microsoft.com/office/drawing/2014/main" id="{00000000-0008-0000-1700-000024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37</xdr:row>
          <xdr:rowOff>180975</xdr:rowOff>
        </xdr:from>
        <xdr:to>
          <xdr:col>1</xdr:col>
          <xdr:colOff>342900</xdr:colOff>
          <xdr:row>38</xdr:row>
          <xdr:rowOff>180975</xdr:rowOff>
        </xdr:to>
        <xdr:sp macro="" textlink="">
          <xdr:nvSpPr>
            <xdr:cNvPr id="48165" name="Check Box 37" hidden="1">
              <a:extLst>
                <a:ext uri="{63B3BB69-23CF-44E3-9099-C40C66FF867C}">
                  <a14:compatExt spid="_x0000_s48165"/>
                </a:ext>
                <a:ext uri="{FF2B5EF4-FFF2-40B4-BE49-F238E27FC236}">
                  <a16:creationId xmlns:a16="http://schemas.microsoft.com/office/drawing/2014/main" id="{00000000-0008-0000-1700-000025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9</xdr:row>
          <xdr:rowOff>171450</xdr:rowOff>
        </xdr:from>
        <xdr:to>
          <xdr:col>1</xdr:col>
          <xdr:colOff>323850</xdr:colOff>
          <xdr:row>10</xdr:row>
          <xdr:rowOff>171450</xdr:rowOff>
        </xdr:to>
        <xdr:sp macro="" textlink="">
          <xdr:nvSpPr>
            <xdr:cNvPr id="48166" name="Check Box 38" hidden="1">
              <a:extLst>
                <a:ext uri="{63B3BB69-23CF-44E3-9099-C40C66FF867C}">
                  <a14:compatExt spid="_x0000_s48166"/>
                </a:ext>
                <a:ext uri="{FF2B5EF4-FFF2-40B4-BE49-F238E27FC236}">
                  <a16:creationId xmlns:a16="http://schemas.microsoft.com/office/drawing/2014/main" id="{00000000-0008-0000-1700-000026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39</xdr:row>
          <xdr:rowOff>180975</xdr:rowOff>
        </xdr:from>
        <xdr:to>
          <xdr:col>1</xdr:col>
          <xdr:colOff>323850</xdr:colOff>
          <xdr:row>40</xdr:row>
          <xdr:rowOff>180975</xdr:rowOff>
        </xdr:to>
        <xdr:sp macro="" textlink="">
          <xdr:nvSpPr>
            <xdr:cNvPr id="48167" name="Check Box 39" hidden="1">
              <a:extLst>
                <a:ext uri="{63B3BB69-23CF-44E3-9099-C40C66FF867C}">
                  <a14:compatExt spid="_x0000_s48167"/>
                </a:ext>
                <a:ext uri="{FF2B5EF4-FFF2-40B4-BE49-F238E27FC236}">
                  <a16:creationId xmlns:a16="http://schemas.microsoft.com/office/drawing/2014/main" id="{00000000-0008-0000-1700-000027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40</xdr:row>
          <xdr:rowOff>171450</xdr:rowOff>
        </xdr:from>
        <xdr:to>
          <xdr:col>1</xdr:col>
          <xdr:colOff>323850</xdr:colOff>
          <xdr:row>41</xdr:row>
          <xdr:rowOff>171450</xdr:rowOff>
        </xdr:to>
        <xdr:sp macro="" textlink="">
          <xdr:nvSpPr>
            <xdr:cNvPr id="48168" name="Check Box 40" hidden="1">
              <a:extLst>
                <a:ext uri="{63B3BB69-23CF-44E3-9099-C40C66FF867C}">
                  <a14:compatExt spid="_x0000_s48168"/>
                </a:ext>
                <a:ext uri="{FF2B5EF4-FFF2-40B4-BE49-F238E27FC236}">
                  <a16:creationId xmlns:a16="http://schemas.microsoft.com/office/drawing/2014/main" id="{00000000-0008-0000-1700-000028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41</xdr:row>
          <xdr:rowOff>180975</xdr:rowOff>
        </xdr:from>
        <xdr:to>
          <xdr:col>1</xdr:col>
          <xdr:colOff>323850</xdr:colOff>
          <xdr:row>42</xdr:row>
          <xdr:rowOff>180975</xdr:rowOff>
        </xdr:to>
        <xdr:sp macro="" textlink="">
          <xdr:nvSpPr>
            <xdr:cNvPr id="48169" name="Check Box 41" hidden="1">
              <a:extLst>
                <a:ext uri="{63B3BB69-23CF-44E3-9099-C40C66FF867C}">
                  <a14:compatExt spid="_x0000_s48169"/>
                </a:ext>
                <a:ext uri="{FF2B5EF4-FFF2-40B4-BE49-F238E27FC236}">
                  <a16:creationId xmlns:a16="http://schemas.microsoft.com/office/drawing/2014/main" id="{00000000-0008-0000-1700-000029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3</xdr:row>
          <xdr:rowOff>0</xdr:rowOff>
        </xdr:from>
        <xdr:to>
          <xdr:col>1</xdr:col>
          <xdr:colOff>342900</xdr:colOff>
          <xdr:row>4</xdr:row>
          <xdr:rowOff>0</xdr:rowOff>
        </xdr:to>
        <xdr:sp macro="" textlink="">
          <xdr:nvSpPr>
            <xdr:cNvPr id="50177" name="Case à cocher 1" hidden="1">
              <a:extLst>
                <a:ext uri="{63B3BB69-23CF-44E3-9099-C40C66FF867C}">
                  <a14:compatExt spid="_x0000_s50177"/>
                </a:ext>
                <a:ext uri="{FF2B5EF4-FFF2-40B4-BE49-F238E27FC236}">
                  <a16:creationId xmlns:a16="http://schemas.microsoft.com/office/drawing/2014/main" id="{00000000-0008-0000-1800-000001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xdr:row>
          <xdr:rowOff>9525</xdr:rowOff>
        </xdr:from>
        <xdr:to>
          <xdr:col>1</xdr:col>
          <xdr:colOff>333375</xdr:colOff>
          <xdr:row>4</xdr:row>
          <xdr:rowOff>9525</xdr:rowOff>
        </xdr:to>
        <xdr:sp macro="" textlink="">
          <xdr:nvSpPr>
            <xdr:cNvPr id="50178" name="Case à cocher 2" hidden="1">
              <a:extLst>
                <a:ext uri="{63B3BB69-23CF-44E3-9099-C40C66FF867C}">
                  <a14:compatExt spid="_x0000_s50178"/>
                </a:ext>
                <a:ext uri="{FF2B5EF4-FFF2-40B4-BE49-F238E27FC236}">
                  <a16:creationId xmlns:a16="http://schemas.microsoft.com/office/drawing/2014/main" id="{00000000-0008-0000-1800-000002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7</xdr:row>
          <xdr:rowOff>0</xdr:rowOff>
        </xdr:from>
        <xdr:to>
          <xdr:col>1</xdr:col>
          <xdr:colOff>333375</xdr:colOff>
          <xdr:row>8</xdr:row>
          <xdr:rowOff>0</xdr:rowOff>
        </xdr:to>
        <xdr:sp macro="" textlink="">
          <xdr:nvSpPr>
            <xdr:cNvPr id="50179" name="Case à cocher 4" hidden="1">
              <a:extLst>
                <a:ext uri="{63B3BB69-23CF-44E3-9099-C40C66FF867C}">
                  <a14:compatExt spid="_x0000_s50179"/>
                </a:ext>
                <a:ext uri="{FF2B5EF4-FFF2-40B4-BE49-F238E27FC236}">
                  <a16:creationId xmlns:a16="http://schemas.microsoft.com/office/drawing/2014/main" id="{00000000-0008-0000-1800-000003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8</xdr:row>
          <xdr:rowOff>9525</xdr:rowOff>
        </xdr:from>
        <xdr:to>
          <xdr:col>1</xdr:col>
          <xdr:colOff>333375</xdr:colOff>
          <xdr:row>9</xdr:row>
          <xdr:rowOff>9525</xdr:rowOff>
        </xdr:to>
        <xdr:sp macro="" textlink="">
          <xdr:nvSpPr>
            <xdr:cNvPr id="50180" name="Case à cocher 5" hidden="1">
              <a:extLst>
                <a:ext uri="{63B3BB69-23CF-44E3-9099-C40C66FF867C}">
                  <a14:compatExt spid="_x0000_s50180"/>
                </a:ext>
                <a:ext uri="{FF2B5EF4-FFF2-40B4-BE49-F238E27FC236}">
                  <a16:creationId xmlns:a16="http://schemas.microsoft.com/office/drawing/2014/main" id="{00000000-0008-0000-1800-000004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29</xdr:row>
          <xdr:rowOff>190500</xdr:rowOff>
        </xdr:from>
        <xdr:to>
          <xdr:col>1</xdr:col>
          <xdr:colOff>333375</xdr:colOff>
          <xdr:row>31</xdr:row>
          <xdr:rowOff>0</xdr:rowOff>
        </xdr:to>
        <xdr:sp macro="" textlink="">
          <xdr:nvSpPr>
            <xdr:cNvPr id="50181" name="Case à cocher 6" hidden="1">
              <a:extLst>
                <a:ext uri="{63B3BB69-23CF-44E3-9099-C40C66FF867C}">
                  <a14:compatExt spid="_x0000_s50181"/>
                </a:ext>
                <a:ext uri="{FF2B5EF4-FFF2-40B4-BE49-F238E27FC236}">
                  <a16:creationId xmlns:a16="http://schemas.microsoft.com/office/drawing/2014/main" id="{00000000-0008-0000-1800-000005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15</xdr:row>
          <xdr:rowOff>19050</xdr:rowOff>
        </xdr:from>
        <xdr:to>
          <xdr:col>1</xdr:col>
          <xdr:colOff>333375</xdr:colOff>
          <xdr:row>16</xdr:row>
          <xdr:rowOff>19050</xdr:rowOff>
        </xdr:to>
        <xdr:sp macro="" textlink="">
          <xdr:nvSpPr>
            <xdr:cNvPr id="50182" name="Case à cocher 7" hidden="1">
              <a:extLst>
                <a:ext uri="{63B3BB69-23CF-44E3-9099-C40C66FF867C}">
                  <a14:compatExt spid="_x0000_s50182"/>
                </a:ext>
                <a:ext uri="{FF2B5EF4-FFF2-40B4-BE49-F238E27FC236}">
                  <a16:creationId xmlns:a16="http://schemas.microsoft.com/office/drawing/2014/main" id="{00000000-0008-0000-1800-000006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16</xdr:row>
          <xdr:rowOff>9525</xdr:rowOff>
        </xdr:from>
        <xdr:to>
          <xdr:col>1</xdr:col>
          <xdr:colOff>333375</xdr:colOff>
          <xdr:row>17</xdr:row>
          <xdr:rowOff>9525</xdr:rowOff>
        </xdr:to>
        <xdr:sp macro="" textlink="">
          <xdr:nvSpPr>
            <xdr:cNvPr id="50183" name="Case à cocher 8" hidden="1">
              <a:extLst>
                <a:ext uri="{63B3BB69-23CF-44E3-9099-C40C66FF867C}">
                  <a14:compatExt spid="_x0000_s50183"/>
                </a:ext>
                <a:ext uri="{FF2B5EF4-FFF2-40B4-BE49-F238E27FC236}">
                  <a16:creationId xmlns:a16="http://schemas.microsoft.com/office/drawing/2014/main" id="{00000000-0008-0000-1800-000007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17</xdr:row>
          <xdr:rowOff>9525</xdr:rowOff>
        </xdr:from>
        <xdr:to>
          <xdr:col>1</xdr:col>
          <xdr:colOff>333375</xdr:colOff>
          <xdr:row>18</xdr:row>
          <xdr:rowOff>9525</xdr:rowOff>
        </xdr:to>
        <xdr:sp macro="" textlink="">
          <xdr:nvSpPr>
            <xdr:cNvPr id="50184" name="Case à cocher 9" hidden="1">
              <a:extLst>
                <a:ext uri="{63B3BB69-23CF-44E3-9099-C40C66FF867C}">
                  <a14:compatExt spid="_x0000_s50184"/>
                </a:ext>
                <a:ext uri="{FF2B5EF4-FFF2-40B4-BE49-F238E27FC236}">
                  <a16:creationId xmlns:a16="http://schemas.microsoft.com/office/drawing/2014/main" id="{00000000-0008-0000-1800-000008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17</xdr:row>
          <xdr:rowOff>171450</xdr:rowOff>
        </xdr:from>
        <xdr:to>
          <xdr:col>1</xdr:col>
          <xdr:colOff>333375</xdr:colOff>
          <xdr:row>18</xdr:row>
          <xdr:rowOff>171450</xdr:rowOff>
        </xdr:to>
        <xdr:sp macro="" textlink="">
          <xdr:nvSpPr>
            <xdr:cNvPr id="50185" name="Case à cocher 10" hidden="1">
              <a:extLst>
                <a:ext uri="{63B3BB69-23CF-44E3-9099-C40C66FF867C}">
                  <a14:compatExt spid="_x0000_s50185"/>
                </a:ext>
                <a:ext uri="{FF2B5EF4-FFF2-40B4-BE49-F238E27FC236}">
                  <a16:creationId xmlns:a16="http://schemas.microsoft.com/office/drawing/2014/main" id="{00000000-0008-0000-1800-000009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18</xdr:row>
          <xdr:rowOff>171450</xdr:rowOff>
        </xdr:from>
        <xdr:to>
          <xdr:col>1</xdr:col>
          <xdr:colOff>333375</xdr:colOff>
          <xdr:row>19</xdr:row>
          <xdr:rowOff>171450</xdr:rowOff>
        </xdr:to>
        <xdr:sp macro="" textlink="">
          <xdr:nvSpPr>
            <xdr:cNvPr id="50186" name="Case à cocher 11" hidden="1">
              <a:extLst>
                <a:ext uri="{63B3BB69-23CF-44E3-9099-C40C66FF867C}">
                  <a14:compatExt spid="_x0000_s50186"/>
                </a:ext>
                <a:ext uri="{FF2B5EF4-FFF2-40B4-BE49-F238E27FC236}">
                  <a16:creationId xmlns:a16="http://schemas.microsoft.com/office/drawing/2014/main" id="{00000000-0008-0000-18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20</xdr:row>
          <xdr:rowOff>180975</xdr:rowOff>
        </xdr:from>
        <xdr:to>
          <xdr:col>1</xdr:col>
          <xdr:colOff>333375</xdr:colOff>
          <xdr:row>21</xdr:row>
          <xdr:rowOff>180975</xdr:rowOff>
        </xdr:to>
        <xdr:sp macro="" textlink="">
          <xdr:nvSpPr>
            <xdr:cNvPr id="50187" name="Check Box 11" hidden="1">
              <a:extLst>
                <a:ext uri="{63B3BB69-23CF-44E3-9099-C40C66FF867C}">
                  <a14:compatExt spid="_x0000_s50187"/>
                </a:ext>
                <a:ext uri="{FF2B5EF4-FFF2-40B4-BE49-F238E27FC236}">
                  <a16:creationId xmlns:a16="http://schemas.microsoft.com/office/drawing/2014/main" id="{00000000-0008-0000-1800-00000B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642738</xdr:colOff>
      <xdr:row>0</xdr:row>
      <xdr:rowOff>35778</xdr:rowOff>
    </xdr:from>
    <xdr:to>
      <xdr:col>19</xdr:col>
      <xdr:colOff>561095</xdr:colOff>
      <xdr:row>21</xdr:row>
      <xdr:rowOff>88846</xdr:rowOff>
    </xdr:to>
    <xdr:graphicFrame macro="">
      <xdr:nvGraphicFramePr>
        <xdr:cNvPr id="13" name="Chart 1">
          <a:extLst>
            <a:ext uri="{FF2B5EF4-FFF2-40B4-BE49-F238E27FC236}">
              <a16:creationId xmlns:a16="http://schemas.microsoft.com/office/drawing/2014/main" id="{00000000-0008-0000-1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11</xdr:row>
          <xdr:rowOff>180975</xdr:rowOff>
        </xdr:from>
        <xdr:to>
          <xdr:col>1</xdr:col>
          <xdr:colOff>333375</xdr:colOff>
          <xdr:row>13</xdr:row>
          <xdr:rowOff>0</xdr:rowOff>
        </xdr:to>
        <xdr:sp macro="" textlink="">
          <xdr:nvSpPr>
            <xdr:cNvPr id="50188" name="Check Box 13" hidden="1">
              <a:extLst>
                <a:ext uri="{63B3BB69-23CF-44E3-9099-C40C66FF867C}">
                  <a14:compatExt spid="_x0000_s50188"/>
                </a:ext>
                <a:ext uri="{FF2B5EF4-FFF2-40B4-BE49-F238E27FC236}">
                  <a16:creationId xmlns:a16="http://schemas.microsoft.com/office/drawing/2014/main" id="{00000000-0008-0000-1800-00000C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21</xdr:row>
          <xdr:rowOff>180975</xdr:rowOff>
        </xdr:from>
        <xdr:to>
          <xdr:col>1</xdr:col>
          <xdr:colOff>333375</xdr:colOff>
          <xdr:row>23</xdr:row>
          <xdr:rowOff>0</xdr:rowOff>
        </xdr:to>
        <xdr:sp macro="" textlink="">
          <xdr:nvSpPr>
            <xdr:cNvPr id="50189" name="Check Box 14" hidden="1">
              <a:extLst>
                <a:ext uri="{63B3BB69-23CF-44E3-9099-C40C66FF867C}">
                  <a14:compatExt spid="_x0000_s50189"/>
                </a:ext>
                <a:ext uri="{FF2B5EF4-FFF2-40B4-BE49-F238E27FC236}">
                  <a16:creationId xmlns:a16="http://schemas.microsoft.com/office/drawing/2014/main" id="{00000000-0008-0000-1800-00000D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6</xdr:row>
          <xdr:rowOff>0</xdr:rowOff>
        </xdr:from>
        <xdr:to>
          <xdr:col>1</xdr:col>
          <xdr:colOff>333375</xdr:colOff>
          <xdr:row>7</xdr:row>
          <xdr:rowOff>0</xdr:rowOff>
        </xdr:to>
        <xdr:sp macro="" textlink="">
          <xdr:nvSpPr>
            <xdr:cNvPr id="50190" name="Check Box 15" hidden="1">
              <a:extLst>
                <a:ext uri="{63B3BB69-23CF-44E3-9099-C40C66FF867C}">
                  <a14:compatExt spid="_x0000_s50190"/>
                </a:ext>
                <a:ext uri="{FF2B5EF4-FFF2-40B4-BE49-F238E27FC236}">
                  <a16:creationId xmlns:a16="http://schemas.microsoft.com/office/drawing/2014/main" id="{00000000-0008-0000-1800-00000E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23</xdr:row>
          <xdr:rowOff>0</xdr:rowOff>
        </xdr:from>
        <xdr:to>
          <xdr:col>1</xdr:col>
          <xdr:colOff>333375</xdr:colOff>
          <xdr:row>24</xdr:row>
          <xdr:rowOff>9525</xdr:rowOff>
        </xdr:to>
        <xdr:sp macro="" textlink="">
          <xdr:nvSpPr>
            <xdr:cNvPr id="50191" name="Check Box 16" hidden="1">
              <a:extLst>
                <a:ext uri="{63B3BB69-23CF-44E3-9099-C40C66FF867C}">
                  <a14:compatExt spid="_x0000_s50191"/>
                </a:ext>
                <a:ext uri="{FF2B5EF4-FFF2-40B4-BE49-F238E27FC236}">
                  <a16:creationId xmlns:a16="http://schemas.microsoft.com/office/drawing/2014/main" id="{00000000-0008-0000-1800-00000F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23</xdr:row>
          <xdr:rowOff>180975</xdr:rowOff>
        </xdr:from>
        <xdr:to>
          <xdr:col>1</xdr:col>
          <xdr:colOff>333375</xdr:colOff>
          <xdr:row>25</xdr:row>
          <xdr:rowOff>0</xdr:rowOff>
        </xdr:to>
        <xdr:sp macro="" textlink="">
          <xdr:nvSpPr>
            <xdr:cNvPr id="50192" name="Check Box 17" hidden="1">
              <a:extLst>
                <a:ext uri="{63B3BB69-23CF-44E3-9099-C40C66FF867C}">
                  <a14:compatExt spid="_x0000_s50192"/>
                </a:ext>
                <a:ext uri="{FF2B5EF4-FFF2-40B4-BE49-F238E27FC236}">
                  <a16:creationId xmlns:a16="http://schemas.microsoft.com/office/drawing/2014/main" id="{00000000-0008-0000-1800-000010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25</xdr:row>
          <xdr:rowOff>0</xdr:rowOff>
        </xdr:from>
        <xdr:to>
          <xdr:col>1</xdr:col>
          <xdr:colOff>333375</xdr:colOff>
          <xdr:row>26</xdr:row>
          <xdr:rowOff>0</xdr:rowOff>
        </xdr:to>
        <xdr:sp macro="" textlink="">
          <xdr:nvSpPr>
            <xdr:cNvPr id="50193" name="Check Box 18" hidden="1">
              <a:extLst>
                <a:ext uri="{63B3BB69-23CF-44E3-9099-C40C66FF867C}">
                  <a14:compatExt spid="_x0000_s50193"/>
                </a:ext>
                <a:ext uri="{FF2B5EF4-FFF2-40B4-BE49-F238E27FC236}">
                  <a16:creationId xmlns:a16="http://schemas.microsoft.com/office/drawing/2014/main" id="{00000000-0008-0000-1800-000011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26</xdr:row>
          <xdr:rowOff>0</xdr:rowOff>
        </xdr:from>
        <xdr:to>
          <xdr:col>1</xdr:col>
          <xdr:colOff>333375</xdr:colOff>
          <xdr:row>27</xdr:row>
          <xdr:rowOff>0</xdr:rowOff>
        </xdr:to>
        <xdr:sp macro="" textlink="">
          <xdr:nvSpPr>
            <xdr:cNvPr id="50194" name="Check Box 19" hidden="1">
              <a:extLst>
                <a:ext uri="{63B3BB69-23CF-44E3-9099-C40C66FF867C}">
                  <a14:compatExt spid="_x0000_s50194"/>
                </a:ext>
                <a:ext uri="{FF2B5EF4-FFF2-40B4-BE49-F238E27FC236}">
                  <a16:creationId xmlns:a16="http://schemas.microsoft.com/office/drawing/2014/main" id="{00000000-0008-0000-1800-000012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515708</xdr:colOff>
      <xdr:row>21</xdr:row>
      <xdr:rowOff>152396</xdr:rowOff>
    </xdr:from>
    <xdr:to>
      <xdr:col>20</xdr:col>
      <xdr:colOff>145676</xdr:colOff>
      <xdr:row>35</xdr:row>
      <xdr:rowOff>179293</xdr:rowOff>
    </xdr:to>
    <xdr:graphicFrame macro="">
      <xdr:nvGraphicFramePr>
        <xdr:cNvPr id="21" name="Chart 20">
          <a:extLst>
            <a:ext uri="{FF2B5EF4-FFF2-40B4-BE49-F238E27FC236}">
              <a16:creationId xmlns:a16="http://schemas.microsoft.com/office/drawing/2014/main" id="{00000000-0008-0000-1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27</xdr:row>
          <xdr:rowOff>9525</xdr:rowOff>
        </xdr:from>
        <xdr:to>
          <xdr:col>1</xdr:col>
          <xdr:colOff>333375</xdr:colOff>
          <xdr:row>28</xdr:row>
          <xdr:rowOff>9525</xdr:rowOff>
        </xdr:to>
        <xdr:sp macro="" textlink="">
          <xdr:nvSpPr>
            <xdr:cNvPr id="50195" name="Check Box 20" hidden="1">
              <a:extLst>
                <a:ext uri="{63B3BB69-23CF-44E3-9099-C40C66FF867C}">
                  <a14:compatExt spid="_x0000_s50195"/>
                </a:ext>
                <a:ext uri="{FF2B5EF4-FFF2-40B4-BE49-F238E27FC236}">
                  <a16:creationId xmlns:a16="http://schemas.microsoft.com/office/drawing/2014/main" id="{00000000-0008-0000-1800-000013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28</xdr:row>
          <xdr:rowOff>9525</xdr:rowOff>
        </xdr:from>
        <xdr:to>
          <xdr:col>1</xdr:col>
          <xdr:colOff>333375</xdr:colOff>
          <xdr:row>29</xdr:row>
          <xdr:rowOff>9525</xdr:rowOff>
        </xdr:to>
        <xdr:sp macro="" textlink="">
          <xdr:nvSpPr>
            <xdr:cNvPr id="50196" name="Check Box 21" hidden="1">
              <a:extLst>
                <a:ext uri="{63B3BB69-23CF-44E3-9099-C40C66FF867C}">
                  <a14:compatExt spid="_x0000_s50196"/>
                </a:ext>
                <a:ext uri="{FF2B5EF4-FFF2-40B4-BE49-F238E27FC236}">
                  <a16:creationId xmlns:a16="http://schemas.microsoft.com/office/drawing/2014/main" id="{00000000-0008-0000-1800-000014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28</xdr:row>
          <xdr:rowOff>180975</xdr:rowOff>
        </xdr:from>
        <xdr:to>
          <xdr:col>1</xdr:col>
          <xdr:colOff>333375</xdr:colOff>
          <xdr:row>29</xdr:row>
          <xdr:rowOff>180975</xdr:rowOff>
        </xdr:to>
        <xdr:sp macro="" textlink="">
          <xdr:nvSpPr>
            <xdr:cNvPr id="50197" name="Check Box 21" hidden="1">
              <a:extLst>
                <a:ext uri="{63B3BB69-23CF-44E3-9099-C40C66FF867C}">
                  <a14:compatExt spid="_x0000_s50197"/>
                </a:ext>
                <a:ext uri="{FF2B5EF4-FFF2-40B4-BE49-F238E27FC236}">
                  <a16:creationId xmlns:a16="http://schemas.microsoft.com/office/drawing/2014/main" id="{00000000-0008-0000-1800-000015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xdr:row>
          <xdr:rowOff>0</xdr:rowOff>
        </xdr:from>
        <xdr:to>
          <xdr:col>1</xdr:col>
          <xdr:colOff>333375</xdr:colOff>
          <xdr:row>5</xdr:row>
          <xdr:rowOff>0</xdr:rowOff>
        </xdr:to>
        <xdr:sp macro="" textlink="">
          <xdr:nvSpPr>
            <xdr:cNvPr id="50198" name="Check Box 22" hidden="1">
              <a:extLst>
                <a:ext uri="{63B3BB69-23CF-44E3-9099-C40C66FF867C}">
                  <a14:compatExt spid="_x0000_s50198"/>
                </a:ext>
                <a:ext uri="{FF2B5EF4-FFF2-40B4-BE49-F238E27FC236}">
                  <a16:creationId xmlns:a16="http://schemas.microsoft.com/office/drawing/2014/main" id="{00000000-0008-0000-1800-000016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19</xdr:row>
          <xdr:rowOff>180975</xdr:rowOff>
        </xdr:from>
        <xdr:to>
          <xdr:col>1</xdr:col>
          <xdr:colOff>333375</xdr:colOff>
          <xdr:row>20</xdr:row>
          <xdr:rowOff>180975</xdr:rowOff>
        </xdr:to>
        <xdr:sp macro="" textlink="">
          <xdr:nvSpPr>
            <xdr:cNvPr id="50199" name="Check Box 23" hidden="1">
              <a:extLst>
                <a:ext uri="{63B3BB69-23CF-44E3-9099-C40C66FF867C}">
                  <a14:compatExt spid="_x0000_s50199"/>
                </a:ext>
                <a:ext uri="{FF2B5EF4-FFF2-40B4-BE49-F238E27FC236}">
                  <a16:creationId xmlns:a16="http://schemas.microsoft.com/office/drawing/2014/main" id="{00000000-0008-0000-1800-000017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10</xdr:row>
          <xdr:rowOff>190500</xdr:rowOff>
        </xdr:from>
        <xdr:to>
          <xdr:col>1</xdr:col>
          <xdr:colOff>333375</xdr:colOff>
          <xdr:row>12</xdr:row>
          <xdr:rowOff>0</xdr:rowOff>
        </xdr:to>
        <xdr:sp macro="" textlink="">
          <xdr:nvSpPr>
            <xdr:cNvPr id="50200" name="Check Box 24" hidden="1">
              <a:extLst>
                <a:ext uri="{63B3BB69-23CF-44E3-9099-C40C66FF867C}">
                  <a14:compatExt spid="_x0000_s50200"/>
                </a:ext>
                <a:ext uri="{FF2B5EF4-FFF2-40B4-BE49-F238E27FC236}">
                  <a16:creationId xmlns:a16="http://schemas.microsoft.com/office/drawing/2014/main" id="{00000000-0008-0000-1800-000018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31</xdr:row>
          <xdr:rowOff>0</xdr:rowOff>
        </xdr:from>
        <xdr:to>
          <xdr:col>1</xdr:col>
          <xdr:colOff>333375</xdr:colOff>
          <xdr:row>32</xdr:row>
          <xdr:rowOff>0</xdr:rowOff>
        </xdr:to>
        <xdr:sp macro="" textlink="">
          <xdr:nvSpPr>
            <xdr:cNvPr id="50201" name="Check Box 25" hidden="1">
              <a:extLst>
                <a:ext uri="{63B3BB69-23CF-44E3-9099-C40C66FF867C}">
                  <a14:compatExt spid="_x0000_s50201"/>
                </a:ext>
                <a:ext uri="{FF2B5EF4-FFF2-40B4-BE49-F238E27FC236}">
                  <a16:creationId xmlns:a16="http://schemas.microsoft.com/office/drawing/2014/main" id="{00000000-0008-0000-1800-000019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xdr:row>
          <xdr:rowOff>0</xdr:rowOff>
        </xdr:from>
        <xdr:to>
          <xdr:col>1</xdr:col>
          <xdr:colOff>333375</xdr:colOff>
          <xdr:row>33</xdr:row>
          <xdr:rowOff>0</xdr:rowOff>
        </xdr:to>
        <xdr:sp macro="" textlink="">
          <xdr:nvSpPr>
            <xdr:cNvPr id="50202" name="Check Box 26" hidden="1">
              <a:extLst>
                <a:ext uri="{63B3BB69-23CF-44E3-9099-C40C66FF867C}">
                  <a14:compatExt spid="_x0000_s50202"/>
                </a:ext>
                <a:ext uri="{FF2B5EF4-FFF2-40B4-BE49-F238E27FC236}">
                  <a16:creationId xmlns:a16="http://schemas.microsoft.com/office/drawing/2014/main" id="{00000000-0008-0000-1800-00001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33</xdr:row>
          <xdr:rowOff>0</xdr:rowOff>
        </xdr:from>
        <xdr:to>
          <xdr:col>1</xdr:col>
          <xdr:colOff>333375</xdr:colOff>
          <xdr:row>34</xdr:row>
          <xdr:rowOff>0</xdr:rowOff>
        </xdr:to>
        <xdr:sp macro="" textlink="">
          <xdr:nvSpPr>
            <xdr:cNvPr id="50203" name="Check Box 27" hidden="1">
              <a:extLst>
                <a:ext uri="{63B3BB69-23CF-44E3-9099-C40C66FF867C}">
                  <a14:compatExt spid="_x0000_s50203"/>
                </a:ext>
                <a:ext uri="{FF2B5EF4-FFF2-40B4-BE49-F238E27FC236}">
                  <a16:creationId xmlns:a16="http://schemas.microsoft.com/office/drawing/2014/main" id="{00000000-0008-0000-1800-00001B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33</xdr:row>
          <xdr:rowOff>171450</xdr:rowOff>
        </xdr:from>
        <xdr:to>
          <xdr:col>1</xdr:col>
          <xdr:colOff>333375</xdr:colOff>
          <xdr:row>34</xdr:row>
          <xdr:rowOff>171450</xdr:rowOff>
        </xdr:to>
        <xdr:sp macro="" textlink="">
          <xdr:nvSpPr>
            <xdr:cNvPr id="50204" name="Check Box 28" hidden="1">
              <a:extLst>
                <a:ext uri="{63B3BB69-23CF-44E3-9099-C40C66FF867C}">
                  <a14:compatExt spid="_x0000_s50204"/>
                </a:ext>
                <a:ext uri="{FF2B5EF4-FFF2-40B4-BE49-F238E27FC236}">
                  <a16:creationId xmlns:a16="http://schemas.microsoft.com/office/drawing/2014/main" id="{00000000-0008-0000-1800-00001C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5</xdr:row>
          <xdr:rowOff>0</xdr:rowOff>
        </xdr:from>
        <xdr:to>
          <xdr:col>1</xdr:col>
          <xdr:colOff>333375</xdr:colOff>
          <xdr:row>6</xdr:row>
          <xdr:rowOff>0</xdr:rowOff>
        </xdr:to>
        <xdr:sp macro="" textlink="">
          <xdr:nvSpPr>
            <xdr:cNvPr id="50205" name="Check Box 29" hidden="1">
              <a:extLst>
                <a:ext uri="{63B3BB69-23CF-44E3-9099-C40C66FF867C}">
                  <a14:compatExt spid="_x0000_s50205"/>
                </a:ext>
                <a:ext uri="{FF2B5EF4-FFF2-40B4-BE49-F238E27FC236}">
                  <a16:creationId xmlns:a16="http://schemas.microsoft.com/office/drawing/2014/main" id="{00000000-0008-0000-1800-00001D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257737</xdr:colOff>
      <xdr:row>49</xdr:row>
      <xdr:rowOff>123264</xdr:rowOff>
    </xdr:from>
    <xdr:to>
      <xdr:col>11</xdr:col>
      <xdr:colOff>267103</xdr:colOff>
      <xdr:row>65</xdr:row>
      <xdr:rowOff>38902</xdr:rowOff>
    </xdr:to>
    <xdr:graphicFrame macro="">
      <xdr:nvGraphicFramePr>
        <xdr:cNvPr id="33" name="Chart 32">
          <a:extLst>
            <a:ext uri="{FF2B5EF4-FFF2-40B4-BE49-F238E27FC236}">
              <a16:creationId xmlns:a16="http://schemas.microsoft.com/office/drawing/2014/main" id="{00000000-0008-0000-1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336177</xdr:colOff>
      <xdr:row>49</xdr:row>
      <xdr:rowOff>123264</xdr:rowOff>
    </xdr:from>
    <xdr:to>
      <xdr:col>6</xdr:col>
      <xdr:colOff>110220</xdr:colOff>
      <xdr:row>65</xdr:row>
      <xdr:rowOff>38902</xdr:rowOff>
    </xdr:to>
    <xdr:graphicFrame macro="">
      <xdr:nvGraphicFramePr>
        <xdr:cNvPr id="34" name="Chart 33">
          <a:extLst>
            <a:ext uri="{FF2B5EF4-FFF2-40B4-BE49-F238E27FC236}">
              <a16:creationId xmlns:a16="http://schemas.microsoft.com/office/drawing/2014/main" id="{00000000-0008-0000-1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33618</xdr:colOff>
      <xdr:row>49</xdr:row>
      <xdr:rowOff>123264</xdr:rowOff>
    </xdr:from>
    <xdr:to>
      <xdr:col>15</xdr:col>
      <xdr:colOff>681719</xdr:colOff>
      <xdr:row>65</xdr:row>
      <xdr:rowOff>38902</xdr:rowOff>
    </xdr:to>
    <xdr:graphicFrame macro="">
      <xdr:nvGraphicFramePr>
        <xdr:cNvPr id="35" name="Chart 34">
          <a:extLst>
            <a:ext uri="{FF2B5EF4-FFF2-40B4-BE49-F238E27FC236}">
              <a16:creationId xmlns:a16="http://schemas.microsoft.com/office/drawing/2014/main" id="{00000000-0008-0000-1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8</xdr:row>
          <xdr:rowOff>180975</xdr:rowOff>
        </xdr:from>
        <xdr:to>
          <xdr:col>1</xdr:col>
          <xdr:colOff>333375</xdr:colOff>
          <xdr:row>9</xdr:row>
          <xdr:rowOff>180975</xdr:rowOff>
        </xdr:to>
        <xdr:sp macro="" textlink="">
          <xdr:nvSpPr>
            <xdr:cNvPr id="50206" name="Check Box 30" hidden="1">
              <a:extLst>
                <a:ext uri="{63B3BB69-23CF-44E3-9099-C40C66FF867C}">
                  <a14:compatExt spid="_x0000_s50206"/>
                </a:ext>
                <a:ext uri="{FF2B5EF4-FFF2-40B4-BE49-F238E27FC236}">
                  <a16:creationId xmlns:a16="http://schemas.microsoft.com/office/drawing/2014/main" id="{00000000-0008-0000-1800-00001E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12</xdr:row>
          <xdr:rowOff>171450</xdr:rowOff>
        </xdr:from>
        <xdr:to>
          <xdr:col>1</xdr:col>
          <xdr:colOff>333375</xdr:colOff>
          <xdr:row>13</xdr:row>
          <xdr:rowOff>180975</xdr:rowOff>
        </xdr:to>
        <xdr:sp macro="" textlink="">
          <xdr:nvSpPr>
            <xdr:cNvPr id="50207" name="Check Box 31" hidden="1">
              <a:extLst>
                <a:ext uri="{63B3BB69-23CF-44E3-9099-C40C66FF867C}">
                  <a14:compatExt spid="_x0000_s50207"/>
                </a:ext>
                <a:ext uri="{FF2B5EF4-FFF2-40B4-BE49-F238E27FC236}">
                  <a16:creationId xmlns:a16="http://schemas.microsoft.com/office/drawing/2014/main" id="{00000000-0008-0000-1800-00001F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34</xdr:row>
          <xdr:rowOff>180975</xdr:rowOff>
        </xdr:from>
        <xdr:to>
          <xdr:col>1</xdr:col>
          <xdr:colOff>333375</xdr:colOff>
          <xdr:row>35</xdr:row>
          <xdr:rowOff>180975</xdr:rowOff>
        </xdr:to>
        <xdr:sp macro="" textlink="">
          <xdr:nvSpPr>
            <xdr:cNvPr id="50208" name="Check Box 32" hidden="1">
              <a:extLst>
                <a:ext uri="{63B3BB69-23CF-44E3-9099-C40C66FF867C}">
                  <a14:compatExt spid="_x0000_s50208"/>
                </a:ext>
                <a:ext uri="{FF2B5EF4-FFF2-40B4-BE49-F238E27FC236}">
                  <a16:creationId xmlns:a16="http://schemas.microsoft.com/office/drawing/2014/main" id="{00000000-0008-0000-1800-000020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35</xdr:row>
          <xdr:rowOff>180975</xdr:rowOff>
        </xdr:from>
        <xdr:to>
          <xdr:col>1</xdr:col>
          <xdr:colOff>333375</xdr:colOff>
          <xdr:row>36</xdr:row>
          <xdr:rowOff>180975</xdr:rowOff>
        </xdr:to>
        <xdr:sp macro="" textlink="">
          <xdr:nvSpPr>
            <xdr:cNvPr id="50209" name="Check Box 33" hidden="1">
              <a:extLst>
                <a:ext uri="{63B3BB69-23CF-44E3-9099-C40C66FF867C}">
                  <a14:compatExt spid="_x0000_s50209"/>
                </a:ext>
                <a:ext uri="{FF2B5EF4-FFF2-40B4-BE49-F238E27FC236}">
                  <a16:creationId xmlns:a16="http://schemas.microsoft.com/office/drawing/2014/main" id="{00000000-0008-0000-1800-000021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13</xdr:row>
          <xdr:rowOff>161925</xdr:rowOff>
        </xdr:from>
        <xdr:to>
          <xdr:col>1</xdr:col>
          <xdr:colOff>333375</xdr:colOff>
          <xdr:row>14</xdr:row>
          <xdr:rowOff>171450</xdr:rowOff>
        </xdr:to>
        <xdr:sp macro="" textlink="">
          <xdr:nvSpPr>
            <xdr:cNvPr id="50210" name="Check Box 34" hidden="1">
              <a:extLst>
                <a:ext uri="{63B3BB69-23CF-44E3-9099-C40C66FF867C}">
                  <a14:compatExt spid="_x0000_s50210"/>
                </a:ext>
                <a:ext uri="{FF2B5EF4-FFF2-40B4-BE49-F238E27FC236}">
                  <a16:creationId xmlns:a16="http://schemas.microsoft.com/office/drawing/2014/main" id="{00000000-0008-0000-1800-000022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36</xdr:row>
          <xdr:rowOff>180975</xdr:rowOff>
        </xdr:from>
        <xdr:to>
          <xdr:col>1</xdr:col>
          <xdr:colOff>323850</xdr:colOff>
          <xdr:row>37</xdr:row>
          <xdr:rowOff>180975</xdr:rowOff>
        </xdr:to>
        <xdr:sp macro="" textlink="">
          <xdr:nvSpPr>
            <xdr:cNvPr id="50211" name="Check Box 35" hidden="1">
              <a:extLst>
                <a:ext uri="{63B3BB69-23CF-44E3-9099-C40C66FF867C}">
                  <a14:compatExt spid="_x0000_s50211"/>
                </a:ext>
                <a:ext uri="{FF2B5EF4-FFF2-40B4-BE49-F238E27FC236}">
                  <a16:creationId xmlns:a16="http://schemas.microsoft.com/office/drawing/2014/main" id="{00000000-0008-0000-1800-000023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0</xdr:col>
      <xdr:colOff>771525</xdr:colOff>
      <xdr:row>1</xdr:row>
      <xdr:rowOff>9525</xdr:rowOff>
    </xdr:to>
    <xdr:pic>
      <xdr:nvPicPr>
        <xdr:cNvPr id="42" name="Picture 41">
          <a:extLst>
            <a:ext uri="{FF2B5EF4-FFF2-40B4-BE49-F238E27FC236}">
              <a16:creationId xmlns:a16="http://schemas.microsoft.com/office/drawing/2014/main" id="{00000000-0008-0000-1800-00002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0"/>
          <a:ext cx="7715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142875</xdr:colOff>
          <xdr:row>38</xdr:row>
          <xdr:rowOff>171450</xdr:rowOff>
        </xdr:from>
        <xdr:to>
          <xdr:col>1</xdr:col>
          <xdr:colOff>323850</xdr:colOff>
          <xdr:row>39</xdr:row>
          <xdr:rowOff>171450</xdr:rowOff>
        </xdr:to>
        <xdr:sp macro="" textlink="">
          <xdr:nvSpPr>
            <xdr:cNvPr id="50212" name="Check Box 36" hidden="1">
              <a:extLst>
                <a:ext uri="{63B3BB69-23CF-44E3-9099-C40C66FF867C}">
                  <a14:compatExt spid="_x0000_s50212"/>
                </a:ext>
                <a:ext uri="{FF2B5EF4-FFF2-40B4-BE49-F238E27FC236}">
                  <a16:creationId xmlns:a16="http://schemas.microsoft.com/office/drawing/2014/main" id="{00000000-0008-0000-1800-000024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37</xdr:row>
          <xdr:rowOff>180975</xdr:rowOff>
        </xdr:from>
        <xdr:to>
          <xdr:col>1</xdr:col>
          <xdr:colOff>342900</xdr:colOff>
          <xdr:row>38</xdr:row>
          <xdr:rowOff>180975</xdr:rowOff>
        </xdr:to>
        <xdr:sp macro="" textlink="">
          <xdr:nvSpPr>
            <xdr:cNvPr id="50213" name="Check Box 37" hidden="1">
              <a:extLst>
                <a:ext uri="{63B3BB69-23CF-44E3-9099-C40C66FF867C}">
                  <a14:compatExt spid="_x0000_s50213"/>
                </a:ext>
                <a:ext uri="{FF2B5EF4-FFF2-40B4-BE49-F238E27FC236}">
                  <a16:creationId xmlns:a16="http://schemas.microsoft.com/office/drawing/2014/main" id="{00000000-0008-0000-1800-000025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9</xdr:row>
          <xdr:rowOff>171450</xdr:rowOff>
        </xdr:from>
        <xdr:to>
          <xdr:col>1</xdr:col>
          <xdr:colOff>323850</xdr:colOff>
          <xdr:row>10</xdr:row>
          <xdr:rowOff>171450</xdr:rowOff>
        </xdr:to>
        <xdr:sp macro="" textlink="">
          <xdr:nvSpPr>
            <xdr:cNvPr id="50214" name="Check Box 38" hidden="1">
              <a:extLst>
                <a:ext uri="{63B3BB69-23CF-44E3-9099-C40C66FF867C}">
                  <a14:compatExt spid="_x0000_s50214"/>
                </a:ext>
                <a:ext uri="{FF2B5EF4-FFF2-40B4-BE49-F238E27FC236}">
                  <a16:creationId xmlns:a16="http://schemas.microsoft.com/office/drawing/2014/main" id="{00000000-0008-0000-1800-000026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39</xdr:row>
          <xdr:rowOff>180975</xdr:rowOff>
        </xdr:from>
        <xdr:to>
          <xdr:col>1</xdr:col>
          <xdr:colOff>323850</xdr:colOff>
          <xdr:row>40</xdr:row>
          <xdr:rowOff>180975</xdr:rowOff>
        </xdr:to>
        <xdr:sp macro="" textlink="">
          <xdr:nvSpPr>
            <xdr:cNvPr id="50215" name="Check Box 39" hidden="1">
              <a:extLst>
                <a:ext uri="{63B3BB69-23CF-44E3-9099-C40C66FF867C}">
                  <a14:compatExt spid="_x0000_s50215"/>
                </a:ext>
                <a:ext uri="{FF2B5EF4-FFF2-40B4-BE49-F238E27FC236}">
                  <a16:creationId xmlns:a16="http://schemas.microsoft.com/office/drawing/2014/main" id="{00000000-0008-0000-1800-000027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40</xdr:row>
          <xdr:rowOff>171450</xdr:rowOff>
        </xdr:from>
        <xdr:to>
          <xdr:col>1</xdr:col>
          <xdr:colOff>323850</xdr:colOff>
          <xdr:row>41</xdr:row>
          <xdr:rowOff>171450</xdr:rowOff>
        </xdr:to>
        <xdr:sp macro="" textlink="">
          <xdr:nvSpPr>
            <xdr:cNvPr id="50216" name="Check Box 40" hidden="1">
              <a:extLst>
                <a:ext uri="{63B3BB69-23CF-44E3-9099-C40C66FF867C}">
                  <a14:compatExt spid="_x0000_s50216"/>
                </a:ext>
                <a:ext uri="{FF2B5EF4-FFF2-40B4-BE49-F238E27FC236}">
                  <a16:creationId xmlns:a16="http://schemas.microsoft.com/office/drawing/2014/main" id="{00000000-0008-0000-1800-000028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41</xdr:row>
          <xdr:rowOff>180975</xdr:rowOff>
        </xdr:from>
        <xdr:to>
          <xdr:col>1</xdr:col>
          <xdr:colOff>323850</xdr:colOff>
          <xdr:row>42</xdr:row>
          <xdr:rowOff>180975</xdr:rowOff>
        </xdr:to>
        <xdr:sp macro="" textlink="">
          <xdr:nvSpPr>
            <xdr:cNvPr id="50217" name="Check Box 41" hidden="1">
              <a:extLst>
                <a:ext uri="{63B3BB69-23CF-44E3-9099-C40C66FF867C}">
                  <a14:compatExt spid="_x0000_s50217"/>
                </a:ext>
                <a:ext uri="{FF2B5EF4-FFF2-40B4-BE49-F238E27FC236}">
                  <a16:creationId xmlns:a16="http://schemas.microsoft.com/office/drawing/2014/main" id="{00000000-0008-0000-1800-000029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8</xdr:col>
      <xdr:colOff>314885</xdr:colOff>
      <xdr:row>49</xdr:row>
      <xdr:rowOff>112056</xdr:rowOff>
    </xdr:from>
    <xdr:to>
      <xdr:col>14</xdr:col>
      <xdr:colOff>387005</xdr:colOff>
      <xdr:row>65</xdr:row>
      <xdr:rowOff>27694</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49</xdr:row>
      <xdr:rowOff>112056</xdr:rowOff>
    </xdr:from>
    <xdr:to>
      <xdr:col>8</xdr:col>
      <xdr:colOff>167368</xdr:colOff>
      <xdr:row>65</xdr:row>
      <xdr:rowOff>27694</xdr:rowOff>
    </xdr:to>
    <xdr:graphicFrame macro="">
      <xdr:nvGraphicFramePr>
        <xdr:cNvPr id="3" name="Chart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153520</xdr:colOff>
      <xdr:row>49</xdr:row>
      <xdr:rowOff>112056</xdr:rowOff>
    </xdr:from>
    <xdr:to>
      <xdr:col>20</xdr:col>
      <xdr:colOff>225639</xdr:colOff>
      <xdr:row>65</xdr:row>
      <xdr:rowOff>27694</xdr:rowOff>
    </xdr:to>
    <xdr:graphicFrame macro="">
      <xdr:nvGraphicFramePr>
        <xdr:cNvPr id="4" name="Chart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353786</xdr:colOff>
      <xdr:row>0</xdr:row>
      <xdr:rowOff>81643</xdr:rowOff>
    </xdr:from>
    <xdr:to>
      <xdr:col>22</xdr:col>
      <xdr:colOff>408214</xdr:colOff>
      <xdr:row>28</xdr:row>
      <xdr:rowOff>66675</xdr:rowOff>
    </xdr:to>
    <xdr:graphicFrame macro="">
      <xdr:nvGraphicFramePr>
        <xdr:cNvPr id="5" name="Chart 1">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353786</xdr:colOff>
      <xdr:row>25</xdr:row>
      <xdr:rowOff>95249</xdr:rowOff>
    </xdr:from>
    <xdr:to>
      <xdr:col>22</xdr:col>
      <xdr:colOff>408214</xdr:colOff>
      <xdr:row>52</xdr:row>
      <xdr:rowOff>107496</xdr:rowOff>
    </xdr:to>
    <xdr:graphicFrame macro="">
      <xdr:nvGraphicFramePr>
        <xdr:cNvPr id="6" name="Chart 1">
          <a:extLst>
            <a:ext uri="{FF2B5EF4-FFF2-40B4-BE49-F238E27FC236}">
              <a16:creationId xmlns:a16="http://schemas.microsoft.com/office/drawing/2014/main" id="{00000000-0008-0000-1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8</xdr:col>
      <xdr:colOff>314885</xdr:colOff>
      <xdr:row>49</xdr:row>
      <xdr:rowOff>112056</xdr:rowOff>
    </xdr:from>
    <xdr:to>
      <xdr:col>14</xdr:col>
      <xdr:colOff>387005</xdr:colOff>
      <xdr:row>65</xdr:row>
      <xdr:rowOff>27694</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49</xdr:row>
      <xdr:rowOff>112056</xdr:rowOff>
    </xdr:from>
    <xdr:to>
      <xdr:col>8</xdr:col>
      <xdr:colOff>167368</xdr:colOff>
      <xdr:row>65</xdr:row>
      <xdr:rowOff>27694</xdr:rowOff>
    </xdr:to>
    <xdr:graphicFrame macro="">
      <xdr:nvGraphicFramePr>
        <xdr:cNvPr id="3" name="Chart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153520</xdr:colOff>
      <xdr:row>49</xdr:row>
      <xdr:rowOff>112056</xdr:rowOff>
    </xdr:from>
    <xdr:to>
      <xdr:col>20</xdr:col>
      <xdr:colOff>225639</xdr:colOff>
      <xdr:row>65</xdr:row>
      <xdr:rowOff>27694</xdr:rowOff>
    </xdr:to>
    <xdr:graphicFrame macro="">
      <xdr:nvGraphicFramePr>
        <xdr:cNvPr id="4" name="Chart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353786</xdr:colOff>
      <xdr:row>0</xdr:row>
      <xdr:rowOff>81643</xdr:rowOff>
    </xdr:from>
    <xdr:to>
      <xdr:col>22</xdr:col>
      <xdr:colOff>408214</xdr:colOff>
      <xdr:row>28</xdr:row>
      <xdr:rowOff>66675</xdr:rowOff>
    </xdr:to>
    <xdr:graphicFrame macro="">
      <xdr:nvGraphicFramePr>
        <xdr:cNvPr id="5" name="Chart 1">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353786</xdr:colOff>
      <xdr:row>25</xdr:row>
      <xdr:rowOff>95249</xdr:rowOff>
    </xdr:from>
    <xdr:to>
      <xdr:col>22</xdr:col>
      <xdr:colOff>408214</xdr:colOff>
      <xdr:row>52</xdr:row>
      <xdr:rowOff>107496</xdr:rowOff>
    </xdr:to>
    <xdr:graphicFrame macro="">
      <xdr:nvGraphicFramePr>
        <xdr:cNvPr id="6" name="Chart 1">
          <a:extLst>
            <a:ext uri="{FF2B5EF4-FFF2-40B4-BE49-F238E27FC236}">
              <a16:creationId xmlns:a16="http://schemas.microsoft.com/office/drawing/2014/main" id="{00000000-0008-0000-1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trlProp" Target="../ctrlProps/ctrlProp36.xml"/><Relationship Id="rId3" Type="http://schemas.openxmlformats.org/officeDocument/2006/relationships/vmlDrawing" Target="../drawings/vmlDrawing2.vml"/><Relationship Id="rId21" Type="http://schemas.openxmlformats.org/officeDocument/2006/relationships/ctrlProp" Target="../ctrlProps/ctrlProp39.x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5" Type="http://schemas.openxmlformats.org/officeDocument/2006/relationships/ctrlProp" Target="../ctrlProps/ctrlProp43.xml"/><Relationship Id="rId2" Type="http://schemas.openxmlformats.org/officeDocument/2006/relationships/drawing" Target="../drawings/drawing2.xml"/><Relationship Id="rId16" Type="http://schemas.openxmlformats.org/officeDocument/2006/relationships/ctrlProp" Target="../ctrlProps/ctrlProp34.xml"/><Relationship Id="rId20" Type="http://schemas.openxmlformats.org/officeDocument/2006/relationships/ctrlProp" Target="../ctrlProps/ctrlProp38.xml"/><Relationship Id="rId1" Type="http://schemas.openxmlformats.org/officeDocument/2006/relationships/printerSettings" Target="../printerSettings/printerSettings5.bin"/><Relationship Id="rId6" Type="http://schemas.openxmlformats.org/officeDocument/2006/relationships/ctrlProp" Target="../ctrlProps/ctrlProp24.xml"/><Relationship Id="rId11" Type="http://schemas.openxmlformats.org/officeDocument/2006/relationships/ctrlProp" Target="../ctrlProps/ctrlProp29.xml"/><Relationship Id="rId24" Type="http://schemas.openxmlformats.org/officeDocument/2006/relationships/ctrlProp" Target="../ctrlProps/ctrlProp42.xml"/><Relationship Id="rId5" Type="http://schemas.openxmlformats.org/officeDocument/2006/relationships/ctrlProp" Target="../ctrlProps/ctrlProp23.xml"/><Relationship Id="rId15" Type="http://schemas.openxmlformats.org/officeDocument/2006/relationships/ctrlProp" Target="../ctrlProps/ctrlProp33.xml"/><Relationship Id="rId23" Type="http://schemas.openxmlformats.org/officeDocument/2006/relationships/ctrlProp" Target="../ctrlProps/ctrlProp41.xml"/><Relationship Id="rId10" Type="http://schemas.openxmlformats.org/officeDocument/2006/relationships/ctrlProp" Target="../ctrlProps/ctrlProp28.xml"/><Relationship Id="rId19" Type="http://schemas.openxmlformats.org/officeDocument/2006/relationships/ctrlProp" Target="../ctrlProps/ctrlProp37.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 Id="rId22" Type="http://schemas.openxmlformats.org/officeDocument/2006/relationships/ctrlProp" Target="../ctrlProps/ctrlProp4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8.xml"/><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 Type="http://schemas.openxmlformats.org/officeDocument/2006/relationships/vmlDrawing" Target="../drawings/vmlDrawing3.vml"/><Relationship Id="rId21" Type="http://schemas.openxmlformats.org/officeDocument/2006/relationships/ctrlProp" Target="../ctrlProps/ctrlProp61.xml"/><Relationship Id="rId7" Type="http://schemas.openxmlformats.org/officeDocument/2006/relationships/ctrlProp" Target="../ctrlProps/ctrlProp47.xml"/><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2" Type="http://schemas.openxmlformats.org/officeDocument/2006/relationships/drawing" Target="../drawings/drawing3.xml"/><Relationship Id="rId16" Type="http://schemas.openxmlformats.org/officeDocument/2006/relationships/ctrlProp" Target="../ctrlProps/ctrlProp56.xml"/><Relationship Id="rId20" Type="http://schemas.openxmlformats.org/officeDocument/2006/relationships/ctrlProp" Target="../ctrlProps/ctrlProp60.xml"/><Relationship Id="rId29" Type="http://schemas.openxmlformats.org/officeDocument/2006/relationships/ctrlProp" Target="../ctrlProps/ctrlProp69.xml"/><Relationship Id="rId1" Type="http://schemas.openxmlformats.org/officeDocument/2006/relationships/printerSettings" Target="../printerSettings/printerSettings6.bin"/><Relationship Id="rId6" Type="http://schemas.openxmlformats.org/officeDocument/2006/relationships/ctrlProp" Target="../ctrlProps/ctrlProp46.xml"/><Relationship Id="rId11" Type="http://schemas.openxmlformats.org/officeDocument/2006/relationships/ctrlProp" Target="../ctrlProps/ctrlProp51.xml"/><Relationship Id="rId24" Type="http://schemas.openxmlformats.org/officeDocument/2006/relationships/ctrlProp" Target="../ctrlProps/ctrlProp64.xml"/><Relationship Id="rId5" Type="http://schemas.openxmlformats.org/officeDocument/2006/relationships/ctrlProp" Target="../ctrlProps/ctrlProp45.x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10" Type="http://schemas.openxmlformats.org/officeDocument/2006/relationships/ctrlProp" Target="../ctrlProps/ctrlProp50.xml"/><Relationship Id="rId19" Type="http://schemas.openxmlformats.org/officeDocument/2006/relationships/ctrlProp" Target="../ctrlProps/ctrlProp59.xml"/><Relationship Id="rId4" Type="http://schemas.openxmlformats.org/officeDocument/2006/relationships/ctrlProp" Target="../ctrlProps/ctrlProp44.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4.xml"/><Relationship Id="rId13" Type="http://schemas.openxmlformats.org/officeDocument/2006/relationships/ctrlProp" Target="../ctrlProps/ctrlProp79.xml"/><Relationship Id="rId18" Type="http://schemas.openxmlformats.org/officeDocument/2006/relationships/ctrlProp" Target="../ctrlProps/ctrlProp84.xml"/><Relationship Id="rId26" Type="http://schemas.openxmlformats.org/officeDocument/2006/relationships/ctrlProp" Target="../ctrlProps/ctrlProp92.xml"/><Relationship Id="rId3" Type="http://schemas.openxmlformats.org/officeDocument/2006/relationships/vmlDrawing" Target="../drawings/vmlDrawing4.vml"/><Relationship Id="rId21" Type="http://schemas.openxmlformats.org/officeDocument/2006/relationships/ctrlProp" Target="../ctrlProps/ctrlProp87.xml"/><Relationship Id="rId7" Type="http://schemas.openxmlformats.org/officeDocument/2006/relationships/ctrlProp" Target="../ctrlProps/ctrlProp73.xml"/><Relationship Id="rId12" Type="http://schemas.openxmlformats.org/officeDocument/2006/relationships/ctrlProp" Target="../ctrlProps/ctrlProp78.xml"/><Relationship Id="rId17" Type="http://schemas.openxmlformats.org/officeDocument/2006/relationships/ctrlProp" Target="../ctrlProps/ctrlProp83.xml"/><Relationship Id="rId25" Type="http://schemas.openxmlformats.org/officeDocument/2006/relationships/ctrlProp" Target="../ctrlProps/ctrlProp91.xml"/><Relationship Id="rId2" Type="http://schemas.openxmlformats.org/officeDocument/2006/relationships/drawing" Target="../drawings/drawing4.xml"/><Relationship Id="rId16" Type="http://schemas.openxmlformats.org/officeDocument/2006/relationships/ctrlProp" Target="../ctrlProps/ctrlProp82.xml"/><Relationship Id="rId20" Type="http://schemas.openxmlformats.org/officeDocument/2006/relationships/ctrlProp" Target="../ctrlProps/ctrlProp86.xml"/><Relationship Id="rId29" Type="http://schemas.openxmlformats.org/officeDocument/2006/relationships/ctrlProp" Target="../ctrlProps/ctrlProp95.xml"/><Relationship Id="rId1" Type="http://schemas.openxmlformats.org/officeDocument/2006/relationships/printerSettings" Target="../printerSettings/printerSettings7.bin"/><Relationship Id="rId6" Type="http://schemas.openxmlformats.org/officeDocument/2006/relationships/ctrlProp" Target="../ctrlProps/ctrlProp72.xml"/><Relationship Id="rId11" Type="http://schemas.openxmlformats.org/officeDocument/2006/relationships/ctrlProp" Target="../ctrlProps/ctrlProp77.xml"/><Relationship Id="rId24" Type="http://schemas.openxmlformats.org/officeDocument/2006/relationships/ctrlProp" Target="../ctrlProps/ctrlProp90.xml"/><Relationship Id="rId32" Type="http://schemas.openxmlformats.org/officeDocument/2006/relationships/ctrlProp" Target="../ctrlProps/ctrlProp98.xml"/><Relationship Id="rId5" Type="http://schemas.openxmlformats.org/officeDocument/2006/relationships/ctrlProp" Target="../ctrlProps/ctrlProp71.xml"/><Relationship Id="rId15" Type="http://schemas.openxmlformats.org/officeDocument/2006/relationships/ctrlProp" Target="../ctrlProps/ctrlProp81.xml"/><Relationship Id="rId23" Type="http://schemas.openxmlformats.org/officeDocument/2006/relationships/ctrlProp" Target="../ctrlProps/ctrlProp89.xml"/><Relationship Id="rId28" Type="http://schemas.openxmlformats.org/officeDocument/2006/relationships/ctrlProp" Target="../ctrlProps/ctrlProp94.xml"/><Relationship Id="rId10" Type="http://schemas.openxmlformats.org/officeDocument/2006/relationships/ctrlProp" Target="../ctrlProps/ctrlProp76.xml"/><Relationship Id="rId19" Type="http://schemas.openxmlformats.org/officeDocument/2006/relationships/ctrlProp" Target="../ctrlProps/ctrlProp85.xml"/><Relationship Id="rId31" Type="http://schemas.openxmlformats.org/officeDocument/2006/relationships/ctrlProp" Target="../ctrlProps/ctrlProp97.xml"/><Relationship Id="rId4" Type="http://schemas.openxmlformats.org/officeDocument/2006/relationships/ctrlProp" Target="../ctrlProps/ctrlProp70.xml"/><Relationship Id="rId9" Type="http://schemas.openxmlformats.org/officeDocument/2006/relationships/ctrlProp" Target="../ctrlProps/ctrlProp75.xml"/><Relationship Id="rId14" Type="http://schemas.openxmlformats.org/officeDocument/2006/relationships/ctrlProp" Target="../ctrlProps/ctrlProp80.xml"/><Relationship Id="rId22" Type="http://schemas.openxmlformats.org/officeDocument/2006/relationships/ctrlProp" Target="../ctrlProps/ctrlProp88.xml"/><Relationship Id="rId27" Type="http://schemas.openxmlformats.org/officeDocument/2006/relationships/ctrlProp" Target="../ctrlProps/ctrlProp93.xml"/><Relationship Id="rId30" Type="http://schemas.openxmlformats.org/officeDocument/2006/relationships/ctrlProp" Target="../ctrlProps/ctrlProp96.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08.xml"/><Relationship Id="rId18" Type="http://schemas.openxmlformats.org/officeDocument/2006/relationships/ctrlProp" Target="../ctrlProps/ctrlProp113.xml"/><Relationship Id="rId26" Type="http://schemas.openxmlformats.org/officeDocument/2006/relationships/ctrlProp" Target="../ctrlProps/ctrlProp121.xml"/><Relationship Id="rId3" Type="http://schemas.openxmlformats.org/officeDocument/2006/relationships/vmlDrawing" Target="../drawings/vmlDrawing5.vml"/><Relationship Id="rId21" Type="http://schemas.openxmlformats.org/officeDocument/2006/relationships/ctrlProp" Target="../ctrlProps/ctrlProp116.xml"/><Relationship Id="rId7" Type="http://schemas.openxmlformats.org/officeDocument/2006/relationships/ctrlProp" Target="../ctrlProps/ctrlProp102.xml"/><Relationship Id="rId12" Type="http://schemas.openxmlformats.org/officeDocument/2006/relationships/ctrlProp" Target="../ctrlProps/ctrlProp107.xml"/><Relationship Id="rId17" Type="http://schemas.openxmlformats.org/officeDocument/2006/relationships/ctrlProp" Target="../ctrlProps/ctrlProp112.xml"/><Relationship Id="rId25" Type="http://schemas.openxmlformats.org/officeDocument/2006/relationships/ctrlProp" Target="../ctrlProps/ctrlProp120.xml"/><Relationship Id="rId33" Type="http://schemas.openxmlformats.org/officeDocument/2006/relationships/ctrlProp" Target="../ctrlProps/ctrlProp128.xml"/><Relationship Id="rId2" Type="http://schemas.openxmlformats.org/officeDocument/2006/relationships/drawing" Target="../drawings/drawing5.xml"/><Relationship Id="rId16" Type="http://schemas.openxmlformats.org/officeDocument/2006/relationships/ctrlProp" Target="../ctrlProps/ctrlProp111.xml"/><Relationship Id="rId20" Type="http://schemas.openxmlformats.org/officeDocument/2006/relationships/ctrlProp" Target="../ctrlProps/ctrlProp115.xml"/><Relationship Id="rId29" Type="http://schemas.openxmlformats.org/officeDocument/2006/relationships/ctrlProp" Target="../ctrlProps/ctrlProp124.xml"/><Relationship Id="rId1" Type="http://schemas.openxmlformats.org/officeDocument/2006/relationships/printerSettings" Target="../printerSettings/printerSettings8.bin"/><Relationship Id="rId6" Type="http://schemas.openxmlformats.org/officeDocument/2006/relationships/ctrlProp" Target="../ctrlProps/ctrlProp101.xml"/><Relationship Id="rId11" Type="http://schemas.openxmlformats.org/officeDocument/2006/relationships/ctrlProp" Target="../ctrlProps/ctrlProp106.xml"/><Relationship Id="rId24" Type="http://schemas.openxmlformats.org/officeDocument/2006/relationships/ctrlProp" Target="../ctrlProps/ctrlProp119.xml"/><Relationship Id="rId32" Type="http://schemas.openxmlformats.org/officeDocument/2006/relationships/ctrlProp" Target="../ctrlProps/ctrlProp127.xml"/><Relationship Id="rId5" Type="http://schemas.openxmlformats.org/officeDocument/2006/relationships/ctrlProp" Target="../ctrlProps/ctrlProp100.xml"/><Relationship Id="rId15" Type="http://schemas.openxmlformats.org/officeDocument/2006/relationships/ctrlProp" Target="../ctrlProps/ctrlProp110.xml"/><Relationship Id="rId23" Type="http://schemas.openxmlformats.org/officeDocument/2006/relationships/ctrlProp" Target="../ctrlProps/ctrlProp118.xml"/><Relationship Id="rId28" Type="http://schemas.openxmlformats.org/officeDocument/2006/relationships/ctrlProp" Target="../ctrlProps/ctrlProp123.xml"/><Relationship Id="rId10" Type="http://schemas.openxmlformats.org/officeDocument/2006/relationships/ctrlProp" Target="../ctrlProps/ctrlProp105.xml"/><Relationship Id="rId19" Type="http://schemas.openxmlformats.org/officeDocument/2006/relationships/ctrlProp" Target="../ctrlProps/ctrlProp114.xml"/><Relationship Id="rId31" Type="http://schemas.openxmlformats.org/officeDocument/2006/relationships/ctrlProp" Target="../ctrlProps/ctrlProp126.xml"/><Relationship Id="rId4" Type="http://schemas.openxmlformats.org/officeDocument/2006/relationships/ctrlProp" Target="../ctrlProps/ctrlProp99.xml"/><Relationship Id="rId9" Type="http://schemas.openxmlformats.org/officeDocument/2006/relationships/ctrlProp" Target="../ctrlProps/ctrlProp104.xml"/><Relationship Id="rId14" Type="http://schemas.openxmlformats.org/officeDocument/2006/relationships/ctrlProp" Target="../ctrlProps/ctrlProp109.xml"/><Relationship Id="rId22" Type="http://schemas.openxmlformats.org/officeDocument/2006/relationships/ctrlProp" Target="../ctrlProps/ctrlProp117.xml"/><Relationship Id="rId27" Type="http://schemas.openxmlformats.org/officeDocument/2006/relationships/ctrlProp" Target="../ctrlProps/ctrlProp122.xml"/><Relationship Id="rId30" Type="http://schemas.openxmlformats.org/officeDocument/2006/relationships/ctrlProp" Target="../ctrlProps/ctrlProp125.xml"/><Relationship Id="rId8" Type="http://schemas.openxmlformats.org/officeDocument/2006/relationships/ctrlProp" Target="../ctrlProps/ctrlProp103.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138.xml"/><Relationship Id="rId18" Type="http://schemas.openxmlformats.org/officeDocument/2006/relationships/ctrlProp" Target="../ctrlProps/ctrlProp143.xml"/><Relationship Id="rId26" Type="http://schemas.openxmlformats.org/officeDocument/2006/relationships/ctrlProp" Target="../ctrlProps/ctrlProp151.xml"/><Relationship Id="rId3" Type="http://schemas.openxmlformats.org/officeDocument/2006/relationships/vmlDrawing" Target="../drawings/vmlDrawing6.vml"/><Relationship Id="rId21" Type="http://schemas.openxmlformats.org/officeDocument/2006/relationships/ctrlProp" Target="../ctrlProps/ctrlProp146.xml"/><Relationship Id="rId7" Type="http://schemas.openxmlformats.org/officeDocument/2006/relationships/ctrlProp" Target="../ctrlProps/ctrlProp132.xml"/><Relationship Id="rId12" Type="http://schemas.openxmlformats.org/officeDocument/2006/relationships/ctrlProp" Target="../ctrlProps/ctrlProp137.xml"/><Relationship Id="rId17" Type="http://schemas.openxmlformats.org/officeDocument/2006/relationships/ctrlProp" Target="../ctrlProps/ctrlProp142.xml"/><Relationship Id="rId25" Type="http://schemas.openxmlformats.org/officeDocument/2006/relationships/ctrlProp" Target="../ctrlProps/ctrlProp150.xml"/><Relationship Id="rId33" Type="http://schemas.openxmlformats.org/officeDocument/2006/relationships/ctrlProp" Target="../ctrlProps/ctrlProp158.xml"/><Relationship Id="rId2" Type="http://schemas.openxmlformats.org/officeDocument/2006/relationships/drawing" Target="../drawings/drawing6.xml"/><Relationship Id="rId16" Type="http://schemas.openxmlformats.org/officeDocument/2006/relationships/ctrlProp" Target="../ctrlProps/ctrlProp141.xml"/><Relationship Id="rId20" Type="http://schemas.openxmlformats.org/officeDocument/2006/relationships/ctrlProp" Target="../ctrlProps/ctrlProp145.xml"/><Relationship Id="rId29" Type="http://schemas.openxmlformats.org/officeDocument/2006/relationships/ctrlProp" Target="../ctrlProps/ctrlProp154.xml"/><Relationship Id="rId1" Type="http://schemas.openxmlformats.org/officeDocument/2006/relationships/printerSettings" Target="../printerSettings/printerSettings9.bin"/><Relationship Id="rId6" Type="http://schemas.openxmlformats.org/officeDocument/2006/relationships/ctrlProp" Target="../ctrlProps/ctrlProp131.xml"/><Relationship Id="rId11" Type="http://schemas.openxmlformats.org/officeDocument/2006/relationships/ctrlProp" Target="../ctrlProps/ctrlProp136.xml"/><Relationship Id="rId24" Type="http://schemas.openxmlformats.org/officeDocument/2006/relationships/ctrlProp" Target="../ctrlProps/ctrlProp149.xml"/><Relationship Id="rId32" Type="http://schemas.openxmlformats.org/officeDocument/2006/relationships/ctrlProp" Target="../ctrlProps/ctrlProp157.xml"/><Relationship Id="rId5" Type="http://schemas.openxmlformats.org/officeDocument/2006/relationships/ctrlProp" Target="../ctrlProps/ctrlProp130.xml"/><Relationship Id="rId15" Type="http://schemas.openxmlformats.org/officeDocument/2006/relationships/ctrlProp" Target="../ctrlProps/ctrlProp140.xml"/><Relationship Id="rId23" Type="http://schemas.openxmlformats.org/officeDocument/2006/relationships/ctrlProp" Target="../ctrlProps/ctrlProp148.xml"/><Relationship Id="rId28" Type="http://schemas.openxmlformats.org/officeDocument/2006/relationships/ctrlProp" Target="../ctrlProps/ctrlProp153.xml"/><Relationship Id="rId10" Type="http://schemas.openxmlformats.org/officeDocument/2006/relationships/ctrlProp" Target="../ctrlProps/ctrlProp135.xml"/><Relationship Id="rId19" Type="http://schemas.openxmlformats.org/officeDocument/2006/relationships/ctrlProp" Target="../ctrlProps/ctrlProp144.xml"/><Relationship Id="rId31" Type="http://schemas.openxmlformats.org/officeDocument/2006/relationships/ctrlProp" Target="../ctrlProps/ctrlProp156.xml"/><Relationship Id="rId4" Type="http://schemas.openxmlformats.org/officeDocument/2006/relationships/ctrlProp" Target="../ctrlProps/ctrlProp129.xml"/><Relationship Id="rId9" Type="http://schemas.openxmlformats.org/officeDocument/2006/relationships/ctrlProp" Target="../ctrlProps/ctrlProp134.xml"/><Relationship Id="rId14" Type="http://schemas.openxmlformats.org/officeDocument/2006/relationships/ctrlProp" Target="../ctrlProps/ctrlProp139.xml"/><Relationship Id="rId22" Type="http://schemas.openxmlformats.org/officeDocument/2006/relationships/ctrlProp" Target="../ctrlProps/ctrlProp147.xml"/><Relationship Id="rId27" Type="http://schemas.openxmlformats.org/officeDocument/2006/relationships/ctrlProp" Target="../ctrlProps/ctrlProp152.xml"/><Relationship Id="rId30" Type="http://schemas.openxmlformats.org/officeDocument/2006/relationships/ctrlProp" Target="../ctrlProps/ctrlProp155.xml"/><Relationship Id="rId8" Type="http://schemas.openxmlformats.org/officeDocument/2006/relationships/ctrlProp" Target="../ctrlProps/ctrlProp133.x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168.xml"/><Relationship Id="rId18" Type="http://schemas.openxmlformats.org/officeDocument/2006/relationships/ctrlProp" Target="../ctrlProps/ctrlProp173.xml"/><Relationship Id="rId26" Type="http://schemas.openxmlformats.org/officeDocument/2006/relationships/ctrlProp" Target="../ctrlProps/ctrlProp181.xml"/><Relationship Id="rId3" Type="http://schemas.openxmlformats.org/officeDocument/2006/relationships/vmlDrawing" Target="../drawings/vmlDrawing7.vml"/><Relationship Id="rId21" Type="http://schemas.openxmlformats.org/officeDocument/2006/relationships/ctrlProp" Target="../ctrlProps/ctrlProp176.xml"/><Relationship Id="rId7" Type="http://schemas.openxmlformats.org/officeDocument/2006/relationships/ctrlProp" Target="../ctrlProps/ctrlProp162.xml"/><Relationship Id="rId12" Type="http://schemas.openxmlformats.org/officeDocument/2006/relationships/ctrlProp" Target="../ctrlProps/ctrlProp167.xml"/><Relationship Id="rId17" Type="http://schemas.openxmlformats.org/officeDocument/2006/relationships/ctrlProp" Target="../ctrlProps/ctrlProp172.xml"/><Relationship Id="rId25" Type="http://schemas.openxmlformats.org/officeDocument/2006/relationships/ctrlProp" Target="../ctrlProps/ctrlProp180.xml"/><Relationship Id="rId33" Type="http://schemas.openxmlformats.org/officeDocument/2006/relationships/ctrlProp" Target="../ctrlProps/ctrlProp188.xml"/><Relationship Id="rId2" Type="http://schemas.openxmlformats.org/officeDocument/2006/relationships/drawing" Target="../drawings/drawing7.xml"/><Relationship Id="rId16" Type="http://schemas.openxmlformats.org/officeDocument/2006/relationships/ctrlProp" Target="../ctrlProps/ctrlProp171.xml"/><Relationship Id="rId20" Type="http://schemas.openxmlformats.org/officeDocument/2006/relationships/ctrlProp" Target="../ctrlProps/ctrlProp175.xml"/><Relationship Id="rId29" Type="http://schemas.openxmlformats.org/officeDocument/2006/relationships/ctrlProp" Target="../ctrlProps/ctrlProp184.xml"/><Relationship Id="rId1" Type="http://schemas.openxmlformats.org/officeDocument/2006/relationships/printerSettings" Target="../printerSettings/printerSettings10.bin"/><Relationship Id="rId6" Type="http://schemas.openxmlformats.org/officeDocument/2006/relationships/ctrlProp" Target="../ctrlProps/ctrlProp161.xml"/><Relationship Id="rId11" Type="http://schemas.openxmlformats.org/officeDocument/2006/relationships/ctrlProp" Target="../ctrlProps/ctrlProp166.xml"/><Relationship Id="rId24" Type="http://schemas.openxmlformats.org/officeDocument/2006/relationships/ctrlProp" Target="../ctrlProps/ctrlProp179.xml"/><Relationship Id="rId32" Type="http://schemas.openxmlformats.org/officeDocument/2006/relationships/ctrlProp" Target="../ctrlProps/ctrlProp187.xml"/><Relationship Id="rId5" Type="http://schemas.openxmlformats.org/officeDocument/2006/relationships/ctrlProp" Target="../ctrlProps/ctrlProp160.xml"/><Relationship Id="rId15" Type="http://schemas.openxmlformats.org/officeDocument/2006/relationships/ctrlProp" Target="../ctrlProps/ctrlProp170.xml"/><Relationship Id="rId23" Type="http://schemas.openxmlformats.org/officeDocument/2006/relationships/ctrlProp" Target="../ctrlProps/ctrlProp178.xml"/><Relationship Id="rId28" Type="http://schemas.openxmlformats.org/officeDocument/2006/relationships/ctrlProp" Target="../ctrlProps/ctrlProp183.xml"/><Relationship Id="rId10" Type="http://schemas.openxmlformats.org/officeDocument/2006/relationships/ctrlProp" Target="../ctrlProps/ctrlProp165.xml"/><Relationship Id="rId19" Type="http://schemas.openxmlformats.org/officeDocument/2006/relationships/ctrlProp" Target="../ctrlProps/ctrlProp174.xml"/><Relationship Id="rId31" Type="http://schemas.openxmlformats.org/officeDocument/2006/relationships/ctrlProp" Target="../ctrlProps/ctrlProp186.xml"/><Relationship Id="rId4" Type="http://schemas.openxmlformats.org/officeDocument/2006/relationships/ctrlProp" Target="../ctrlProps/ctrlProp159.xml"/><Relationship Id="rId9" Type="http://schemas.openxmlformats.org/officeDocument/2006/relationships/ctrlProp" Target="../ctrlProps/ctrlProp164.xml"/><Relationship Id="rId14" Type="http://schemas.openxmlformats.org/officeDocument/2006/relationships/ctrlProp" Target="../ctrlProps/ctrlProp169.xml"/><Relationship Id="rId22" Type="http://schemas.openxmlformats.org/officeDocument/2006/relationships/ctrlProp" Target="../ctrlProps/ctrlProp177.xml"/><Relationship Id="rId27" Type="http://schemas.openxmlformats.org/officeDocument/2006/relationships/ctrlProp" Target="../ctrlProps/ctrlProp182.xml"/><Relationship Id="rId30" Type="http://schemas.openxmlformats.org/officeDocument/2006/relationships/ctrlProp" Target="../ctrlProps/ctrlProp185.xml"/><Relationship Id="rId8" Type="http://schemas.openxmlformats.org/officeDocument/2006/relationships/ctrlProp" Target="../ctrlProps/ctrlProp163.xml"/></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198.xml"/><Relationship Id="rId18" Type="http://schemas.openxmlformats.org/officeDocument/2006/relationships/ctrlProp" Target="../ctrlProps/ctrlProp203.xml"/><Relationship Id="rId26" Type="http://schemas.openxmlformats.org/officeDocument/2006/relationships/ctrlProp" Target="../ctrlProps/ctrlProp211.xml"/><Relationship Id="rId3" Type="http://schemas.openxmlformats.org/officeDocument/2006/relationships/vmlDrawing" Target="../drawings/vmlDrawing8.vml"/><Relationship Id="rId21" Type="http://schemas.openxmlformats.org/officeDocument/2006/relationships/ctrlProp" Target="../ctrlProps/ctrlProp206.xml"/><Relationship Id="rId7" Type="http://schemas.openxmlformats.org/officeDocument/2006/relationships/ctrlProp" Target="../ctrlProps/ctrlProp192.xml"/><Relationship Id="rId12" Type="http://schemas.openxmlformats.org/officeDocument/2006/relationships/ctrlProp" Target="../ctrlProps/ctrlProp197.xml"/><Relationship Id="rId17" Type="http://schemas.openxmlformats.org/officeDocument/2006/relationships/ctrlProp" Target="../ctrlProps/ctrlProp202.xml"/><Relationship Id="rId25" Type="http://schemas.openxmlformats.org/officeDocument/2006/relationships/ctrlProp" Target="../ctrlProps/ctrlProp210.xml"/><Relationship Id="rId33" Type="http://schemas.openxmlformats.org/officeDocument/2006/relationships/ctrlProp" Target="../ctrlProps/ctrlProp218.xml"/><Relationship Id="rId2" Type="http://schemas.openxmlformats.org/officeDocument/2006/relationships/drawing" Target="../drawings/drawing8.xml"/><Relationship Id="rId16" Type="http://schemas.openxmlformats.org/officeDocument/2006/relationships/ctrlProp" Target="../ctrlProps/ctrlProp201.xml"/><Relationship Id="rId20" Type="http://schemas.openxmlformats.org/officeDocument/2006/relationships/ctrlProp" Target="../ctrlProps/ctrlProp205.xml"/><Relationship Id="rId29" Type="http://schemas.openxmlformats.org/officeDocument/2006/relationships/ctrlProp" Target="../ctrlProps/ctrlProp214.xml"/><Relationship Id="rId1" Type="http://schemas.openxmlformats.org/officeDocument/2006/relationships/printerSettings" Target="../printerSettings/printerSettings11.bin"/><Relationship Id="rId6" Type="http://schemas.openxmlformats.org/officeDocument/2006/relationships/ctrlProp" Target="../ctrlProps/ctrlProp191.xml"/><Relationship Id="rId11" Type="http://schemas.openxmlformats.org/officeDocument/2006/relationships/ctrlProp" Target="../ctrlProps/ctrlProp196.xml"/><Relationship Id="rId24" Type="http://schemas.openxmlformats.org/officeDocument/2006/relationships/ctrlProp" Target="../ctrlProps/ctrlProp209.xml"/><Relationship Id="rId32" Type="http://schemas.openxmlformats.org/officeDocument/2006/relationships/ctrlProp" Target="../ctrlProps/ctrlProp217.xml"/><Relationship Id="rId5" Type="http://schemas.openxmlformats.org/officeDocument/2006/relationships/ctrlProp" Target="../ctrlProps/ctrlProp190.xml"/><Relationship Id="rId15" Type="http://schemas.openxmlformats.org/officeDocument/2006/relationships/ctrlProp" Target="../ctrlProps/ctrlProp200.xml"/><Relationship Id="rId23" Type="http://schemas.openxmlformats.org/officeDocument/2006/relationships/ctrlProp" Target="../ctrlProps/ctrlProp208.xml"/><Relationship Id="rId28" Type="http://schemas.openxmlformats.org/officeDocument/2006/relationships/ctrlProp" Target="../ctrlProps/ctrlProp213.xml"/><Relationship Id="rId10" Type="http://schemas.openxmlformats.org/officeDocument/2006/relationships/ctrlProp" Target="../ctrlProps/ctrlProp195.xml"/><Relationship Id="rId19" Type="http://schemas.openxmlformats.org/officeDocument/2006/relationships/ctrlProp" Target="../ctrlProps/ctrlProp204.xml"/><Relationship Id="rId31" Type="http://schemas.openxmlformats.org/officeDocument/2006/relationships/ctrlProp" Target="../ctrlProps/ctrlProp216.xml"/><Relationship Id="rId4" Type="http://schemas.openxmlformats.org/officeDocument/2006/relationships/ctrlProp" Target="../ctrlProps/ctrlProp189.xml"/><Relationship Id="rId9" Type="http://schemas.openxmlformats.org/officeDocument/2006/relationships/ctrlProp" Target="../ctrlProps/ctrlProp194.xml"/><Relationship Id="rId14" Type="http://schemas.openxmlformats.org/officeDocument/2006/relationships/ctrlProp" Target="../ctrlProps/ctrlProp199.xml"/><Relationship Id="rId22" Type="http://schemas.openxmlformats.org/officeDocument/2006/relationships/ctrlProp" Target="../ctrlProps/ctrlProp207.xml"/><Relationship Id="rId27" Type="http://schemas.openxmlformats.org/officeDocument/2006/relationships/ctrlProp" Target="../ctrlProps/ctrlProp212.xml"/><Relationship Id="rId30" Type="http://schemas.openxmlformats.org/officeDocument/2006/relationships/ctrlProp" Target="../ctrlProps/ctrlProp215.xml"/><Relationship Id="rId8" Type="http://schemas.openxmlformats.org/officeDocument/2006/relationships/ctrlProp" Target="../ctrlProps/ctrlProp193.xml"/></Relationships>
</file>

<file path=xl/worksheets/_rels/sheet12.xml.rels><?xml version="1.0" encoding="UTF-8" standalone="yes"?>
<Relationships xmlns="http://schemas.openxmlformats.org/package/2006/relationships"><Relationship Id="rId13" Type="http://schemas.openxmlformats.org/officeDocument/2006/relationships/ctrlProp" Target="../ctrlProps/ctrlProp228.xml"/><Relationship Id="rId18" Type="http://schemas.openxmlformats.org/officeDocument/2006/relationships/ctrlProp" Target="../ctrlProps/ctrlProp233.xml"/><Relationship Id="rId26" Type="http://schemas.openxmlformats.org/officeDocument/2006/relationships/ctrlProp" Target="../ctrlProps/ctrlProp241.xml"/><Relationship Id="rId3" Type="http://schemas.openxmlformats.org/officeDocument/2006/relationships/vmlDrawing" Target="../drawings/vmlDrawing9.vml"/><Relationship Id="rId21" Type="http://schemas.openxmlformats.org/officeDocument/2006/relationships/ctrlProp" Target="../ctrlProps/ctrlProp236.xml"/><Relationship Id="rId7" Type="http://schemas.openxmlformats.org/officeDocument/2006/relationships/ctrlProp" Target="../ctrlProps/ctrlProp222.xml"/><Relationship Id="rId12" Type="http://schemas.openxmlformats.org/officeDocument/2006/relationships/ctrlProp" Target="../ctrlProps/ctrlProp227.xml"/><Relationship Id="rId17" Type="http://schemas.openxmlformats.org/officeDocument/2006/relationships/ctrlProp" Target="../ctrlProps/ctrlProp232.xml"/><Relationship Id="rId25" Type="http://schemas.openxmlformats.org/officeDocument/2006/relationships/ctrlProp" Target="../ctrlProps/ctrlProp240.xml"/><Relationship Id="rId33" Type="http://schemas.openxmlformats.org/officeDocument/2006/relationships/ctrlProp" Target="../ctrlProps/ctrlProp248.xml"/><Relationship Id="rId2" Type="http://schemas.openxmlformats.org/officeDocument/2006/relationships/drawing" Target="../drawings/drawing9.xml"/><Relationship Id="rId16" Type="http://schemas.openxmlformats.org/officeDocument/2006/relationships/ctrlProp" Target="../ctrlProps/ctrlProp231.xml"/><Relationship Id="rId20" Type="http://schemas.openxmlformats.org/officeDocument/2006/relationships/ctrlProp" Target="../ctrlProps/ctrlProp235.xml"/><Relationship Id="rId29" Type="http://schemas.openxmlformats.org/officeDocument/2006/relationships/ctrlProp" Target="../ctrlProps/ctrlProp244.xml"/><Relationship Id="rId1" Type="http://schemas.openxmlformats.org/officeDocument/2006/relationships/printerSettings" Target="../printerSettings/printerSettings12.bin"/><Relationship Id="rId6" Type="http://schemas.openxmlformats.org/officeDocument/2006/relationships/ctrlProp" Target="../ctrlProps/ctrlProp221.xml"/><Relationship Id="rId11" Type="http://schemas.openxmlformats.org/officeDocument/2006/relationships/ctrlProp" Target="../ctrlProps/ctrlProp226.xml"/><Relationship Id="rId24" Type="http://schemas.openxmlformats.org/officeDocument/2006/relationships/ctrlProp" Target="../ctrlProps/ctrlProp239.xml"/><Relationship Id="rId32" Type="http://schemas.openxmlformats.org/officeDocument/2006/relationships/ctrlProp" Target="../ctrlProps/ctrlProp247.xml"/><Relationship Id="rId5" Type="http://schemas.openxmlformats.org/officeDocument/2006/relationships/ctrlProp" Target="../ctrlProps/ctrlProp220.xml"/><Relationship Id="rId15" Type="http://schemas.openxmlformats.org/officeDocument/2006/relationships/ctrlProp" Target="../ctrlProps/ctrlProp230.xml"/><Relationship Id="rId23" Type="http://schemas.openxmlformats.org/officeDocument/2006/relationships/ctrlProp" Target="../ctrlProps/ctrlProp238.xml"/><Relationship Id="rId28" Type="http://schemas.openxmlformats.org/officeDocument/2006/relationships/ctrlProp" Target="../ctrlProps/ctrlProp243.xml"/><Relationship Id="rId10" Type="http://schemas.openxmlformats.org/officeDocument/2006/relationships/ctrlProp" Target="../ctrlProps/ctrlProp225.xml"/><Relationship Id="rId19" Type="http://schemas.openxmlformats.org/officeDocument/2006/relationships/ctrlProp" Target="../ctrlProps/ctrlProp234.xml"/><Relationship Id="rId31" Type="http://schemas.openxmlformats.org/officeDocument/2006/relationships/ctrlProp" Target="../ctrlProps/ctrlProp246.xml"/><Relationship Id="rId4" Type="http://schemas.openxmlformats.org/officeDocument/2006/relationships/ctrlProp" Target="../ctrlProps/ctrlProp219.xml"/><Relationship Id="rId9" Type="http://schemas.openxmlformats.org/officeDocument/2006/relationships/ctrlProp" Target="../ctrlProps/ctrlProp224.xml"/><Relationship Id="rId14" Type="http://schemas.openxmlformats.org/officeDocument/2006/relationships/ctrlProp" Target="../ctrlProps/ctrlProp229.xml"/><Relationship Id="rId22" Type="http://schemas.openxmlformats.org/officeDocument/2006/relationships/ctrlProp" Target="../ctrlProps/ctrlProp237.xml"/><Relationship Id="rId27" Type="http://schemas.openxmlformats.org/officeDocument/2006/relationships/ctrlProp" Target="../ctrlProps/ctrlProp242.xml"/><Relationship Id="rId30" Type="http://schemas.openxmlformats.org/officeDocument/2006/relationships/ctrlProp" Target="../ctrlProps/ctrlProp245.xml"/><Relationship Id="rId8" Type="http://schemas.openxmlformats.org/officeDocument/2006/relationships/ctrlProp" Target="../ctrlProps/ctrlProp223.xml"/></Relationships>
</file>

<file path=xl/worksheets/_rels/sheet13.xml.rels><?xml version="1.0" encoding="UTF-8" standalone="yes"?>
<Relationships xmlns="http://schemas.openxmlformats.org/package/2006/relationships"><Relationship Id="rId13" Type="http://schemas.openxmlformats.org/officeDocument/2006/relationships/ctrlProp" Target="../ctrlProps/ctrlProp258.xml"/><Relationship Id="rId18" Type="http://schemas.openxmlformats.org/officeDocument/2006/relationships/ctrlProp" Target="../ctrlProps/ctrlProp263.xml"/><Relationship Id="rId26" Type="http://schemas.openxmlformats.org/officeDocument/2006/relationships/ctrlProp" Target="../ctrlProps/ctrlProp271.xml"/><Relationship Id="rId3" Type="http://schemas.openxmlformats.org/officeDocument/2006/relationships/vmlDrawing" Target="../drawings/vmlDrawing10.vml"/><Relationship Id="rId21" Type="http://schemas.openxmlformats.org/officeDocument/2006/relationships/ctrlProp" Target="../ctrlProps/ctrlProp266.xml"/><Relationship Id="rId7" Type="http://schemas.openxmlformats.org/officeDocument/2006/relationships/ctrlProp" Target="../ctrlProps/ctrlProp252.xml"/><Relationship Id="rId12" Type="http://schemas.openxmlformats.org/officeDocument/2006/relationships/ctrlProp" Target="../ctrlProps/ctrlProp257.xml"/><Relationship Id="rId17" Type="http://schemas.openxmlformats.org/officeDocument/2006/relationships/ctrlProp" Target="../ctrlProps/ctrlProp262.xml"/><Relationship Id="rId25" Type="http://schemas.openxmlformats.org/officeDocument/2006/relationships/ctrlProp" Target="../ctrlProps/ctrlProp270.xml"/><Relationship Id="rId33" Type="http://schemas.openxmlformats.org/officeDocument/2006/relationships/ctrlProp" Target="../ctrlProps/ctrlProp278.xml"/><Relationship Id="rId2" Type="http://schemas.openxmlformats.org/officeDocument/2006/relationships/drawing" Target="../drawings/drawing10.xml"/><Relationship Id="rId16" Type="http://schemas.openxmlformats.org/officeDocument/2006/relationships/ctrlProp" Target="../ctrlProps/ctrlProp261.xml"/><Relationship Id="rId20" Type="http://schemas.openxmlformats.org/officeDocument/2006/relationships/ctrlProp" Target="../ctrlProps/ctrlProp265.xml"/><Relationship Id="rId29" Type="http://schemas.openxmlformats.org/officeDocument/2006/relationships/ctrlProp" Target="../ctrlProps/ctrlProp274.xml"/><Relationship Id="rId1" Type="http://schemas.openxmlformats.org/officeDocument/2006/relationships/printerSettings" Target="../printerSettings/printerSettings13.bin"/><Relationship Id="rId6" Type="http://schemas.openxmlformats.org/officeDocument/2006/relationships/ctrlProp" Target="../ctrlProps/ctrlProp251.xml"/><Relationship Id="rId11" Type="http://schemas.openxmlformats.org/officeDocument/2006/relationships/ctrlProp" Target="../ctrlProps/ctrlProp256.xml"/><Relationship Id="rId24" Type="http://schemas.openxmlformats.org/officeDocument/2006/relationships/ctrlProp" Target="../ctrlProps/ctrlProp269.xml"/><Relationship Id="rId32" Type="http://schemas.openxmlformats.org/officeDocument/2006/relationships/ctrlProp" Target="../ctrlProps/ctrlProp277.xml"/><Relationship Id="rId5" Type="http://schemas.openxmlformats.org/officeDocument/2006/relationships/ctrlProp" Target="../ctrlProps/ctrlProp250.xml"/><Relationship Id="rId15" Type="http://schemas.openxmlformats.org/officeDocument/2006/relationships/ctrlProp" Target="../ctrlProps/ctrlProp260.xml"/><Relationship Id="rId23" Type="http://schemas.openxmlformats.org/officeDocument/2006/relationships/ctrlProp" Target="../ctrlProps/ctrlProp268.xml"/><Relationship Id="rId28" Type="http://schemas.openxmlformats.org/officeDocument/2006/relationships/ctrlProp" Target="../ctrlProps/ctrlProp273.xml"/><Relationship Id="rId10" Type="http://schemas.openxmlformats.org/officeDocument/2006/relationships/ctrlProp" Target="../ctrlProps/ctrlProp255.xml"/><Relationship Id="rId19" Type="http://schemas.openxmlformats.org/officeDocument/2006/relationships/ctrlProp" Target="../ctrlProps/ctrlProp264.xml"/><Relationship Id="rId31" Type="http://schemas.openxmlformats.org/officeDocument/2006/relationships/ctrlProp" Target="../ctrlProps/ctrlProp276.xml"/><Relationship Id="rId4" Type="http://schemas.openxmlformats.org/officeDocument/2006/relationships/ctrlProp" Target="../ctrlProps/ctrlProp249.xml"/><Relationship Id="rId9" Type="http://schemas.openxmlformats.org/officeDocument/2006/relationships/ctrlProp" Target="../ctrlProps/ctrlProp254.xml"/><Relationship Id="rId14" Type="http://schemas.openxmlformats.org/officeDocument/2006/relationships/ctrlProp" Target="../ctrlProps/ctrlProp259.xml"/><Relationship Id="rId22" Type="http://schemas.openxmlformats.org/officeDocument/2006/relationships/ctrlProp" Target="../ctrlProps/ctrlProp267.xml"/><Relationship Id="rId27" Type="http://schemas.openxmlformats.org/officeDocument/2006/relationships/ctrlProp" Target="../ctrlProps/ctrlProp272.xml"/><Relationship Id="rId30" Type="http://schemas.openxmlformats.org/officeDocument/2006/relationships/ctrlProp" Target="../ctrlProps/ctrlProp275.xml"/><Relationship Id="rId8" Type="http://schemas.openxmlformats.org/officeDocument/2006/relationships/ctrlProp" Target="../ctrlProps/ctrlProp253.xml"/></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288.xml"/><Relationship Id="rId18" Type="http://schemas.openxmlformats.org/officeDocument/2006/relationships/ctrlProp" Target="../ctrlProps/ctrlProp293.xml"/><Relationship Id="rId26" Type="http://schemas.openxmlformats.org/officeDocument/2006/relationships/ctrlProp" Target="../ctrlProps/ctrlProp301.xml"/><Relationship Id="rId3" Type="http://schemas.openxmlformats.org/officeDocument/2006/relationships/vmlDrawing" Target="../drawings/vmlDrawing11.vml"/><Relationship Id="rId21" Type="http://schemas.openxmlformats.org/officeDocument/2006/relationships/ctrlProp" Target="../ctrlProps/ctrlProp296.xml"/><Relationship Id="rId7" Type="http://schemas.openxmlformats.org/officeDocument/2006/relationships/ctrlProp" Target="../ctrlProps/ctrlProp282.xml"/><Relationship Id="rId12" Type="http://schemas.openxmlformats.org/officeDocument/2006/relationships/ctrlProp" Target="../ctrlProps/ctrlProp287.xml"/><Relationship Id="rId17" Type="http://schemas.openxmlformats.org/officeDocument/2006/relationships/ctrlProp" Target="../ctrlProps/ctrlProp292.xml"/><Relationship Id="rId25" Type="http://schemas.openxmlformats.org/officeDocument/2006/relationships/ctrlProp" Target="../ctrlProps/ctrlProp300.xml"/><Relationship Id="rId33" Type="http://schemas.openxmlformats.org/officeDocument/2006/relationships/ctrlProp" Target="../ctrlProps/ctrlProp308.xml"/><Relationship Id="rId2" Type="http://schemas.openxmlformats.org/officeDocument/2006/relationships/drawing" Target="../drawings/drawing11.xml"/><Relationship Id="rId16" Type="http://schemas.openxmlformats.org/officeDocument/2006/relationships/ctrlProp" Target="../ctrlProps/ctrlProp291.xml"/><Relationship Id="rId20" Type="http://schemas.openxmlformats.org/officeDocument/2006/relationships/ctrlProp" Target="../ctrlProps/ctrlProp295.xml"/><Relationship Id="rId29" Type="http://schemas.openxmlformats.org/officeDocument/2006/relationships/ctrlProp" Target="../ctrlProps/ctrlProp304.xml"/><Relationship Id="rId1" Type="http://schemas.openxmlformats.org/officeDocument/2006/relationships/printerSettings" Target="../printerSettings/printerSettings14.bin"/><Relationship Id="rId6" Type="http://schemas.openxmlformats.org/officeDocument/2006/relationships/ctrlProp" Target="../ctrlProps/ctrlProp281.xml"/><Relationship Id="rId11" Type="http://schemas.openxmlformats.org/officeDocument/2006/relationships/ctrlProp" Target="../ctrlProps/ctrlProp286.xml"/><Relationship Id="rId24" Type="http://schemas.openxmlformats.org/officeDocument/2006/relationships/ctrlProp" Target="../ctrlProps/ctrlProp299.xml"/><Relationship Id="rId32" Type="http://schemas.openxmlformats.org/officeDocument/2006/relationships/ctrlProp" Target="../ctrlProps/ctrlProp307.xml"/><Relationship Id="rId5" Type="http://schemas.openxmlformats.org/officeDocument/2006/relationships/ctrlProp" Target="../ctrlProps/ctrlProp280.xml"/><Relationship Id="rId15" Type="http://schemas.openxmlformats.org/officeDocument/2006/relationships/ctrlProp" Target="../ctrlProps/ctrlProp290.xml"/><Relationship Id="rId23" Type="http://schemas.openxmlformats.org/officeDocument/2006/relationships/ctrlProp" Target="../ctrlProps/ctrlProp298.xml"/><Relationship Id="rId28" Type="http://schemas.openxmlformats.org/officeDocument/2006/relationships/ctrlProp" Target="../ctrlProps/ctrlProp303.xml"/><Relationship Id="rId10" Type="http://schemas.openxmlformats.org/officeDocument/2006/relationships/ctrlProp" Target="../ctrlProps/ctrlProp285.xml"/><Relationship Id="rId19" Type="http://schemas.openxmlformats.org/officeDocument/2006/relationships/ctrlProp" Target="../ctrlProps/ctrlProp294.xml"/><Relationship Id="rId31" Type="http://schemas.openxmlformats.org/officeDocument/2006/relationships/ctrlProp" Target="../ctrlProps/ctrlProp306.xml"/><Relationship Id="rId4" Type="http://schemas.openxmlformats.org/officeDocument/2006/relationships/ctrlProp" Target="../ctrlProps/ctrlProp279.xml"/><Relationship Id="rId9" Type="http://schemas.openxmlformats.org/officeDocument/2006/relationships/ctrlProp" Target="../ctrlProps/ctrlProp284.xml"/><Relationship Id="rId14" Type="http://schemas.openxmlformats.org/officeDocument/2006/relationships/ctrlProp" Target="../ctrlProps/ctrlProp289.xml"/><Relationship Id="rId22" Type="http://schemas.openxmlformats.org/officeDocument/2006/relationships/ctrlProp" Target="../ctrlProps/ctrlProp297.xml"/><Relationship Id="rId27" Type="http://schemas.openxmlformats.org/officeDocument/2006/relationships/ctrlProp" Target="../ctrlProps/ctrlProp302.xml"/><Relationship Id="rId30" Type="http://schemas.openxmlformats.org/officeDocument/2006/relationships/ctrlProp" Target="../ctrlProps/ctrlProp305.xml"/><Relationship Id="rId8" Type="http://schemas.openxmlformats.org/officeDocument/2006/relationships/ctrlProp" Target="../ctrlProps/ctrlProp283.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318.xml"/><Relationship Id="rId18" Type="http://schemas.openxmlformats.org/officeDocument/2006/relationships/ctrlProp" Target="../ctrlProps/ctrlProp323.xml"/><Relationship Id="rId26" Type="http://schemas.openxmlformats.org/officeDocument/2006/relationships/ctrlProp" Target="../ctrlProps/ctrlProp331.xml"/><Relationship Id="rId3" Type="http://schemas.openxmlformats.org/officeDocument/2006/relationships/vmlDrawing" Target="../drawings/vmlDrawing12.vml"/><Relationship Id="rId21" Type="http://schemas.openxmlformats.org/officeDocument/2006/relationships/ctrlProp" Target="../ctrlProps/ctrlProp326.xml"/><Relationship Id="rId34" Type="http://schemas.openxmlformats.org/officeDocument/2006/relationships/ctrlProp" Target="../ctrlProps/ctrlProp339.xml"/><Relationship Id="rId7" Type="http://schemas.openxmlformats.org/officeDocument/2006/relationships/ctrlProp" Target="../ctrlProps/ctrlProp312.xml"/><Relationship Id="rId12" Type="http://schemas.openxmlformats.org/officeDocument/2006/relationships/ctrlProp" Target="../ctrlProps/ctrlProp317.xml"/><Relationship Id="rId17" Type="http://schemas.openxmlformats.org/officeDocument/2006/relationships/ctrlProp" Target="../ctrlProps/ctrlProp322.xml"/><Relationship Id="rId25" Type="http://schemas.openxmlformats.org/officeDocument/2006/relationships/ctrlProp" Target="../ctrlProps/ctrlProp330.xml"/><Relationship Id="rId33" Type="http://schemas.openxmlformats.org/officeDocument/2006/relationships/ctrlProp" Target="../ctrlProps/ctrlProp338.xml"/><Relationship Id="rId2" Type="http://schemas.openxmlformats.org/officeDocument/2006/relationships/drawing" Target="../drawings/drawing12.xml"/><Relationship Id="rId16" Type="http://schemas.openxmlformats.org/officeDocument/2006/relationships/ctrlProp" Target="../ctrlProps/ctrlProp321.xml"/><Relationship Id="rId20" Type="http://schemas.openxmlformats.org/officeDocument/2006/relationships/ctrlProp" Target="../ctrlProps/ctrlProp325.xml"/><Relationship Id="rId29" Type="http://schemas.openxmlformats.org/officeDocument/2006/relationships/ctrlProp" Target="../ctrlProps/ctrlProp334.xml"/><Relationship Id="rId1" Type="http://schemas.openxmlformats.org/officeDocument/2006/relationships/printerSettings" Target="../printerSettings/printerSettings15.bin"/><Relationship Id="rId6" Type="http://schemas.openxmlformats.org/officeDocument/2006/relationships/ctrlProp" Target="../ctrlProps/ctrlProp311.xml"/><Relationship Id="rId11" Type="http://schemas.openxmlformats.org/officeDocument/2006/relationships/ctrlProp" Target="../ctrlProps/ctrlProp316.xml"/><Relationship Id="rId24" Type="http://schemas.openxmlformats.org/officeDocument/2006/relationships/ctrlProp" Target="../ctrlProps/ctrlProp329.xml"/><Relationship Id="rId32" Type="http://schemas.openxmlformats.org/officeDocument/2006/relationships/ctrlProp" Target="../ctrlProps/ctrlProp337.xml"/><Relationship Id="rId5" Type="http://schemas.openxmlformats.org/officeDocument/2006/relationships/ctrlProp" Target="../ctrlProps/ctrlProp310.xml"/><Relationship Id="rId15" Type="http://schemas.openxmlformats.org/officeDocument/2006/relationships/ctrlProp" Target="../ctrlProps/ctrlProp320.xml"/><Relationship Id="rId23" Type="http://schemas.openxmlformats.org/officeDocument/2006/relationships/ctrlProp" Target="../ctrlProps/ctrlProp328.xml"/><Relationship Id="rId28" Type="http://schemas.openxmlformats.org/officeDocument/2006/relationships/ctrlProp" Target="../ctrlProps/ctrlProp333.xml"/><Relationship Id="rId10" Type="http://schemas.openxmlformats.org/officeDocument/2006/relationships/ctrlProp" Target="../ctrlProps/ctrlProp315.xml"/><Relationship Id="rId19" Type="http://schemas.openxmlformats.org/officeDocument/2006/relationships/ctrlProp" Target="../ctrlProps/ctrlProp324.xml"/><Relationship Id="rId31" Type="http://schemas.openxmlformats.org/officeDocument/2006/relationships/ctrlProp" Target="../ctrlProps/ctrlProp336.xml"/><Relationship Id="rId4" Type="http://schemas.openxmlformats.org/officeDocument/2006/relationships/ctrlProp" Target="../ctrlProps/ctrlProp309.xml"/><Relationship Id="rId9" Type="http://schemas.openxmlformats.org/officeDocument/2006/relationships/ctrlProp" Target="../ctrlProps/ctrlProp314.xml"/><Relationship Id="rId14" Type="http://schemas.openxmlformats.org/officeDocument/2006/relationships/ctrlProp" Target="../ctrlProps/ctrlProp319.xml"/><Relationship Id="rId22" Type="http://schemas.openxmlformats.org/officeDocument/2006/relationships/ctrlProp" Target="../ctrlProps/ctrlProp327.xml"/><Relationship Id="rId27" Type="http://schemas.openxmlformats.org/officeDocument/2006/relationships/ctrlProp" Target="../ctrlProps/ctrlProp332.xml"/><Relationship Id="rId30" Type="http://schemas.openxmlformats.org/officeDocument/2006/relationships/ctrlProp" Target="../ctrlProps/ctrlProp335.xml"/><Relationship Id="rId8" Type="http://schemas.openxmlformats.org/officeDocument/2006/relationships/ctrlProp" Target="../ctrlProps/ctrlProp313.x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349.xml"/><Relationship Id="rId18" Type="http://schemas.openxmlformats.org/officeDocument/2006/relationships/ctrlProp" Target="../ctrlProps/ctrlProp354.xml"/><Relationship Id="rId26" Type="http://schemas.openxmlformats.org/officeDocument/2006/relationships/ctrlProp" Target="../ctrlProps/ctrlProp362.xml"/><Relationship Id="rId3" Type="http://schemas.openxmlformats.org/officeDocument/2006/relationships/vmlDrawing" Target="../drawings/vmlDrawing13.vml"/><Relationship Id="rId21" Type="http://schemas.openxmlformats.org/officeDocument/2006/relationships/ctrlProp" Target="../ctrlProps/ctrlProp357.xml"/><Relationship Id="rId34" Type="http://schemas.openxmlformats.org/officeDocument/2006/relationships/ctrlProp" Target="../ctrlProps/ctrlProp370.xml"/><Relationship Id="rId7" Type="http://schemas.openxmlformats.org/officeDocument/2006/relationships/ctrlProp" Target="../ctrlProps/ctrlProp343.xml"/><Relationship Id="rId12" Type="http://schemas.openxmlformats.org/officeDocument/2006/relationships/ctrlProp" Target="../ctrlProps/ctrlProp348.xml"/><Relationship Id="rId17" Type="http://schemas.openxmlformats.org/officeDocument/2006/relationships/ctrlProp" Target="../ctrlProps/ctrlProp353.xml"/><Relationship Id="rId25" Type="http://schemas.openxmlformats.org/officeDocument/2006/relationships/ctrlProp" Target="../ctrlProps/ctrlProp361.xml"/><Relationship Id="rId33" Type="http://schemas.openxmlformats.org/officeDocument/2006/relationships/ctrlProp" Target="../ctrlProps/ctrlProp369.xml"/><Relationship Id="rId2" Type="http://schemas.openxmlformats.org/officeDocument/2006/relationships/drawing" Target="../drawings/drawing13.xml"/><Relationship Id="rId16" Type="http://schemas.openxmlformats.org/officeDocument/2006/relationships/ctrlProp" Target="../ctrlProps/ctrlProp352.xml"/><Relationship Id="rId20" Type="http://schemas.openxmlformats.org/officeDocument/2006/relationships/ctrlProp" Target="../ctrlProps/ctrlProp356.xml"/><Relationship Id="rId29" Type="http://schemas.openxmlformats.org/officeDocument/2006/relationships/ctrlProp" Target="../ctrlProps/ctrlProp365.xml"/><Relationship Id="rId1" Type="http://schemas.openxmlformats.org/officeDocument/2006/relationships/printerSettings" Target="../printerSettings/printerSettings16.bin"/><Relationship Id="rId6" Type="http://schemas.openxmlformats.org/officeDocument/2006/relationships/ctrlProp" Target="../ctrlProps/ctrlProp342.xml"/><Relationship Id="rId11" Type="http://schemas.openxmlformats.org/officeDocument/2006/relationships/ctrlProp" Target="../ctrlProps/ctrlProp347.xml"/><Relationship Id="rId24" Type="http://schemas.openxmlformats.org/officeDocument/2006/relationships/ctrlProp" Target="../ctrlProps/ctrlProp360.xml"/><Relationship Id="rId32" Type="http://schemas.openxmlformats.org/officeDocument/2006/relationships/ctrlProp" Target="../ctrlProps/ctrlProp368.xml"/><Relationship Id="rId5" Type="http://schemas.openxmlformats.org/officeDocument/2006/relationships/ctrlProp" Target="../ctrlProps/ctrlProp341.xml"/><Relationship Id="rId15" Type="http://schemas.openxmlformats.org/officeDocument/2006/relationships/ctrlProp" Target="../ctrlProps/ctrlProp351.xml"/><Relationship Id="rId23" Type="http://schemas.openxmlformats.org/officeDocument/2006/relationships/ctrlProp" Target="../ctrlProps/ctrlProp359.xml"/><Relationship Id="rId28" Type="http://schemas.openxmlformats.org/officeDocument/2006/relationships/ctrlProp" Target="../ctrlProps/ctrlProp364.xml"/><Relationship Id="rId36" Type="http://schemas.openxmlformats.org/officeDocument/2006/relationships/ctrlProp" Target="../ctrlProps/ctrlProp372.xml"/><Relationship Id="rId10" Type="http://schemas.openxmlformats.org/officeDocument/2006/relationships/ctrlProp" Target="../ctrlProps/ctrlProp346.xml"/><Relationship Id="rId19" Type="http://schemas.openxmlformats.org/officeDocument/2006/relationships/ctrlProp" Target="../ctrlProps/ctrlProp355.xml"/><Relationship Id="rId31" Type="http://schemas.openxmlformats.org/officeDocument/2006/relationships/ctrlProp" Target="../ctrlProps/ctrlProp367.xml"/><Relationship Id="rId4" Type="http://schemas.openxmlformats.org/officeDocument/2006/relationships/ctrlProp" Target="../ctrlProps/ctrlProp340.xml"/><Relationship Id="rId9" Type="http://schemas.openxmlformats.org/officeDocument/2006/relationships/ctrlProp" Target="../ctrlProps/ctrlProp345.xml"/><Relationship Id="rId14" Type="http://schemas.openxmlformats.org/officeDocument/2006/relationships/ctrlProp" Target="../ctrlProps/ctrlProp350.xml"/><Relationship Id="rId22" Type="http://schemas.openxmlformats.org/officeDocument/2006/relationships/ctrlProp" Target="../ctrlProps/ctrlProp358.xml"/><Relationship Id="rId27" Type="http://schemas.openxmlformats.org/officeDocument/2006/relationships/ctrlProp" Target="../ctrlProps/ctrlProp363.xml"/><Relationship Id="rId30" Type="http://schemas.openxmlformats.org/officeDocument/2006/relationships/ctrlProp" Target="../ctrlProps/ctrlProp366.xml"/><Relationship Id="rId35" Type="http://schemas.openxmlformats.org/officeDocument/2006/relationships/ctrlProp" Target="../ctrlProps/ctrlProp371.xml"/><Relationship Id="rId8" Type="http://schemas.openxmlformats.org/officeDocument/2006/relationships/ctrlProp" Target="../ctrlProps/ctrlProp344.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382.xml"/><Relationship Id="rId18" Type="http://schemas.openxmlformats.org/officeDocument/2006/relationships/ctrlProp" Target="../ctrlProps/ctrlProp387.xml"/><Relationship Id="rId26" Type="http://schemas.openxmlformats.org/officeDocument/2006/relationships/ctrlProp" Target="../ctrlProps/ctrlProp395.xml"/><Relationship Id="rId21" Type="http://schemas.openxmlformats.org/officeDocument/2006/relationships/ctrlProp" Target="../ctrlProps/ctrlProp390.xml"/><Relationship Id="rId34" Type="http://schemas.openxmlformats.org/officeDocument/2006/relationships/ctrlProp" Target="../ctrlProps/ctrlProp403.xml"/><Relationship Id="rId7" Type="http://schemas.openxmlformats.org/officeDocument/2006/relationships/ctrlProp" Target="../ctrlProps/ctrlProp376.xml"/><Relationship Id="rId12" Type="http://schemas.openxmlformats.org/officeDocument/2006/relationships/ctrlProp" Target="../ctrlProps/ctrlProp381.xml"/><Relationship Id="rId17" Type="http://schemas.openxmlformats.org/officeDocument/2006/relationships/ctrlProp" Target="../ctrlProps/ctrlProp386.xml"/><Relationship Id="rId25" Type="http://schemas.openxmlformats.org/officeDocument/2006/relationships/ctrlProp" Target="../ctrlProps/ctrlProp394.xml"/><Relationship Id="rId33" Type="http://schemas.openxmlformats.org/officeDocument/2006/relationships/ctrlProp" Target="../ctrlProps/ctrlProp402.xml"/><Relationship Id="rId38" Type="http://schemas.openxmlformats.org/officeDocument/2006/relationships/ctrlProp" Target="../ctrlProps/ctrlProp407.xml"/><Relationship Id="rId2" Type="http://schemas.openxmlformats.org/officeDocument/2006/relationships/drawing" Target="../drawings/drawing14.xml"/><Relationship Id="rId16" Type="http://schemas.openxmlformats.org/officeDocument/2006/relationships/ctrlProp" Target="../ctrlProps/ctrlProp385.xml"/><Relationship Id="rId20" Type="http://schemas.openxmlformats.org/officeDocument/2006/relationships/ctrlProp" Target="../ctrlProps/ctrlProp389.xml"/><Relationship Id="rId29" Type="http://schemas.openxmlformats.org/officeDocument/2006/relationships/ctrlProp" Target="../ctrlProps/ctrlProp398.xml"/><Relationship Id="rId1" Type="http://schemas.openxmlformats.org/officeDocument/2006/relationships/printerSettings" Target="../printerSettings/printerSettings17.bin"/><Relationship Id="rId6" Type="http://schemas.openxmlformats.org/officeDocument/2006/relationships/ctrlProp" Target="../ctrlProps/ctrlProp375.xml"/><Relationship Id="rId11" Type="http://schemas.openxmlformats.org/officeDocument/2006/relationships/ctrlProp" Target="../ctrlProps/ctrlProp380.xml"/><Relationship Id="rId24" Type="http://schemas.openxmlformats.org/officeDocument/2006/relationships/ctrlProp" Target="../ctrlProps/ctrlProp393.xml"/><Relationship Id="rId32" Type="http://schemas.openxmlformats.org/officeDocument/2006/relationships/ctrlProp" Target="../ctrlProps/ctrlProp401.xml"/><Relationship Id="rId37" Type="http://schemas.openxmlformats.org/officeDocument/2006/relationships/ctrlProp" Target="../ctrlProps/ctrlProp406.xml"/><Relationship Id="rId5" Type="http://schemas.openxmlformats.org/officeDocument/2006/relationships/ctrlProp" Target="../ctrlProps/ctrlProp374.xml"/><Relationship Id="rId15" Type="http://schemas.openxmlformats.org/officeDocument/2006/relationships/ctrlProp" Target="../ctrlProps/ctrlProp384.xml"/><Relationship Id="rId23" Type="http://schemas.openxmlformats.org/officeDocument/2006/relationships/ctrlProp" Target="../ctrlProps/ctrlProp392.xml"/><Relationship Id="rId28" Type="http://schemas.openxmlformats.org/officeDocument/2006/relationships/ctrlProp" Target="../ctrlProps/ctrlProp397.xml"/><Relationship Id="rId36" Type="http://schemas.openxmlformats.org/officeDocument/2006/relationships/ctrlProp" Target="../ctrlProps/ctrlProp405.xml"/><Relationship Id="rId10" Type="http://schemas.openxmlformats.org/officeDocument/2006/relationships/ctrlProp" Target="../ctrlProps/ctrlProp379.xml"/><Relationship Id="rId19" Type="http://schemas.openxmlformats.org/officeDocument/2006/relationships/ctrlProp" Target="../ctrlProps/ctrlProp388.xml"/><Relationship Id="rId31" Type="http://schemas.openxmlformats.org/officeDocument/2006/relationships/ctrlProp" Target="../ctrlProps/ctrlProp400.xml"/><Relationship Id="rId4" Type="http://schemas.openxmlformats.org/officeDocument/2006/relationships/ctrlProp" Target="../ctrlProps/ctrlProp373.xml"/><Relationship Id="rId9" Type="http://schemas.openxmlformats.org/officeDocument/2006/relationships/ctrlProp" Target="../ctrlProps/ctrlProp378.xml"/><Relationship Id="rId14" Type="http://schemas.openxmlformats.org/officeDocument/2006/relationships/ctrlProp" Target="../ctrlProps/ctrlProp383.xml"/><Relationship Id="rId22" Type="http://schemas.openxmlformats.org/officeDocument/2006/relationships/ctrlProp" Target="../ctrlProps/ctrlProp391.xml"/><Relationship Id="rId27" Type="http://schemas.openxmlformats.org/officeDocument/2006/relationships/ctrlProp" Target="../ctrlProps/ctrlProp396.xml"/><Relationship Id="rId30" Type="http://schemas.openxmlformats.org/officeDocument/2006/relationships/ctrlProp" Target="../ctrlProps/ctrlProp399.xml"/><Relationship Id="rId35" Type="http://schemas.openxmlformats.org/officeDocument/2006/relationships/ctrlProp" Target="../ctrlProps/ctrlProp404.xml"/><Relationship Id="rId8" Type="http://schemas.openxmlformats.org/officeDocument/2006/relationships/ctrlProp" Target="../ctrlProps/ctrlProp377.xml"/><Relationship Id="rId3"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417.xml"/><Relationship Id="rId18" Type="http://schemas.openxmlformats.org/officeDocument/2006/relationships/ctrlProp" Target="../ctrlProps/ctrlProp422.xml"/><Relationship Id="rId26" Type="http://schemas.openxmlformats.org/officeDocument/2006/relationships/ctrlProp" Target="../ctrlProps/ctrlProp430.xml"/><Relationship Id="rId21" Type="http://schemas.openxmlformats.org/officeDocument/2006/relationships/ctrlProp" Target="../ctrlProps/ctrlProp425.xml"/><Relationship Id="rId34" Type="http://schemas.openxmlformats.org/officeDocument/2006/relationships/ctrlProp" Target="../ctrlProps/ctrlProp438.xml"/><Relationship Id="rId7" Type="http://schemas.openxmlformats.org/officeDocument/2006/relationships/ctrlProp" Target="../ctrlProps/ctrlProp411.xml"/><Relationship Id="rId12" Type="http://schemas.openxmlformats.org/officeDocument/2006/relationships/ctrlProp" Target="../ctrlProps/ctrlProp416.xml"/><Relationship Id="rId17" Type="http://schemas.openxmlformats.org/officeDocument/2006/relationships/ctrlProp" Target="../ctrlProps/ctrlProp421.xml"/><Relationship Id="rId25" Type="http://schemas.openxmlformats.org/officeDocument/2006/relationships/ctrlProp" Target="../ctrlProps/ctrlProp429.xml"/><Relationship Id="rId33" Type="http://schemas.openxmlformats.org/officeDocument/2006/relationships/ctrlProp" Target="../ctrlProps/ctrlProp437.xml"/><Relationship Id="rId38" Type="http://schemas.openxmlformats.org/officeDocument/2006/relationships/ctrlProp" Target="../ctrlProps/ctrlProp442.xml"/><Relationship Id="rId2" Type="http://schemas.openxmlformats.org/officeDocument/2006/relationships/drawing" Target="../drawings/drawing15.xml"/><Relationship Id="rId16" Type="http://schemas.openxmlformats.org/officeDocument/2006/relationships/ctrlProp" Target="../ctrlProps/ctrlProp420.xml"/><Relationship Id="rId20" Type="http://schemas.openxmlformats.org/officeDocument/2006/relationships/ctrlProp" Target="../ctrlProps/ctrlProp424.xml"/><Relationship Id="rId29" Type="http://schemas.openxmlformats.org/officeDocument/2006/relationships/ctrlProp" Target="../ctrlProps/ctrlProp433.xml"/><Relationship Id="rId1" Type="http://schemas.openxmlformats.org/officeDocument/2006/relationships/printerSettings" Target="../printerSettings/printerSettings18.bin"/><Relationship Id="rId6" Type="http://schemas.openxmlformats.org/officeDocument/2006/relationships/ctrlProp" Target="../ctrlProps/ctrlProp410.xml"/><Relationship Id="rId11" Type="http://schemas.openxmlformats.org/officeDocument/2006/relationships/ctrlProp" Target="../ctrlProps/ctrlProp415.xml"/><Relationship Id="rId24" Type="http://schemas.openxmlformats.org/officeDocument/2006/relationships/ctrlProp" Target="../ctrlProps/ctrlProp428.xml"/><Relationship Id="rId32" Type="http://schemas.openxmlformats.org/officeDocument/2006/relationships/ctrlProp" Target="../ctrlProps/ctrlProp436.xml"/><Relationship Id="rId37" Type="http://schemas.openxmlformats.org/officeDocument/2006/relationships/ctrlProp" Target="../ctrlProps/ctrlProp441.xml"/><Relationship Id="rId5" Type="http://schemas.openxmlformats.org/officeDocument/2006/relationships/ctrlProp" Target="../ctrlProps/ctrlProp409.xml"/><Relationship Id="rId15" Type="http://schemas.openxmlformats.org/officeDocument/2006/relationships/ctrlProp" Target="../ctrlProps/ctrlProp419.xml"/><Relationship Id="rId23" Type="http://schemas.openxmlformats.org/officeDocument/2006/relationships/ctrlProp" Target="../ctrlProps/ctrlProp427.xml"/><Relationship Id="rId28" Type="http://schemas.openxmlformats.org/officeDocument/2006/relationships/ctrlProp" Target="../ctrlProps/ctrlProp432.xml"/><Relationship Id="rId36" Type="http://schemas.openxmlformats.org/officeDocument/2006/relationships/ctrlProp" Target="../ctrlProps/ctrlProp440.xml"/><Relationship Id="rId10" Type="http://schemas.openxmlformats.org/officeDocument/2006/relationships/ctrlProp" Target="../ctrlProps/ctrlProp414.xml"/><Relationship Id="rId19" Type="http://schemas.openxmlformats.org/officeDocument/2006/relationships/ctrlProp" Target="../ctrlProps/ctrlProp423.xml"/><Relationship Id="rId31" Type="http://schemas.openxmlformats.org/officeDocument/2006/relationships/ctrlProp" Target="../ctrlProps/ctrlProp435.xml"/><Relationship Id="rId4" Type="http://schemas.openxmlformats.org/officeDocument/2006/relationships/ctrlProp" Target="../ctrlProps/ctrlProp408.xml"/><Relationship Id="rId9" Type="http://schemas.openxmlformats.org/officeDocument/2006/relationships/ctrlProp" Target="../ctrlProps/ctrlProp413.xml"/><Relationship Id="rId14" Type="http://schemas.openxmlformats.org/officeDocument/2006/relationships/ctrlProp" Target="../ctrlProps/ctrlProp418.xml"/><Relationship Id="rId22" Type="http://schemas.openxmlformats.org/officeDocument/2006/relationships/ctrlProp" Target="../ctrlProps/ctrlProp426.xml"/><Relationship Id="rId27" Type="http://schemas.openxmlformats.org/officeDocument/2006/relationships/ctrlProp" Target="../ctrlProps/ctrlProp431.xml"/><Relationship Id="rId30" Type="http://schemas.openxmlformats.org/officeDocument/2006/relationships/ctrlProp" Target="../ctrlProps/ctrlProp434.xml"/><Relationship Id="rId35" Type="http://schemas.openxmlformats.org/officeDocument/2006/relationships/ctrlProp" Target="../ctrlProps/ctrlProp439.xml"/><Relationship Id="rId8" Type="http://schemas.openxmlformats.org/officeDocument/2006/relationships/ctrlProp" Target="../ctrlProps/ctrlProp412.xml"/><Relationship Id="rId3"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452.xml"/><Relationship Id="rId18" Type="http://schemas.openxmlformats.org/officeDocument/2006/relationships/ctrlProp" Target="../ctrlProps/ctrlProp457.xml"/><Relationship Id="rId26" Type="http://schemas.openxmlformats.org/officeDocument/2006/relationships/ctrlProp" Target="../ctrlProps/ctrlProp465.xml"/><Relationship Id="rId39" Type="http://schemas.openxmlformats.org/officeDocument/2006/relationships/ctrlProp" Target="../ctrlProps/ctrlProp478.xml"/><Relationship Id="rId21" Type="http://schemas.openxmlformats.org/officeDocument/2006/relationships/ctrlProp" Target="../ctrlProps/ctrlProp460.xml"/><Relationship Id="rId34" Type="http://schemas.openxmlformats.org/officeDocument/2006/relationships/ctrlProp" Target="../ctrlProps/ctrlProp473.xml"/><Relationship Id="rId7" Type="http://schemas.openxmlformats.org/officeDocument/2006/relationships/ctrlProp" Target="../ctrlProps/ctrlProp446.xml"/><Relationship Id="rId12" Type="http://schemas.openxmlformats.org/officeDocument/2006/relationships/ctrlProp" Target="../ctrlProps/ctrlProp451.xml"/><Relationship Id="rId17" Type="http://schemas.openxmlformats.org/officeDocument/2006/relationships/ctrlProp" Target="../ctrlProps/ctrlProp456.xml"/><Relationship Id="rId25" Type="http://schemas.openxmlformats.org/officeDocument/2006/relationships/ctrlProp" Target="../ctrlProps/ctrlProp464.xml"/><Relationship Id="rId33" Type="http://schemas.openxmlformats.org/officeDocument/2006/relationships/ctrlProp" Target="../ctrlProps/ctrlProp472.xml"/><Relationship Id="rId38" Type="http://schemas.openxmlformats.org/officeDocument/2006/relationships/ctrlProp" Target="../ctrlProps/ctrlProp477.xml"/><Relationship Id="rId2" Type="http://schemas.openxmlformats.org/officeDocument/2006/relationships/drawing" Target="../drawings/drawing16.xml"/><Relationship Id="rId16" Type="http://schemas.openxmlformats.org/officeDocument/2006/relationships/ctrlProp" Target="../ctrlProps/ctrlProp455.xml"/><Relationship Id="rId20" Type="http://schemas.openxmlformats.org/officeDocument/2006/relationships/ctrlProp" Target="../ctrlProps/ctrlProp459.xml"/><Relationship Id="rId29" Type="http://schemas.openxmlformats.org/officeDocument/2006/relationships/ctrlProp" Target="../ctrlProps/ctrlProp468.xml"/><Relationship Id="rId1" Type="http://schemas.openxmlformats.org/officeDocument/2006/relationships/printerSettings" Target="../printerSettings/printerSettings19.bin"/><Relationship Id="rId6" Type="http://schemas.openxmlformats.org/officeDocument/2006/relationships/ctrlProp" Target="../ctrlProps/ctrlProp445.xml"/><Relationship Id="rId11" Type="http://schemas.openxmlformats.org/officeDocument/2006/relationships/ctrlProp" Target="../ctrlProps/ctrlProp450.xml"/><Relationship Id="rId24" Type="http://schemas.openxmlformats.org/officeDocument/2006/relationships/ctrlProp" Target="../ctrlProps/ctrlProp463.xml"/><Relationship Id="rId32" Type="http://schemas.openxmlformats.org/officeDocument/2006/relationships/ctrlProp" Target="../ctrlProps/ctrlProp471.xml"/><Relationship Id="rId37" Type="http://schemas.openxmlformats.org/officeDocument/2006/relationships/ctrlProp" Target="../ctrlProps/ctrlProp476.xml"/><Relationship Id="rId40" Type="http://schemas.openxmlformats.org/officeDocument/2006/relationships/ctrlProp" Target="../ctrlProps/ctrlProp479.xml"/><Relationship Id="rId5" Type="http://schemas.openxmlformats.org/officeDocument/2006/relationships/ctrlProp" Target="../ctrlProps/ctrlProp444.xml"/><Relationship Id="rId15" Type="http://schemas.openxmlformats.org/officeDocument/2006/relationships/ctrlProp" Target="../ctrlProps/ctrlProp454.xml"/><Relationship Id="rId23" Type="http://schemas.openxmlformats.org/officeDocument/2006/relationships/ctrlProp" Target="../ctrlProps/ctrlProp462.xml"/><Relationship Id="rId28" Type="http://schemas.openxmlformats.org/officeDocument/2006/relationships/ctrlProp" Target="../ctrlProps/ctrlProp467.xml"/><Relationship Id="rId36" Type="http://schemas.openxmlformats.org/officeDocument/2006/relationships/ctrlProp" Target="../ctrlProps/ctrlProp475.xml"/><Relationship Id="rId10" Type="http://schemas.openxmlformats.org/officeDocument/2006/relationships/ctrlProp" Target="../ctrlProps/ctrlProp449.xml"/><Relationship Id="rId19" Type="http://schemas.openxmlformats.org/officeDocument/2006/relationships/ctrlProp" Target="../ctrlProps/ctrlProp458.xml"/><Relationship Id="rId31" Type="http://schemas.openxmlformats.org/officeDocument/2006/relationships/ctrlProp" Target="../ctrlProps/ctrlProp470.xml"/><Relationship Id="rId4" Type="http://schemas.openxmlformats.org/officeDocument/2006/relationships/ctrlProp" Target="../ctrlProps/ctrlProp443.xml"/><Relationship Id="rId9" Type="http://schemas.openxmlformats.org/officeDocument/2006/relationships/ctrlProp" Target="../ctrlProps/ctrlProp448.xml"/><Relationship Id="rId14" Type="http://schemas.openxmlformats.org/officeDocument/2006/relationships/ctrlProp" Target="../ctrlProps/ctrlProp453.xml"/><Relationship Id="rId22" Type="http://schemas.openxmlformats.org/officeDocument/2006/relationships/ctrlProp" Target="../ctrlProps/ctrlProp461.xml"/><Relationship Id="rId27" Type="http://schemas.openxmlformats.org/officeDocument/2006/relationships/ctrlProp" Target="../ctrlProps/ctrlProp466.xml"/><Relationship Id="rId30" Type="http://schemas.openxmlformats.org/officeDocument/2006/relationships/ctrlProp" Target="../ctrlProps/ctrlProp469.xml"/><Relationship Id="rId35" Type="http://schemas.openxmlformats.org/officeDocument/2006/relationships/ctrlProp" Target="../ctrlProps/ctrlProp474.xml"/><Relationship Id="rId8" Type="http://schemas.openxmlformats.org/officeDocument/2006/relationships/ctrlProp" Target="../ctrlProps/ctrlProp447.xml"/><Relationship Id="rId3" Type="http://schemas.openxmlformats.org/officeDocument/2006/relationships/vmlDrawing" Target="../drawings/vmlDrawing16.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489.xml"/><Relationship Id="rId18" Type="http://schemas.openxmlformats.org/officeDocument/2006/relationships/ctrlProp" Target="../ctrlProps/ctrlProp494.xml"/><Relationship Id="rId26" Type="http://schemas.openxmlformats.org/officeDocument/2006/relationships/ctrlProp" Target="../ctrlProps/ctrlProp502.xml"/><Relationship Id="rId39" Type="http://schemas.openxmlformats.org/officeDocument/2006/relationships/ctrlProp" Target="../ctrlProps/ctrlProp515.xml"/><Relationship Id="rId21" Type="http://schemas.openxmlformats.org/officeDocument/2006/relationships/ctrlProp" Target="../ctrlProps/ctrlProp497.xml"/><Relationship Id="rId34" Type="http://schemas.openxmlformats.org/officeDocument/2006/relationships/ctrlProp" Target="../ctrlProps/ctrlProp510.xml"/><Relationship Id="rId7" Type="http://schemas.openxmlformats.org/officeDocument/2006/relationships/ctrlProp" Target="../ctrlProps/ctrlProp483.xml"/><Relationship Id="rId2" Type="http://schemas.openxmlformats.org/officeDocument/2006/relationships/drawing" Target="../drawings/drawing17.xml"/><Relationship Id="rId16" Type="http://schemas.openxmlformats.org/officeDocument/2006/relationships/ctrlProp" Target="../ctrlProps/ctrlProp492.xml"/><Relationship Id="rId20" Type="http://schemas.openxmlformats.org/officeDocument/2006/relationships/ctrlProp" Target="../ctrlProps/ctrlProp496.xml"/><Relationship Id="rId29" Type="http://schemas.openxmlformats.org/officeDocument/2006/relationships/ctrlProp" Target="../ctrlProps/ctrlProp505.xml"/><Relationship Id="rId41" Type="http://schemas.openxmlformats.org/officeDocument/2006/relationships/ctrlProp" Target="../ctrlProps/ctrlProp517.xml"/><Relationship Id="rId1" Type="http://schemas.openxmlformats.org/officeDocument/2006/relationships/printerSettings" Target="../printerSettings/printerSettings20.bin"/><Relationship Id="rId6" Type="http://schemas.openxmlformats.org/officeDocument/2006/relationships/ctrlProp" Target="../ctrlProps/ctrlProp482.xml"/><Relationship Id="rId11" Type="http://schemas.openxmlformats.org/officeDocument/2006/relationships/ctrlProp" Target="../ctrlProps/ctrlProp487.xml"/><Relationship Id="rId24" Type="http://schemas.openxmlformats.org/officeDocument/2006/relationships/ctrlProp" Target="../ctrlProps/ctrlProp500.xml"/><Relationship Id="rId32" Type="http://schemas.openxmlformats.org/officeDocument/2006/relationships/ctrlProp" Target="../ctrlProps/ctrlProp508.xml"/><Relationship Id="rId37" Type="http://schemas.openxmlformats.org/officeDocument/2006/relationships/ctrlProp" Target="../ctrlProps/ctrlProp513.xml"/><Relationship Id="rId40" Type="http://schemas.openxmlformats.org/officeDocument/2006/relationships/ctrlProp" Target="../ctrlProps/ctrlProp516.xml"/><Relationship Id="rId5" Type="http://schemas.openxmlformats.org/officeDocument/2006/relationships/ctrlProp" Target="../ctrlProps/ctrlProp481.xml"/><Relationship Id="rId15" Type="http://schemas.openxmlformats.org/officeDocument/2006/relationships/ctrlProp" Target="../ctrlProps/ctrlProp491.xml"/><Relationship Id="rId23" Type="http://schemas.openxmlformats.org/officeDocument/2006/relationships/ctrlProp" Target="../ctrlProps/ctrlProp499.xml"/><Relationship Id="rId28" Type="http://schemas.openxmlformats.org/officeDocument/2006/relationships/ctrlProp" Target="../ctrlProps/ctrlProp504.xml"/><Relationship Id="rId36" Type="http://schemas.openxmlformats.org/officeDocument/2006/relationships/ctrlProp" Target="../ctrlProps/ctrlProp512.xml"/><Relationship Id="rId10" Type="http://schemas.openxmlformats.org/officeDocument/2006/relationships/ctrlProp" Target="../ctrlProps/ctrlProp486.xml"/><Relationship Id="rId19" Type="http://schemas.openxmlformats.org/officeDocument/2006/relationships/ctrlProp" Target="../ctrlProps/ctrlProp495.xml"/><Relationship Id="rId31" Type="http://schemas.openxmlformats.org/officeDocument/2006/relationships/ctrlProp" Target="../ctrlProps/ctrlProp507.xml"/><Relationship Id="rId4" Type="http://schemas.openxmlformats.org/officeDocument/2006/relationships/ctrlProp" Target="../ctrlProps/ctrlProp480.xml"/><Relationship Id="rId9" Type="http://schemas.openxmlformats.org/officeDocument/2006/relationships/ctrlProp" Target="../ctrlProps/ctrlProp485.xml"/><Relationship Id="rId14" Type="http://schemas.openxmlformats.org/officeDocument/2006/relationships/ctrlProp" Target="../ctrlProps/ctrlProp490.xml"/><Relationship Id="rId22" Type="http://schemas.openxmlformats.org/officeDocument/2006/relationships/ctrlProp" Target="../ctrlProps/ctrlProp498.xml"/><Relationship Id="rId27" Type="http://schemas.openxmlformats.org/officeDocument/2006/relationships/ctrlProp" Target="../ctrlProps/ctrlProp503.xml"/><Relationship Id="rId30" Type="http://schemas.openxmlformats.org/officeDocument/2006/relationships/ctrlProp" Target="../ctrlProps/ctrlProp506.xml"/><Relationship Id="rId35" Type="http://schemas.openxmlformats.org/officeDocument/2006/relationships/ctrlProp" Target="../ctrlProps/ctrlProp511.xml"/><Relationship Id="rId8" Type="http://schemas.openxmlformats.org/officeDocument/2006/relationships/ctrlProp" Target="../ctrlProps/ctrlProp484.xml"/><Relationship Id="rId3" Type="http://schemas.openxmlformats.org/officeDocument/2006/relationships/vmlDrawing" Target="../drawings/vmlDrawing17.vml"/><Relationship Id="rId12" Type="http://schemas.openxmlformats.org/officeDocument/2006/relationships/ctrlProp" Target="../ctrlProps/ctrlProp488.xml"/><Relationship Id="rId17" Type="http://schemas.openxmlformats.org/officeDocument/2006/relationships/ctrlProp" Target="../ctrlProps/ctrlProp493.xml"/><Relationship Id="rId25" Type="http://schemas.openxmlformats.org/officeDocument/2006/relationships/ctrlProp" Target="../ctrlProps/ctrlProp501.xml"/><Relationship Id="rId33" Type="http://schemas.openxmlformats.org/officeDocument/2006/relationships/ctrlProp" Target="../ctrlProps/ctrlProp509.xml"/><Relationship Id="rId38" Type="http://schemas.openxmlformats.org/officeDocument/2006/relationships/ctrlProp" Target="../ctrlProps/ctrlProp514.x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527.xml"/><Relationship Id="rId18" Type="http://schemas.openxmlformats.org/officeDocument/2006/relationships/ctrlProp" Target="../ctrlProps/ctrlProp532.xml"/><Relationship Id="rId26" Type="http://schemas.openxmlformats.org/officeDocument/2006/relationships/ctrlProp" Target="../ctrlProps/ctrlProp540.xml"/><Relationship Id="rId39" Type="http://schemas.openxmlformats.org/officeDocument/2006/relationships/ctrlProp" Target="../ctrlProps/ctrlProp553.xml"/><Relationship Id="rId21" Type="http://schemas.openxmlformats.org/officeDocument/2006/relationships/ctrlProp" Target="../ctrlProps/ctrlProp535.xml"/><Relationship Id="rId34" Type="http://schemas.openxmlformats.org/officeDocument/2006/relationships/ctrlProp" Target="../ctrlProps/ctrlProp548.xml"/><Relationship Id="rId42" Type="http://schemas.openxmlformats.org/officeDocument/2006/relationships/ctrlProp" Target="../ctrlProps/ctrlProp556.xml"/><Relationship Id="rId7" Type="http://schemas.openxmlformats.org/officeDocument/2006/relationships/ctrlProp" Target="../ctrlProps/ctrlProp521.xml"/><Relationship Id="rId2" Type="http://schemas.openxmlformats.org/officeDocument/2006/relationships/drawing" Target="../drawings/drawing18.xml"/><Relationship Id="rId16" Type="http://schemas.openxmlformats.org/officeDocument/2006/relationships/ctrlProp" Target="../ctrlProps/ctrlProp530.xml"/><Relationship Id="rId20" Type="http://schemas.openxmlformats.org/officeDocument/2006/relationships/ctrlProp" Target="../ctrlProps/ctrlProp534.xml"/><Relationship Id="rId29" Type="http://schemas.openxmlformats.org/officeDocument/2006/relationships/ctrlProp" Target="../ctrlProps/ctrlProp543.xml"/><Relationship Id="rId41" Type="http://schemas.openxmlformats.org/officeDocument/2006/relationships/ctrlProp" Target="../ctrlProps/ctrlProp555.xml"/><Relationship Id="rId1" Type="http://schemas.openxmlformats.org/officeDocument/2006/relationships/printerSettings" Target="../printerSettings/printerSettings21.bin"/><Relationship Id="rId6" Type="http://schemas.openxmlformats.org/officeDocument/2006/relationships/ctrlProp" Target="../ctrlProps/ctrlProp520.xml"/><Relationship Id="rId11" Type="http://schemas.openxmlformats.org/officeDocument/2006/relationships/ctrlProp" Target="../ctrlProps/ctrlProp525.xml"/><Relationship Id="rId24" Type="http://schemas.openxmlformats.org/officeDocument/2006/relationships/ctrlProp" Target="../ctrlProps/ctrlProp538.xml"/><Relationship Id="rId32" Type="http://schemas.openxmlformats.org/officeDocument/2006/relationships/ctrlProp" Target="../ctrlProps/ctrlProp546.xml"/><Relationship Id="rId37" Type="http://schemas.openxmlformats.org/officeDocument/2006/relationships/ctrlProp" Target="../ctrlProps/ctrlProp551.xml"/><Relationship Id="rId40" Type="http://schemas.openxmlformats.org/officeDocument/2006/relationships/ctrlProp" Target="../ctrlProps/ctrlProp554.xml"/><Relationship Id="rId5" Type="http://schemas.openxmlformats.org/officeDocument/2006/relationships/ctrlProp" Target="../ctrlProps/ctrlProp519.xml"/><Relationship Id="rId15" Type="http://schemas.openxmlformats.org/officeDocument/2006/relationships/ctrlProp" Target="../ctrlProps/ctrlProp529.xml"/><Relationship Id="rId23" Type="http://schemas.openxmlformats.org/officeDocument/2006/relationships/ctrlProp" Target="../ctrlProps/ctrlProp537.xml"/><Relationship Id="rId28" Type="http://schemas.openxmlformats.org/officeDocument/2006/relationships/ctrlProp" Target="../ctrlProps/ctrlProp542.xml"/><Relationship Id="rId36" Type="http://schemas.openxmlformats.org/officeDocument/2006/relationships/ctrlProp" Target="../ctrlProps/ctrlProp550.xml"/><Relationship Id="rId10" Type="http://schemas.openxmlformats.org/officeDocument/2006/relationships/ctrlProp" Target="../ctrlProps/ctrlProp524.xml"/><Relationship Id="rId19" Type="http://schemas.openxmlformats.org/officeDocument/2006/relationships/ctrlProp" Target="../ctrlProps/ctrlProp533.xml"/><Relationship Id="rId31" Type="http://schemas.openxmlformats.org/officeDocument/2006/relationships/ctrlProp" Target="../ctrlProps/ctrlProp545.xml"/><Relationship Id="rId4" Type="http://schemas.openxmlformats.org/officeDocument/2006/relationships/ctrlProp" Target="../ctrlProps/ctrlProp518.xml"/><Relationship Id="rId9" Type="http://schemas.openxmlformats.org/officeDocument/2006/relationships/ctrlProp" Target="../ctrlProps/ctrlProp523.xml"/><Relationship Id="rId14" Type="http://schemas.openxmlformats.org/officeDocument/2006/relationships/ctrlProp" Target="../ctrlProps/ctrlProp528.xml"/><Relationship Id="rId22" Type="http://schemas.openxmlformats.org/officeDocument/2006/relationships/ctrlProp" Target="../ctrlProps/ctrlProp536.xml"/><Relationship Id="rId27" Type="http://schemas.openxmlformats.org/officeDocument/2006/relationships/ctrlProp" Target="../ctrlProps/ctrlProp541.xml"/><Relationship Id="rId30" Type="http://schemas.openxmlformats.org/officeDocument/2006/relationships/ctrlProp" Target="../ctrlProps/ctrlProp544.xml"/><Relationship Id="rId35" Type="http://schemas.openxmlformats.org/officeDocument/2006/relationships/ctrlProp" Target="../ctrlProps/ctrlProp549.xml"/><Relationship Id="rId8" Type="http://schemas.openxmlformats.org/officeDocument/2006/relationships/ctrlProp" Target="../ctrlProps/ctrlProp522.xml"/><Relationship Id="rId3" Type="http://schemas.openxmlformats.org/officeDocument/2006/relationships/vmlDrawing" Target="../drawings/vmlDrawing18.vml"/><Relationship Id="rId12" Type="http://schemas.openxmlformats.org/officeDocument/2006/relationships/ctrlProp" Target="../ctrlProps/ctrlProp526.xml"/><Relationship Id="rId17" Type="http://schemas.openxmlformats.org/officeDocument/2006/relationships/ctrlProp" Target="../ctrlProps/ctrlProp531.xml"/><Relationship Id="rId25" Type="http://schemas.openxmlformats.org/officeDocument/2006/relationships/ctrlProp" Target="../ctrlProps/ctrlProp539.xml"/><Relationship Id="rId33" Type="http://schemas.openxmlformats.org/officeDocument/2006/relationships/ctrlProp" Target="../ctrlProps/ctrlProp547.xml"/><Relationship Id="rId38" Type="http://schemas.openxmlformats.org/officeDocument/2006/relationships/ctrlProp" Target="../ctrlProps/ctrlProp552.x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566.xml"/><Relationship Id="rId18" Type="http://schemas.openxmlformats.org/officeDocument/2006/relationships/ctrlProp" Target="../ctrlProps/ctrlProp571.xml"/><Relationship Id="rId26" Type="http://schemas.openxmlformats.org/officeDocument/2006/relationships/ctrlProp" Target="../ctrlProps/ctrlProp579.xml"/><Relationship Id="rId39" Type="http://schemas.openxmlformats.org/officeDocument/2006/relationships/ctrlProp" Target="../ctrlProps/ctrlProp592.xml"/><Relationship Id="rId21" Type="http://schemas.openxmlformats.org/officeDocument/2006/relationships/ctrlProp" Target="../ctrlProps/ctrlProp574.xml"/><Relationship Id="rId34" Type="http://schemas.openxmlformats.org/officeDocument/2006/relationships/ctrlProp" Target="../ctrlProps/ctrlProp587.xml"/><Relationship Id="rId42" Type="http://schemas.openxmlformats.org/officeDocument/2006/relationships/ctrlProp" Target="../ctrlProps/ctrlProp595.xml"/><Relationship Id="rId7" Type="http://schemas.openxmlformats.org/officeDocument/2006/relationships/ctrlProp" Target="../ctrlProps/ctrlProp560.xml"/><Relationship Id="rId2" Type="http://schemas.openxmlformats.org/officeDocument/2006/relationships/drawing" Target="../drawings/drawing19.xml"/><Relationship Id="rId16" Type="http://schemas.openxmlformats.org/officeDocument/2006/relationships/ctrlProp" Target="../ctrlProps/ctrlProp569.xml"/><Relationship Id="rId20" Type="http://schemas.openxmlformats.org/officeDocument/2006/relationships/ctrlProp" Target="../ctrlProps/ctrlProp573.xml"/><Relationship Id="rId29" Type="http://schemas.openxmlformats.org/officeDocument/2006/relationships/ctrlProp" Target="../ctrlProps/ctrlProp582.xml"/><Relationship Id="rId41" Type="http://schemas.openxmlformats.org/officeDocument/2006/relationships/ctrlProp" Target="../ctrlProps/ctrlProp594.xml"/><Relationship Id="rId1" Type="http://schemas.openxmlformats.org/officeDocument/2006/relationships/printerSettings" Target="../printerSettings/printerSettings22.bin"/><Relationship Id="rId6" Type="http://schemas.openxmlformats.org/officeDocument/2006/relationships/ctrlProp" Target="../ctrlProps/ctrlProp559.xml"/><Relationship Id="rId11" Type="http://schemas.openxmlformats.org/officeDocument/2006/relationships/ctrlProp" Target="../ctrlProps/ctrlProp564.xml"/><Relationship Id="rId24" Type="http://schemas.openxmlformats.org/officeDocument/2006/relationships/ctrlProp" Target="../ctrlProps/ctrlProp577.xml"/><Relationship Id="rId32" Type="http://schemas.openxmlformats.org/officeDocument/2006/relationships/ctrlProp" Target="../ctrlProps/ctrlProp585.xml"/><Relationship Id="rId37" Type="http://schemas.openxmlformats.org/officeDocument/2006/relationships/ctrlProp" Target="../ctrlProps/ctrlProp590.xml"/><Relationship Id="rId40" Type="http://schemas.openxmlformats.org/officeDocument/2006/relationships/ctrlProp" Target="../ctrlProps/ctrlProp593.xml"/><Relationship Id="rId5" Type="http://schemas.openxmlformats.org/officeDocument/2006/relationships/ctrlProp" Target="../ctrlProps/ctrlProp558.xml"/><Relationship Id="rId15" Type="http://schemas.openxmlformats.org/officeDocument/2006/relationships/ctrlProp" Target="../ctrlProps/ctrlProp568.xml"/><Relationship Id="rId23" Type="http://schemas.openxmlformats.org/officeDocument/2006/relationships/ctrlProp" Target="../ctrlProps/ctrlProp576.xml"/><Relationship Id="rId28" Type="http://schemas.openxmlformats.org/officeDocument/2006/relationships/ctrlProp" Target="../ctrlProps/ctrlProp581.xml"/><Relationship Id="rId36" Type="http://schemas.openxmlformats.org/officeDocument/2006/relationships/ctrlProp" Target="../ctrlProps/ctrlProp589.xml"/><Relationship Id="rId10" Type="http://schemas.openxmlformats.org/officeDocument/2006/relationships/ctrlProp" Target="../ctrlProps/ctrlProp563.xml"/><Relationship Id="rId19" Type="http://schemas.openxmlformats.org/officeDocument/2006/relationships/ctrlProp" Target="../ctrlProps/ctrlProp572.xml"/><Relationship Id="rId31" Type="http://schemas.openxmlformats.org/officeDocument/2006/relationships/ctrlProp" Target="../ctrlProps/ctrlProp584.xml"/><Relationship Id="rId4" Type="http://schemas.openxmlformats.org/officeDocument/2006/relationships/ctrlProp" Target="../ctrlProps/ctrlProp557.xml"/><Relationship Id="rId9" Type="http://schemas.openxmlformats.org/officeDocument/2006/relationships/ctrlProp" Target="../ctrlProps/ctrlProp562.xml"/><Relationship Id="rId14" Type="http://schemas.openxmlformats.org/officeDocument/2006/relationships/ctrlProp" Target="../ctrlProps/ctrlProp567.xml"/><Relationship Id="rId22" Type="http://schemas.openxmlformats.org/officeDocument/2006/relationships/ctrlProp" Target="../ctrlProps/ctrlProp575.xml"/><Relationship Id="rId27" Type="http://schemas.openxmlformats.org/officeDocument/2006/relationships/ctrlProp" Target="../ctrlProps/ctrlProp580.xml"/><Relationship Id="rId30" Type="http://schemas.openxmlformats.org/officeDocument/2006/relationships/ctrlProp" Target="../ctrlProps/ctrlProp583.xml"/><Relationship Id="rId35" Type="http://schemas.openxmlformats.org/officeDocument/2006/relationships/ctrlProp" Target="../ctrlProps/ctrlProp588.xml"/><Relationship Id="rId8" Type="http://schemas.openxmlformats.org/officeDocument/2006/relationships/ctrlProp" Target="../ctrlProps/ctrlProp561.xml"/><Relationship Id="rId3" Type="http://schemas.openxmlformats.org/officeDocument/2006/relationships/vmlDrawing" Target="../drawings/vmlDrawing19.vml"/><Relationship Id="rId12" Type="http://schemas.openxmlformats.org/officeDocument/2006/relationships/ctrlProp" Target="../ctrlProps/ctrlProp565.xml"/><Relationship Id="rId17" Type="http://schemas.openxmlformats.org/officeDocument/2006/relationships/ctrlProp" Target="../ctrlProps/ctrlProp570.xml"/><Relationship Id="rId25" Type="http://schemas.openxmlformats.org/officeDocument/2006/relationships/ctrlProp" Target="../ctrlProps/ctrlProp578.xml"/><Relationship Id="rId33" Type="http://schemas.openxmlformats.org/officeDocument/2006/relationships/ctrlProp" Target="../ctrlProps/ctrlProp586.xml"/><Relationship Id="rId38" Type="http://schemas.openxmlformats.org/officeDocument/2006/relationships/ctrlProp" Target="../ctrlProps/ctrlProp591.x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605.xml"/><Relationship Id="rId18" Type="http://schemas.openxmlformats.org/officeDocument/2006/relationships/ctrlProp" Target="../ctrlProps/ctrlProp610.xml"/><Relationship Id="rId26" Type="http://schemas.openxmlformats.org/officeDocument/2006/relationships/ctrlProp" Target="../ctrlProps/ctrlProp618.xml"/><Relationship Id="rId39" Type="http://schemas.openxmlformats.org/officeDocument/2006/relationships/ctrlProp" Target="../ctrlProps/ctrlProp631.xml"/><Relationship Id="rId21" Type="http://schemas.openxmlformats.org/officeDocument/2006/relationships/ctrlProp" Target="../ctrlProps/ctrlProp613.xml"/><Relationship Id="rId34" Type="http://schemas.openxmlformats.org/officeDocument/2006/relationships/ctrlProp" Target="../ctrlProps/ctrlProp626.xml"/><Relationship Id="rId42" Type="http://schemas.openxmlformats.org/officeDocument/2006/relationships/ctrlProp" Target="../ctrlProps/ctrlProp634.xml"/><Relationship Id="rId7" Type="http://schemas.openxmlformats.org/officeDocument/2006/relationships/ctrlProp" Target="../ctrlProps/ctrlProp599.xml"/><Relationship Id="rId2" Type="http://schemas.openxmlformats.org/officeDocument/2006/relationships/drawing" Target="../drawings/drawing20.xml"/><Relationship Id="rId16" Type="http://schemas.openxmlformats.org/officeDocument/2006/relationships/ctrlProp" Target="../ctrlProps/ctrlProp608.xml"/><Relationship Id="rId20" Type="http://schemas.openxmlformats.org/officeDocument/2006/relationships/ctrlProp" Target="../ctrlProps/ctrlProp612.xml"/><Relationship Id="rId29" Type="http://schemas.openxmlformats.org/officeDocument/2006/relationships/ctrlProp" Target="../ctrlProps/ctrlProp621.xml"/><Relationship Id="rId41" Type="http://schemas.openxmlformats.org/officeDocument/2006/relationships/ctrlProp" Target="../ctrlProps/ctrlProp633.xml"/><Relationship Id="rId1" Type="http://schemas.openxmlformats.org/officeDocument/2006/relationships/printerSettings" Target="../printerSettings/printerSettings23.bin"/><Relationship Id="rId6" Type="http://schemas.openxmlformats.org/officeDocument/2006/relationships/ctrlProp" Target="../ctrlProps/ctrlProp598.xml"/><Relationship Id="rId11" Type="http://schemas.openxmlformats.org/officeDocument/2006/relationships/ctrlProp" Target="../ctrlProps/ctrlProp603.xml"/><Relationship Id="rId24" Type="http://schemas.openxmlformats.org/officeDocument/2006/relationships/ctrlProp" Target="../ctrlProps/ctrlProp616.xml"/><Relationship Id="rId32" Type="http://schemas.openxmlformats.org/officeDocument/2006/relationships/ctrlProp" Target="../ctrlProps/ctrlProp624.xml"/><Relationship Id="rId37" Type="http://schemas.openxmlformats.org/officeDocument/2006/relationships/ctrlProp" Target="../ctrlProps/ctrlProp629.xml"/><Relationship Id="rId40" Type="http://schemas.openxmlformats.org/officeDocument/2006/relationships/ctrlProp" Target="../ctrlProps/ctrlProp632.xml"/><Relationship Id="rId5" Type="http://schemas.openxmlformats.org/officeDocument/2006/relationships/ctrlProp" Target="../ctrlProps/ctrlProp597.xml"/><Relationship Id="rId15" Type="http://schemas.openxmlformats.org/officeDocument/2006/relationships/ctrlProp" Target="../ctrlProps/ctrlProp607.xml"/><Relationship Id="rId23" Type="http://schemas.openxmlformats.org/officeDocument/2006/relationships/ctrlProp" Target="../ctrlProps/ctrlProp615.xml"/><Relationship Id="rId28" Type="http://schemas.openxmlformats.org/officeDocument/2006/relationships/ctrlProp" Target="../ctrlProps/ctrlProp620.xml"/><Relationship Id="rId36" Type="http://schemas.openxmlformats.org/officeDocument/2006/relationships/ctrlProp" Target="../ctrlProps/ctrlProp628.xml"/><Relationship Id="rId10" Type="http://schemas.openxmlformats.org/officeDocument/2006/relationships/ctrlProp" Target="../ctrlProps/ctrlProp602.xml"/><Relationship Id="rId19" Type="http://schemas.openxmlformats.org/officeDocument/2006/relationships/ctrlProp" Target="../ctrlProps/ctrlProp611.xml"/><Relationship Id="rId31" Type="http://schemas.openxmlformats.org/officeDocument/2006/relationships/ctrlProp" Target="../ctrlProps/ctrlProp623.xml"/><Relationship Id="rId4" Type="http://schemas.openxmlformats.org/officeDocument/2006/relationships/ctrlProp" Target="../ctrlProps/ctrlProp596.xml"/><Relationship Id="rId9" Type="http://schemas.openxmlformats.org/officeDocument/2006/relationships/ctrlProp" Target="../ctrlProps/ctrlProp601.xml"/><Relationship Id="rId14" Type="http://schemas.openxmlformats.org/officeDocument/2006/relationships/ctrlProp" Target="../ctrlProps/ctrlProp606.xml"/><Relationship Id="rId22" Type="http://schemas.openxmlformats.org/officeDocument/2006/relationships/ctrlProp" Target="../ctrlProps/ctrlProp614.xml"/><Relationship Id="rId27" Type="http://schemas.openxmlformats.org/officeDocument/2006/relationships/ctrlProp" Target="../ctrlProps/ctrlProp619.xml"/><Relationship Id="rId30" Type="http://schemas.openxmlformats.org/officeDocument/2006/relationships/ctrlProp" Target="../ctrlProps/ctrlProp622.xml"/><Relationship Id="rId35" Type="http://schemas.openxmlformats.org/officeDocument/2006/relationships/ctrlProp" Target="../ctrlProps/ctrlProp627.xml"/><Relationship Id="rId43" Type="http://schemas.openxmlformats.org/officeDocument/2006/relationships/ctrlProp" Target="../ctrlProps/ctrlProp635.xml"/><Relationship Id="rId8" Type="http://schemas.openxmlformats.org/officeDocument/2006/relationships/ctrlProp" Target="../ctrlProps/ctrlProp600.xml"/><Relationship Id="rId3" Type="http://schemas.openxmlformats.org/officeDocument/2006/relationships/vmlDrawing" Target="../drawings/vmlDrawing20.vml"/><Relationship Id="rId12" Type="http://schemas.openxmlformats.org/officeDocument/2006/relationships/ctrlProp" Target="../ctrlProps/ctrlProp604.xml"/><Relationship Id="rId17" Type="http://schemas.openxmlformats.org/officeDocument/2006/relationships/ctrlProp" Target="../ctrlProps/ctrlProp609.xml"/><Relationship Id="rId25" Type="http://schemas.openxmlformats.org/officeDocument/2006/relationships/ctrlProp" Target="../ctrlProps/ctrlProp617.xml"/><Relationship Id="rId33" Type="http://schemas.openxmlformats.org/officeDocument/2006/relationships/ctrlProp" Target="../ctrlProps/ctrlProp625.xml"/><Relationship Id="rId38" Type="http://schemas.openxmlformats.org/officeDocument/2006/relationships/ctrlProp" Target="../ctrlProps/ctrlProp630.x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645.xml"/><Relationship Id="rId18" Type="http://schemas.openxmlformats.org/officeDocument/2006/relationships/ctrlProp" Target="../ctrlProps/ctrlProp650.xml"/><Relationship Id="rId26" Type="http://schemas.openxmlformats.org/officeDocument/2006/relationships/ctrlProp" Target="../ctrlProps/ctrlProp658.xml"/><Relationship Id="rId39" Type="http://schemas.openxmlformats.org/officeDocument/2006/relationships/ctrlProp" Target="../ctrlProps/ctrlProp671.xml"/><Relationship Id="rId21" Type="http://schemas.openxmlformats.org/officeDocument/2006/relationships/ctrlProp" Target="../ctrlProps/ctrlProp653.xml"/><Relationship Id="rId34" Type="http://schemas.openxmlformats.org/officeDocument/2006/relationships/ctrlProp" Target="../ctrlProps/ctrlProp666.xml"/><Relationship Id="rId42" Type="http://schemas.openxmlformats.org/officeDocument/2006/relationships/ctrlProp" Target="../ctrlProps/ctrlProp674.xml"/><Relationship Id="rId7" Type="http://schemas.openxmlformats.org/officeDocument/2006/relationships/ctrlProp" Target="../ctrlProps/ctrlProp639.xml"/><Relationship Id="rId2" Type="http://schemas.openxmlformats.org/officeDocument/2006/relationships/drawing" Target="../drawings/drawing21.xml"/><Relationship Id="rId16" Type="http://schemas.openxmlformats.org/officeDocument/2006/relationships/ctrlProp" Target="../ctrlProps/ctrlProp648.xml"/><Relationship Id="rId20" Type="http://schemas.openxmlformats.org/officeDocument/2006/relationships/ctrlProp" Target="../ctrlProps/ctrlProp652.xml"/><Relationship Id="rId29" Type="http://schemas.openxmlformats.org/officeDocument/2006/relationships/ctrlProp" Target="../ctrlProps/ctrlProp661.xml"/><Relationship Id="rId41" Type="http://schemas.openxmlformats.org/officeDocument/2006/relationships/ctrlProp" Target="../ctrlProps/ctrlProp673.xml"/><Relationship Id="rId1" Type="http://schemas.openxmlformats.org/officeDocument/2006/relationships/printerSettings" Target="../printerSettings/printerSettings24.bin"/><Relationship Id="rId6" Type="http://schemas.openxmlformats.org/officeDocument/2006/relationships/ctrlProp" Target="../ctrlProps/ctrlProp638.xml"/><Relationship Id="rId11" Type="http://schemas.openxmlformats.org/officeDocument/2006/relationships/ctrlProp" Target="../ctrlProps/ctrlProp643.xml"/><Relationship Id="rId24" Type="http://schemas.openxmlformats.org/officeDocument/2006/relationships/ctrlProp" Target="../ctrlProps/ctrlProp656.xml"/><Relationship Id="rId32" Type="http://schemas.openxmlformats.org/officeDocument/2006/relationships/ctrlProp" Target="../ctrlProps/ctrlProp664.xml"/><Relationship Id="rId37" Type="http://schemas.openxmlformats.org/officeDocument/2006/relationships/ctrlProp" Target="../ctrlProps/ctrlProp669.xml"/><Relationship Id="rId40" Type="http://schemas.openxmlformats.org/officeDocument/2006/relationships/ctrlProp" Target="../ctrlProps/ctrlProp672.xml"/><Relationship Id="rId5" Type="http://schemas.openxmlformats.org/officeDocument/2006/relationships/ctrlProp" Target="../ctrlProps/ctrlProp637.xml"/><Relationship Id="rId15" Type="http://schemas.openxmlformats.org/officeDocument/2006/relationships/ctrlProp" Target="../ctrlProps/ctrlProp647.xml"/><Relationship Id="rId23" Type="http://schemas.openxmlformats.org/officeDocument/2006/relationships/ctrlProp" Target="../ctrlProps/ctrlProp655.xml"/><Relationship Id="rId28" Type="http://schemas.openxmlformats.org/officeDocument/2006/relationships/ctrlProp" Target="../ctrlProps/ctrlProp660.xml"/><Relationship Id="rId36" Type="http://schemas.openxmlformats.org/officeDocument/2006/relationships/ctrlProp" Target="../ctrlProps/ctrlProp668.xml"/><Relationship Id="rId10" Type="http://schemas.openxmlformats.org/officeDocument/2006/relationships/ctrlProp" Target="../ctrlProps/ctrlProp642.xml"/><Relationship Id="rId19" Type="http://schemas.openxmlformats.org/officeDocument/2006/relationships/ctrlProp" Target="../ctrlProps/ctrlProp651.xml"/><Relationship Id="rId31" Type="http://schemas.openxmlformats.org/officeDocument/2006/relationships/ctrlProp" Target="../ctrlProps/ctrlProp663.xml"/><Relationship Id="rId44" Type="http://schemas.openxmlformats.org/officeDocument/2006/relationships/ctrlProp" Target="../ctrlProps/ctrlProp676.xml"/><Relationship Id="rId4" Type="http://schemas.openxmlformats.org/officeDocument/2006/relationships/ctrlProp" Target="../ctrlProps/ctrlProp636.xml"/><Relationship Id="rId9" Type="http://schemas.openxmlformats.org/officeDocument/2006/relationships/ctrlProp" Target="../ctrlProps/ctrlProp641.xml"/><Relationship Id="rId14" Type="http://schemas.openxmlformats.org/officeDocument/2006/relationships/ctrlProp" Target="../ctrlProps/ctrlProp646.xml"/><Relationship Id="rId22" Type="http://schemas.openxmlformats.org/officeDocument/2006/relationships/ctrlProp" Target="../ctrlProps/ctrlProp654.xml"/><Relationship Id="rId27" Type="http://schemas.openxmlformats.org/officeDocument/2006/relationships/ctrlProp" Target="../ctrlProps/ctrlProp659.xml"/><Relationship Id="rId30" Type="http://schemas.openxmlformats.org/officeDocument/2006/relationships/ctrlProp" Target="../ctrlProps/ctrlProp662.xml"/><Relationship Id="rId35" Type="http://schemas.openxmlformats.org/officeDocument/2006/relationships/ctrlProp" Target="../ctrlProps/ctrlProp667.xml"/><Relationship Id="rId43" Type="http://schemas.openxmlformats.org/officeDocument/2006/relationships/ctrlProp" Target="../ctrlProps/ctrlProp675.xml"/><Relationship Id="rId8" Type="http://schemas.openxmlformats.org/officeDocument/2006/relationships/ctrlProp" Target="../ctrlProps/ctrlProp640.xml"/><Relationship Id="rId3" Type="http://schemas.openxmlformats.org/officeDocument/2006/relationships/vmlDrawing" Target="../drawings/vmlDrawing21.vml"/><Relationship Id="rId12" Type="http://schemas.openxmlformats.org/officeDocument/2006/relationships/ctrlProp" Target="../ctrlProps/ctrlProp644.xml"/><Relationship Id="rId17" Type="http://schemas.openxmlformats.org/officeDocument/2006/relationships/ctrlProp" Target="../ctrlProps/ctrlProp649.xml"/><Relationship Id="rId25" Type="http://schemas.openxmlformats.org/officeDocument/2006/relationships/ctrlProp" Target="../ctrlProps/ctrlProp657.xml"/><Relationship Id="rId33" Type="http://schemas.openxmlformats.org/officeDocument/2006/relationships/ctrlProp" Target="../ctrlProps/ctrlProp665.xml"/><Relationship Id="rId38" Type="http://schemas.openxmlformats.org/officeDocument/2006/relationships/ctrlProp" Target="../ctrlProps/ctrlProp670.xml"/></Relationships>
</file>

<file path=xl/worksheets/_rels/sheet25.xml.rels><?xml version="1.0" encoding="UTF-8" standalone="yes"?>
<Relationships xmlns="http://schemas.openxmlformats.org/package/2006/relationships"><Relationship Id="rId13" Type="http://schemas.openxmlformats.org/officeDocument/2006/relationships/ctrlProp" Target="../ctrlProps/ctrlProp686.xml"/><Relationship Id="rId18" Type="http://schemas.openxmlformats.org/officeDocument/2006/relationships/ctrlProp" Target="../ctrlProps/ctrlProp691.xml"/><Relationship Id="rId26" Type="http://schemas.openxmlformats.org/officeDocument/2006/relationships/ctrlProp" Target="../ctrlProps/ctrlProp699.xml"/><Relationship Id="rId39" Type="http://schemas.openxmlformats.org/officeDocument/2006/relationships/ctrlProp" Target="../ctrlProps/ctrlProp712.xml"/><Relationship Id="rId21" Type="http://schemas.openxmlformats.org/officeDocument/2006/relationships/ctrlProp" Target="../ctrlProps/ctrlProp694.xml"/><Relationship Id="rId34" Type="http://schemas.openxmlformats.org/officeDocument/2006/relationships/ctrlProp" Target="../ctrlProps/ctrlProp707.xml"/><Relationship Id="rId42" Type="http://schemas.openxmlformats.org/officeDocument/2006/relationships/ctrlProp" Target="../ctrlProps/ctrlProp715.xml"/><Relationship Id="rId7" Type="http://schemas.openxmlformats.org/officeDocument/2006/relationships/ctrlProp" Target="../ctrlProps/ctrlProp680.xml"/><Relationship Id="rId2" Type="http://schemas.openxmlformats.org/officeDocument/2006/relationships/drawing" Target="../drawings/drawing22.xml"/><Relationship Id="rId16" Type="http://schemas.openxmlformats.org/officeDocument/2006/relationships/ctrlProp" Target="../ctrlProps/ctrlProp689.xml"/><Relationship Id="rId20" Type="http://schemas.openxmlformats.org/officeDocument/2006/relationships/ctrlProp" Target="../ctrlProps/ctrlProp693.xml"/><Relationship Id="rId29" Type="http://schemas.openxmlformats.org/officeDocument/2006/relationships/ctrlProp" Target="../ctrlProps/ctrlProp702.xml"/><Relationship Id="rId41" Type="http://schemas.openxmlformats.org/officeDocument/2006/relationships/ctrlProp" Target="../ctrlProps/ctrlProp714.xml"/><Relationship Id="rId1" Type="http://schemas.openxmlformats.org/officeDocument/2006/relationships/printerSettings" Target="../printerSettings/printerSettings25.bin"/><Relationship Id="rId6" Type="http://schemas.openxmlformats.org/officeDocument/2006/relationships/ctrlProp" Target="../ctrlProps/ctrlProp679.xml"/><Relationship Id="rId11" Type="http://schemas.openxmlformats.org/officeDocument/2006/relationships/ctrlProp" Target="../ctrlProps/ctrlProp684.xml"/><Relationship Id="rId24" Type="http://schemas.openxmlformats.org/officeDocument/2006/relationships/ctrlProp" Target="../ctrlProps/ctrlProp697.xml"/><Relationship Id="rId32" Type="http://schemas.openxmlformats.org/officeDocument/2006/relationships/ctrlProp" Target="../ctrlProps/ctrlProp705.xml"/><Relationship Id="rId37" Type="http://schemas.openxmlformats.org/officeDocument/2006/relationships/ctrlProp" Target="../ctrlProps/ctrlProp710.xml"/><Relationship Id="rId40" Type="http://schemas.openxmlformats.org/officeDocument/2006/relationships/ctrlProp" Target="../ctrlProps/ctrlProp713.xml"/><Relationship Id="rId5" Type="http://schemas.openxmlformats.org/officeDocument/2006/relationships/ctrlProp" Target="../ctrlProps/ctrlProp678.xml"/><Relationship Id="rId15" Type="http://schemas.openxmlformats.org/officeDocument/2006/relationships/ctrlProp" Target="../ctrlProps/ctrlProp688.xml"/><Relationship Id="rId23" Type="http://schemas.openxmlformats.org/officeDocument/2006/relationships/ctrlProp" Target="../ctrlProps/ctrlProp696.xml"/><Relationship Id="rId28" Type="http://schemas.openxmlformats.org/officeDocument/2006/relationships/ctrlProp" Target="../ctrlProps/ctrlProp701.xml"/><Relationship Id="rId36" Type="http://schemas.openxmlformats.org/officeDocument/2006/relationships/ctrlProp" Target="../ctrlProps/ctrlProp709.xml"/><Relationship Id="rId10" Type="http://schemas.openxmlformats.org/officeDocument/2006/relationships/ctrlProp" Target="../ctrlProps/ctrlProp683.xml"/><Relationship Id="rId19" Type="http://schemas.openxmlformats.org/officeDocument/2006/relationships/ctrlProp" Target="../ctrlProps/ctrlProp692.xml"/><Relationship Id="rId31" Type="http://schemas.openxmlformats.org/officeDocument/2006/relationships/ctrlProp" Target="../ctrlProps/ctrlProp704.xml"/><Relationship Id="rId44" Type="http://schemas.openxmlformats.org/officeDocument/2006/relationships/ctrlProp" Target="../ctrlProps/ctrlProp717.xml"/><Relationship Id="rId4" Type="http://schemas.openxmlformats.org/officeDocument/2006/relationships/ctrlProp" Target="../ctrlProps/ctrlProp677.xml"/><Relationship Id="rId9" Type="http://schemas.openxmlformats.org/officeDocument/2006/relationships/ctrlProp" Target="../ctrlProps/ctrlProp682.xml"/><Relationship Id="rId14" Type="http://schemas.openxmlformats.org/officeDocument/2006/relationships/ctrlProp" Target="../ctrlProps/ctrlProp687.xml"/><Relationship Id="rId22" Type="http://schemas.openxmlformats.org/officeDocument/2006/relationships/ctrlProp" Target="../ctrlProps/ctrlProp695.xml"/><Relationship Id="rId27" Type="http://schemas.openxmlformats.org/officeDocument/2006/relationships/ctrlProp" Target="../ctrlProps/ctrlProp700.xml"/><Relationship Id="rId30" Type="http://schemas.openxmlformats.org/officeDocument/2006/relationships/ctrlProp" Target="../ctrlProps/ctrlProp703.xml"/><Relationship Id="rId35" Type="http://schemas.openxmlformats.org/officeDocument/2006/relationships/ctrlProp" Target="../ctrlProps/ctrlProp708.xml"/><Relationship Id="rId43" Type="http://schemas.openxmlformats.org/officeDocument/2006/relationships/ctrlProp" Target="../ctrlProps/ctrlProp716.xml"/><Relationship Id="rId8" Type="http://schemas.openxmlformats.org/officeDocument/2006/relationships/ctrlProp" Target="../ctrlProps/ctrlProp681.xml"/><Relationship Id="rId3" Type="http://schemas.openxmlformats.org/officeDocument/2006/relationships/vmlDrawing" Target="../drawings/vmlDrawing22.vml"/><Relationship Id="rId12" Type="http://schemas.openxmlformats.org/officeDocument/2006/relationships/ctrlProp" Target="../ctrlProps/ctrlProp685.xml"/><Relationship Id="rId17" Type="http://schemas.openxmlformats.org/officeDocument/2006/relationships/ctrlProp" Target="../ctrlProps/ctrlProp690.xml"/><Relationship Id="rId25" Type="http://schemas.openxmlformats.org/officeDocument/2006/relationships/ctrlProp" Target="../ctrlProps/ctrlProp698.xml"/><Relationship Id="rId33" Type="http://schemas.openxmlformats.org/officeDocument/2006/relationships/ctrlProp" Target="../ctrlProps/ctrlProp706.xml"/><Relationship Id="rId38" Type="http://schemas.openxmlformats.org/officeDocument/2006/relationships/ctrlProp" Target="../ctrlProps/ctrlProp711.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B3:F93"/>
  <sheetViews>
    <sheetView topLeftCell="A76" workbookViewId="0">
      <selection activeCell="C94" sqref="C94"/>
    </sheetView>
  </sheetViews>
  <sheetFormatPr defaultColWidth="8.85546875" defaultRowHeight="15" x14ac:dyDescent="0.25"/>
  <cols>
    <col min="2" max="2" width="20.85546875" bestFit="1" customWidth="1"/>
    <col min="3" max="3" width="11.42578125"/>
    <col min="4" max="4" width="13.140625" bestFit="1" customWidth="1"/>
    <col min="5" max="5" width="11.42578125"/>
    <col min="6" max="6" width="8.85546875" style="92"/>
  </cols>
  <sheetData>
    <row r="3" spans="2:6" x14ac:dyDescent="0.25">
      <c r="B3" s="105"/>
      <c r="C3" s="102" t="s">
        <v>16</v>
      </c>
      <c r="D3" s="104" t="s">
        <v>15</v>
      </c>
      <c r="E3" s="103" t="s">
        <v>14</v>
      </c>
      <c r="F3" s="101" t="s">
        <v>187</v>
      </c>
    </row>
    <row r="4" spans="2:6" x14ac:dyDescent="0.25">
      <c r="B4" s="111" t="s">
        <v>198</v>
      </c>
      <c r="C4" s="106">
        <f>1.4/100</f>
        <v>1.3999999999999999E-2</v>
      </c>
      <c r="D4" s="107">
        <f>11/100</f>
        <v>0.11</v>
      </c>
      <c r="E4" s="108">
        <f>0.4/100</f>
        <v>4.0000000000000001E-3</v>
      </c>
      <c r="F4" s="109">
        <f>2/100</f>
        <v>0.02</v>
      </c>
    </row>
    <row r="5" spans="2:6" x14ac:dyDescent="0.25">
      <c r="B5" s="96" t="s">
        <v>80</v>
      </c>
      <c r="C5" s="106">
        <f>24/100</f>
        <v>0.24</v>
      </c>
      <c r="D5" s="107">
        <f>1/100</f>
        <v>0.01</v>
      </c>
      <c r="E5" s="108">
        <f>1/100</f>
        <v>0.01</v>
      </c>
      <c r="F5" s="109"/>
    </row>
    <row r="6" spans="2:6" x14ac:dyDescent="0.25">
      <c r="B6" s="111" t="s">
        <v>210</v>
      </c>
      <c r="C6" s="106">
        <f>21/100</f>
        <v>0.21</v>
      </c>
      <c r="D6" s="107">
        <f>21/100</f>
        <v>0.21</v>
      </c>
      <c r="E6" s="108">
        <f>52/100</f>
        <v>0.52</v>
      </c>
      <c r="F6" s="18"/>
    </row>
    <row r="7" spans="2:6" x14ac:dyDescent="0.25">
      <c r="B7" s="110" t="s">
        <v>32</v>
      </c>
      <c r="C7" s="106">
        <f>22/100</f>
        <v>0.22</v>
      </c>
      <c r="D7" s="107">
        <f>6.9/100</f>
        <v>6.9000000000000006E-2</v>
      </c>
      <c r="E7" s="108">
        <f>54/100</f>
        <v>0.54</v>
      </c>
      <c r="F7" s="109">
        <f xml:space="preserve"> 0.125</f>
        <v>0.125</v>
      </c>
    </row>
    <row r="8" spans="2:6" x14ac:dyDescent="0.25">
      <c r="B8" s="111" t="s">
        <v>109</v>
      </c>
      <c r="C8" s="106">
        <f>0.5/100</f>
        <v>5.0000000000000001E-3</v>
      </c>
      <c r="D8" s="107">
        <f>13/100</f>
        <v>0.13</v>
      </c>
      <c r="E8" s="108">
        <f>0.1/100</f>
        <v>1E-3</v>
      </c>
      <c r="F8" s="109"/>
    </row>
    <row r="9" spans="2:6" x14ac:dyDescent="0.25">
      <c r="B9" s="111" t="s">
        <v>195</v>
      </c>
      <c r="C9" s="106">
        <f>3.3/100</f>
        <v>3.3000000000000002E-2</v>
      </c>
      <c r="D9" s="107">
        <f>11/100</f>
        <v>0.11</v>
      </c>
      <c r="E9" s="108">
        <f>0.2/100</f>
        <v>2E-3</v>
      </c>
      <c r="F9" s="109">
        <f>5/100</f>
        <v>0.05</v>
      </c>
    </row>
    <row r="10" spans="2:6" x14ac:dyDescent="0.25">
      <c r="B10" s="111" t="s">
        <v>151</v>
      </c>
      <c r="C10" s="106">
        <f>2.2/100</f>
        <v>2.2000000000000002E-2</v>
      </c>
      <c r="D10" s="107">
        <f>3.9/100</f>
        <v>3.9E-2</v>
      </c>
      <c r="E10" s="108">
        <f>0.1/100</f>
        <v>1E-3</v>
      </c>
      <c r="F10" s="109">
        <f>2.1/100</f>
        <v>2.1000000000000001E-2</v>
      </c>
    </row>
    <row r="11" spans="2:6" x14ac:dyDescent="0.25">
      <c r="B11" s="111" t="s">
        <v>111</v>
      </c>
      <c r="C11" s="106">
        <f>1/100</f>
        <v>0.01</v>
      </c>
      <c r="D11" s="107">
        <f>6/100</f>
        <v>0.06</v>
      </c>
      <c r="E11" s="108">
        <f>0.2/100</f>
        <v>2E-3</v>
      </c>
      <c r="F11" s="109"/>
    </row>
    <row r="12" spans="2:6" x14ac:dyDescent="0.25">
      <c r="B12" s="110" t="s">
        <v>85</v>
      </c>
      <c r="C12" s="106">
        <f>2/100</f>
        <v>0.02</v>
      </c>
      <c r="D12" s="107">
        <f>9/100</f>
        <v>0.09</v>
      </c>
      <c r="E12" s="108">
        <f>15/100</f>
        <v>0.15</v>
      </c>
      <c r="F12" s="109">
        <v>6.7000000000000004E-2</v>
      </c>
    </row>
    <row r="13" spans="2:6" x14ac:dyDescent="0.25">
      <c r="B13" s="112" t="s">
        <v>9</v>
      </c>
      <c r="C13" s="106">
        <f>1.5/100</f>
        <v>1.4999999999999999E-2</v>
      </c>
      <c r="D13" s="107">
        <f>20/100</f>
        <v>0.2</v>
      </c>
      <c r="E13" s="108">
        <v>0</v>
      </c>
      <c r="F13" s="109">
        <v>2E-3</v>
      </c>
    </row>
    <row r="14" spans="2:6" x14ac:dyDescent="0.25">
      <c r="B14" s="112" t="s">
        <v>21</v>
      </c>
      <c r="C14" s="106">
        <f>2.3/100</f>
        <v>2.3E-2</v>
      </c>
      <c r="D14" s="107">
        <f>7.2/100</f>
        <v>7.2000000000000008E-2</v>
      </c>
      <c r="E14" s="108">
        <f>0.5/100</f>
        <v>5.0000000000000001E-3</v>
      </c>
      <c r="F14" s="109">
        <v>2.8000000000000001E-2</v>
      </c>
    </row>
    <row r="15" spans="2:6" x14ac:dyDescent="0.25">
      <c r="B15" s="111" t="s">
        <v>136</v>
      </c>
      <c r="C15" s="106">
        <f>26/100</f>
        <v>0.26</v>
      </c>
      <c r="D15" s="107">
        <f>7.6/100</f>
        <v>7.5999999999999998E-2</v>
      </c>
      <c r="E15" s="108">
        <f>49/100</f>
        <v>0.49</v>
      </c>
      <c r="F15" s="109"/>
    </row>
    <row r="16" spans="2:6" x14ac:dyDescent="0.25">
      <c r="B16" s="111" t="s">
        <v>228</v>
      </c>
      <c r="C16" s="106">
        <f>1.4/100</f>
        <v>1.3999999999999999E-2</v>
      </c>
      <c r="D16" s="107">
        <f>10/100</f>
        <v>0.1</v>
      </c>
      <c r="E16" s="108">
        <f>0.5/100</f>
        <v>5.0000000000000001E-3</v>
      </c>
      <c r="F16" s="109">
        <f>5/100</f>
        <v>0.05</v>
      </c>
    </row>
    <row r="17" spans="2:6" x14ac:dyDescent="0.25">
      <c r="B17" s="96" t="s">
        <v>33</v>
      </c>
      <c r="C17" s="106">
        <f>11/100</f>
        <v>0.11</v>
      </c>
      <c r="D17" s="107">
        <f>0.7/100</f>
        <v>6.9999999999999993E-3</v>
      </c>
      <c r="E17" s="108">
        <f>0.2/100</f>
        <v>2E-3</v>
      </c>
      <c r="F17" s="109"/>
    </row>
    <row r="18" spans="2:6" x14ac:dyDescent="0.25">
      <c r="B18" s="111" t="s">
        <v>197</v>
      </c>
      <c r="C18" s="106">
        <f>0.7/100</f>
        <v>6.9999999999999993E-3</v>
      </c>
      <c r="D18" s="107">
        <f>14/100</f>
        <v>0.14000000000000001</v>
      </c>
      <c r="E18" s="108">
        <f>0.3/100</f>
        <v>3.0000000000000001E-3</v>
      </c>
      <c r="F18" s="109"/>
    </row>
    <row r="19" spans="2:6" x14ac:dyDescent="0.25">
      <c r="B19" s="111" t="s">
        <v>236</v>
      </c>
      <c r="C19" s="106">
        <f>2.8/100</f>
        <v>2.7999999999999997E-2</v>
      </c>
      <c r="D19" s="107">
        <f>7/100</f>
        <v>7.0000000000000007E-2</v>
      </c>
      <c r="E19" s="108">
        <f>0.4/100</f>
        <v>4.0000000000000001E-3</v>
      </c>
      <c r="F19" s="109">
        <v>0.02</v>
      </c>
    </row>
    <row r="20" spans="2:6" x14ac:dyDescent="0.25">
      <c r="B20" s="111" t="s">
        <v>194</v>
      </c>
      <c r="C20" s="106">
        <f>1/100</f>
        <v>0.01</v>
      </c>
      <c r="D20" s="107">
        <f>1.3/100</f>
        <v>1.3000000000000001E-2</v>
      </c>
      <c r="E20" s="108">
        <f>3.1/100</f>
        <v>3.1E-2</v>
      </c>
      <c r="F20" s="109">
        <f>4.2/100</f>
        <v>4.2000000000000003E-2</v>
      </c>
    </row>
    <row r="21" spans="2:6" x14ac:dyDescent="0.25">
      <c r="B21" s="113" t="s">
        <v>81</v>
      </c>
      <c r="C21" s="106">
        <f>1.4/100</f>
        <v>1.3999999999999999E-2</v>
      </c>
      <c r="D21" s="107">
        <f>7/100</f>
        <v>7.0000000000000007E-2</v>
      </c>
      <c r="E21" s="108">
        <f>0.2/100</f>
        <v>2E-3</v>
      </c>
      <c r="F21" s="109"/>
    </row>
    <row r="22" spans="2:6" x14ac:dyDescent="0.25">
      <c r="B22" s="111" t="s">
        <v>134</v>
      </c>
      <c r="C22" s="106">
        <f>1/100</f>
        <v>0.01</v>
      </c>
      <c r="D22" s="107">
        <f>2/100</f>
        <v>0.02</v>
      </c>
      <c r="E22" s="108">
        <f>0</f>
        <v>0</v>
      </c>
      <c r="F22" s="109"/>
    </row>
    <row r="23" spans="2:6" x14ac:dyDescent="0.25">
      <c r="B23" s="113" t="s">
        <v>93</v>
      </c>
      <c r="C23" s="106">
        <f>1.2/100</f>
        <v>1.2E-2</v>
      </c>
      <c r="D23" s="107">
        <f>3.1/100</f>
        <v>3.1E-2</v>
      </c>
      <c r="E23" s="108">
        <f>0.3/100</f>
        <v>3.0000000000000001E-3</v>
      </c>
      <c r="F23" s="109"/>
    </row>
    <row r="24" spans="2:6" x14ac:dyDescent="0.25">
      <c r="B24" s="112" t="s">
        <v>186</v>
      </c>
      <c r="C24" s="106">
        <f>1.9/100</f>
        <v>1.9E-2</v>
      </c>
      <c r="D24" s="107">
        <f>65/100</f>
        <v>0.65</v>
      </c>
      <c r="E24" s="108">
        <f>0.5/100</f>
        <v>5.0000000000000001E-3</v>
      </c>
      <c r="F24" s="109">
        <f>8.7/100</f>
        <v>8.6999999999999994E-2</v>
      </c>
    </row>
    <row r="25" spans="2:6" x14ac:dyDescent="0.25">
      <c r="B25" s="96" t="s">
        <v>82</v>
      </c>
      <c r="C25" s="106">
        <f>24/100</f>
        <v>0.24</v>
      </c>
      <c r="D25" s="107">
        <v>0</v>
      </c>
      <c r="E25" s="108">
        <f>2/100</f>
        <v>0.02</v>
      </c>
      <c r="F25" s="109"/>
    </row>
    <row r="26" spans="2:6" x14ac:dyDescent="0.25">
      <c r="B26" s="96" t="s">
        <v>105</v>
      </c>
      <c r="C26" s="106">
        <f>24/100</f>
        <v>0.24</v>
      </c>
      <c r="D26" s="107">
        <f>0.1/100</f>
        <v>1E-3</v>
      </c>
      <c r="E26" s="108">
        <f>3/100</f>
        <v>0.03</v>
      </c>
      <c r="F26" s="109"/>
    </row>
    <row r="27" spans="2:6" x14ac:dyDescent="0.25">
      <c r="B27" s="111" t="s">
        <v>154</v>
      </c>
      <c r="C27" s="106">
        <f>2/100</f>
        <v>0.02</v>
      </c>
      <c r="D27" s="107">
        <f>3/100</f>
        <v>0.03</v>
      </c>
      <c r="E27" s="108">
        <f>0</f>
        <v>0</v>
      </c>
      <c r="F27" s="109">
        <f>3.1/100</f>
        <v>3.1E-2</v>
      </c>
    </row>
    <row r="28" spans="2:6" x14ac:dyDescent="0.25">
      <c r="B28" s="112" t="s">
        <v>3</v>
      </c>
      <c r="C28" s="106">
        <f>12/100</f>
        <v>0.12</v>
      </c>
      <c r="D28" s="107">
        <f>60/100</f>
        <v>0.6</v>
      </c>
      <c r="E28" s="108">
        <f>7.1/100</f>
        <v>7.0999999999999994E-2</v>
      </c>
      <c r="F28" s="109">
        <v>0.1</v>
      </c>
    </row>
    <row r="29" spans="2:6" x14ac:dyDescent="0.25">
      <c r="B29" s="112" t="s">
        <v>137</v>
      </c>
      <c r="C29" s="106">
        <f>0.7/100</f>
        <v>6.9999999999999993E-3</v>
      </c>
      <c r="D29" s="107">
        <f>8/100</f>
        <v>0.08</v>
      </c>
      <c r="E29" s="108">
        <f>0.3/100</f>
        <v>3.0000000000000001E-3</v>
      </c>
      <c r="F29" s="109">
        <v>0.02</v>
      </c>
    </row>
    <row r="30" spans="2:6" x14ac:dyDescent="0.25">
      <c r="B30" s="112" t="s">
        <v>153</v>
      </c>
      <c r="C30" s="106">
        <f>1.2/100</f>
        <v>1.2E-2</v>
      </c>
      <c r="D30" s="107">
        <f>12/100</f>
        <v>0.12</v>
      </c>
      <c r="E30" s="108">
        <f>0.7/100</f>
        <v>6.9999999999999993E-3</v>
      </c>
      <c r="F30" s="109">
        <f>0.06</f>
        <v>0.06</v>
      </c>
    </row>
    <row r="31" spans="2:6" x14ac:dyDescent="0.25">
      <c r="B31" s="111" t="s">
        <v>126</v>
      </c>
      <c r="C31" s="106">
        <f>7.4/100</f>
        <v>7.400000000000001E-2</v>
      </c>
      <c r="D31" s="107">
        <f>4.5/100</f>
        <v>4.4999999999999998E-2</v>
      </c>
      <c r="E31" s="108">
        <f>0/100</f>
        <v>0</v>
      </c>
      <c r="F31" s="109"/>
    </row>
    <row r="32" spans="2:6" x14ac:dyDescent="0.25">
      <c r="B32" s="112" t="s">
        <v>108</v>
      </c>
      <c r="C32" s="106">
        <f>2.2/100</f>
        <v>2.2000000000000002E-2</v>
      </c>
      <c r="D32" s="107">
        <f>23/100</f>
        <v>0.23</v>
      </c>
      <c r="E32" s="108">
        <f>0.2/100</f>
        <v>2E-3</v>
      </c>
      <c r="F32" s="109"/>
    </row>
    <row r="33" spans="2:6" x14ac:dyDescent="0.25">
      <c r="B33" s="113" t="s">
        <v>26</v>
      </c>
      <c r="C33" s="106">
        <v>0</v>
      </c>
      <c r="D33" s="107">
        <v>0</v>
      </c>
      <c r="E33" s="108">
        <v>0</v>
      </c>
      <c r="F33" s="109"/>
    </row>
    <row r="34" spans="2:6" x14ac:dyDescent="0.25">
      <c r="B34" s="111" t="s">
        <v>201</v>
      </c>
      <c r="C34" s="106">
        <f>1.8/100</f>
        <v>1.8000000000000002E-2</v>
      </c>
      <c r="D34" s="107">
        <f>7/100</f>
        <v>7.0000000000000007E-2</v>
      </c>
      <c r="E34" s="108">
        <f>0.1/100</f>
        <v>1E-3</v>
      </c>
      <c r="F34" s="18">
        <f>3.4/100</f>
        <v>3.4000000000000002E-2</v>
      </c>
    </row>
    <row r="35" spans="2:6" x14ac:dyDescent="0.25">
      <c r="B35" s="113" t="s">
        <v>64</v>
      </c>
      <c r="C35" s="106">
        <f>4.1/100</f>
        <v>4.0999999999999995E-2</v>
      </c>
      <c r="D35" s="107">
        <f>6.6/100</f>
        <v>6.6000000000000003E-2</v>
      </c>
      <c r="E35" s="108">
        <f>5/100</f>
        <v>0.05</v>
      </c>
      <c r="F35" s="109"/>
    </row>
    <row r="36" spans="2:6" x14ac:dyDescent="0.25">
      <c r="B36" s="111" t="s">
        <v>211</v>
      </c>
      <c r="C36" s="106">
        <f>15/100</f>
        <v>0.15</v>
      </c>
      <c r="D36" s="107">
        <f>17/100</f>
        <v>0.17</v>
      </c>
      <c r="E36" s="108">
        <f>61/100</f>
        <v>0.61</v>
      </c>
      <c r="F36" s="18">
        <f>10/100</f>
        <v>0.1</v>
      </c>
    </row>
    <row r="37" spans="2:6" x14ac:dyDescent="0.25">
      <c r="B37" s="113" t="s">
        <v>79</v>
      </c>
      <c r="C37" s="106">
        <v>0</v>
      </c>
      <c r="D37" s="107">
        <v>0</v>
      </c>
      <c r="E37" s="108">
        <v>1</v>
      </c>
      <c r="F37" s="109"/>
    </row>
    <row r="38" spans="2:6" x14ac:dyDescent="0.25">
      <c r="B38" s="111" t="s">
        <v>200</v>
      </c>
      <c r="C38" s="106">
        <f>0</f>
        <v>0</v>
      </c>
      <c r="D38" s="107">
        <f>0</f>
        <v>0</v>
      </c>
      <c r="E38" s="108">
        <f>91/100</f>
        <v>0.91</v>
      </c>
      <c r="F38" s="18"/>
    </row>
    <row r="39" spans="2:6" x14ac:dyDescent="0.25">
      <c r="B39" s="54" t="s">
        <v>67</v>
      </c>
      <c r="C39" s="106">
        <f>16/100</f>
        <v>0.16</v>
      </c>
      <c r="D39" s="107">
        <f>3.6/100</f>
        <v>3.6000000000000004E-2</v>
      </c>
      <c r="E39" s="108">
        <f>27/100</f>
        <v>0.27</v>
      </c>
      <c r="F39" s="109"/>
    </row>
    <row r="40" spans="2:6" x14ac:dyDescent="0.25">
      <c r="B40" s="112" t="s">
        <v>10</v>
      </c>
      <c r="C40" s="106">
        <v>0.8</v>
      </c>
      <c r="D40" s="107">
        <v>10</v>
      </c>
      <c r="E40" s="108">
        <v>0.4</v>
      </c>
      <c r="F40" s="109"/>
    </row>
    <row r="41" spans="2:6" x14ac:dyDescent="0.25">
      <c r="B41" s="110" t="s">
        <v>18</v>
      </c>
      <c r="C41" s="106">
        <f>3.2/100</f>
        <v>3.2000000000000001E-2</v>
      </c>
      <c r="D41" s="107">
        <f>4.8/100</f>
        <v>4.8000000000000001E-2</v>
      </c>
      <c r="E41" s="108">
        <f>1.6/100</f>
        <v>1.6E-2</v>
      </c>
      <c r="F41" s="109"/>
    </row>
    <row r="42" spans="2:6" x14ac:dyDescent="0.25">
      <c r="B42" s="111" t="s">
        <v>214</v>
      </c>
      <c r="C42" s="118">
        <f>1.6/100</f>
        <v>1.6E-2</v>
      </c>
      <c r="D42" s="118">
        <f>4.3/100</f>
        <v>4.2999999999999997E-2</v>
      </c>
      <c r="E42" s="118">
        <f>4.1/100</f>
        <v>4.0999999999999995E-2</v>
      </c>
      <c r="F42" s="18">
        <f>0.5/100</f>
        <v>5.0000000000000001E-3</v>
      </c>
    </row>
    <row r="43" spans="2:6" x14ac:dyDescent="0.25">
      <c r="B43" s="113" t="s">
        <v>17</v>
      </c>
      <c r="C43" s="106">
        <f>3/100</f>
        <v>0.03</v>
      </c>
      <c r="D43" s="107">
        <f>11/100</f>
        <v>0.11</v>
      </c>
      <c r="E43" s="108">
        <f>1.5/100</f>
        <v>1.4999999999999999E-2</v>
      </c>
      <c r="F43" s="109"/>
    </row>
    <row r="44" spans="2:6" x14ac:dyDescent="0.25">
      <c r="B44" s="113" t="s">
        <v>90</v>
      </c>
      <c r="C44" s="106">
        <f>0.8/100</f>
        <v>8.0000000000000002E-3</v>
      </c>
      <c r="D44" s="107">
        <f>15/100</f>
        <v>0.15</v>
      </c>
      <c r="E44" s="108">
        <f>0.4/100</f>
        <v>4.0000000000000001E-3</v>
      </c>
      <c r="F44" s="109">
        <f>1.6/100</f>
        <v>1.6E-2</v>
      </c>
    </row>
    <row r="45" spans="2:6" x14ac:dyDescent="0.25">
      <c r="B45" s="96" t="s">
        <v>57</v>
      </c>
      <c r="C45" s="106">
        <f>19/100</f>
        <v>0.19</v>
      </c>
      <c r="D45" s="107">
        <v>0</v>
      </c>
      <c r="E45" s="108">
        <f>12/100</f>
        <v>0.12</v>
      </c>
      <c r="F45" s="109"/>
    </row>
    <row r="46" spans="2:6" x14ac:dyDescent="0.25">
      <c r="B46" s="111" t="s">
        <v>199</v>
      </c>
      <c r="C46" s="106">
        <f>0.8/100</f>
        <v>8.0000000000000002E-3</v>
      </c>
      <c r="D46" s="107">
        <f>8/100</f>
        <v>0.08</v>
      </c>
      <c r="E46" s="108">
        <f>0.2/100</f>
        <v>2E-3</v>
      </c>
      <c r="F46" s="18"/>
    </row>
    <row r="47" spans="2:6" x14ac:dyDescent="0.25">
      <c r="B47" s="111" t="s">
        <v>127</v>
      </c>
      <c r="C47" s="106">
        <f>0.4/100</f>
        <v>4.0000000000000001E-3</v>
      </c>
      <c r="D47" s="107">
        <f>75/100</f>
        <v>0.75</v>
      </c>
      <c r="E47" s="108">
        <v>0</v>
      </c>
      <c r="F47" s="109"/>
    </row>
    <row r="48" spans="2:6" x14ac:dyDescent="0.25">
      <c r="B48" s="111" t="s">
        <v>155</v>
      </c>
      <c r="C48" s="106">
        <f>0.9/100</f>
        <v>9.0000000000000011E-3</v>
      </c>
      <c r="D48" s="107">
        <f>6/100</f>
        <v>0.06</v>
      </c>
      <c r="E48" s="108">
        <f>0.1/100</f>
        <v>1E-3</v>
      </c>
      <c r="F48" s="109"/>
    </row>
    <row r="49" spans="2:6" x14ac:dyDescent="0.25">
      <c r="B49" s="111" t="s">
        <v>207</v>
      </c>
      <c r="C49" s="118">
        <f>1.1/100</f>
        <v>1.1000000000000001E-2</v>
      </c>
      <c r="D49" s="118">
        <f>11/100</f>
        <v>0.11</v>
      </c>
      <c r="E49" s="118">
        <f>0.3/100</f>
        <v>3.0000000000000001E-3</v>
      </c>
      <c r="F49" s="18"/>
    </row>
    <row r="50" spans="2:6" x14ac:dyDescent="0.25">
      <c r="B50" s="111" t="s">
        <v>152</v>
      </c>
      <c r="C50" s="106">
        <f>15/100</f>
        <v>0.15</v>
      </c>
      <c r="D50" s="107">
        <f>14/100</f>
        <v>0.14000000000000001</v>
      </c>
      <c r="E50" s="108">
        <f>65/100</f>
        <v>0.65</v>
      </c>
      <c r="F50" s="109"/>
    </row>
    <row r="51" spans="2:6" x14ac:dyDescent="0.25">
      <c r="B51" s="96" t="s">
        <v>119</v>
      </c>
      <c r="C51" s="106">
        <f>14/100</f>
        <v>0.14000000000000001</v>
      </c>
      <c r="D51" s="107">
        <f>12/100</f>
        <v>0.12</v>
      </c>
      <c r="E51" s="108">
        <f>66/100</f>
        <v>0.66</v>
      </c>
      <c r="F51" s="109"/>
    </row>
    <row r="52" spans="2:6" x14ac:dyDescent="0.25">
      <c r="B52" s="111" t="s">
        <v>120</v>
      </c>
      <c r="C52" s="106">
        <f>18/100</f>
        <v>0.18</v>
      </c>
      <c r="D52" s="107">
        <f>30/100</f>
        <v>0.3</v>
      </c>
      <c r="E52" s="108">
        <f>44/100</f>
        <v>0.44</v>
      </c>
      <c r="F52" s="109"/>
    </row>
    <row r="53" spans="2:6" x14ac:dyDescent="0.25">
      <c r="B53" s="111" t="s">
        <v>117</v>
      </c>
      <c r="C53" s="106">
        <f>8/100</f>
        <v>0.08</v>
      </c>
      <c r="D53" s="107">
        <f>14/100</f>
        <v>0.14000000000000001</v>
      </c>
      <c r="E53" s="108">
        <f>76/100</f>
        <v>0.76</v>
      </c>
      <c r="F53" s="109"/>
    </row>
    <row r="54" spans="2:6" x14ac:dyDescent="0.25">
      <c r="B54" s="111" t="s">
        <v>118</v>
      </c>
      <c r="C54" s="106">
        <f>9/100</f>
        <v>0.09</v>
      </c>
      <c r="D54" s="107">
        <f>14/100</f>
        <v>0.14000000000000001</v>
      </c>
      <c r="E54" s="108">
        <f>72/100</f>
        <v>0.72</v>
      </c>
      <c r="F54" s="109"/>
    </row>
    <row r="55" spans="2:6" x14ac:dyDescent="0.25">
      <c r="B55" s="113" t="s">
        <v>63</v>
      </c>
      <c r="C55" s="106">
        <f>1.4/100</f>
        <v>1.3999999999999999E-2</v>
      </c>
      <c r="D55" s="107">
        <f>9/100</f>
        <v>0.09</v>
      </c>
      <c r="E55" s="108">
        <f>0.2/100</f>
        <v>2E-3</v>
      </c>
      <c r="F55" s="109"/>
    </row>
    <row r="56" spans="2:6" x14ac:dyDescent="0.25">
      <c r="B56" s="112" t="s">
        <v>11</v>
      </c>
      <c r="C56" s="106">
        <f>1/100</f>
        <v>0.01</v>
      </c>
      <c r="D56" s="107">
        <f>9/100</f>
        <v>0.09</v>
      </c>
      <c r="E56" s="108">
        <f>0.2/100</f>
        <v>2E-3</v>
      </c>
      <c r="F56" s="109"/>
    </row>
    <row r="57" spans="2:6" x14ac:dyDescent="0.25">
      <c r="B57" s="112" t="s">
        <v>12</v>
      </c>
      <c r="C57" s="106">
        <f>11/100</f>
        <v>0.11</v>
      </c>
      <c r="D57" s="107">
        <f>54/100</f>
        <v>0.54</v>
      </c>
      <c r="E57" s="108">
        <f>3.3/100</f>
        <v>3.3000000000000002E-2</v>
      </c>
      <c r="F57" s="109">
        <f xml:space="preserve"> 0.023</f>
        <v>2.3E-2</v>
      </c>
    </row>
    <row r="58" spans="2:6" x14ac:dyDescent="0.25">
      <c r="B58" s="111" t="s">
        <v>221</v>
      </c>
      <c r="C58" s="118">
        <f>9/100</f>
        <v>0.09</v>
      </c>
      <c r="D58" s="118">
        <f>50/100</f>
        <v>0.5</v>
      </c>
      <c r="E58" s="118">
        <f>1.75/100</f>
        <v>1.7500000000000002E-2</v>
      </c>
      <c r="F58" s="18"/>
    </row>
    <row r="59" spans="2:6" x14ac:dyDescent="0.25">
      <c r="B59" s="111" t="s">
        <v>107</v>
      </c>
      <c r="C59" s="106">
        <f>0.4/100</f>
        <v>4.0000000000000001E-3</v>
      </c>
      <c r="D59" s="107">
        <f>11/100</f>
        <v>0.11</v>
      </c>
      <c r="E59" s="108">
        <f>0.3/100</f>
        <v>3.0000000000000001E-3</v>
      </c>
      <c r="F59" s="109"/>
    </row>
    <row r="60" spans="2:6" x14ac:dyDescent="0.25">
      <c r="B60" s="55" t="s">
        <v>58</v>
      </c>
      <c r="C60" s="106">
        <f>1.6/100</f>
        <v>1.6E-2</v>
      </c>
      <c r="D60" s="107">
        <f>20/100</f>
        <v>0.2</v>
      </c>
      <c r="E60" s="108">
        <f>0.1/100</f>
        <v>1E-3</v>
      </c>
      <c r="F60" s="109">
        <f>0.02</f>
        <v>0.02</v>
      </c>
    </row>
    <row r="61" spans="2:6" x14ac:dyDescent="0.25">
      <c r="B61" s="111" t="s">
        <v>206</v>
      </c>
      <c r="C61" s="118">
        <f>0.9/100</f>
        <v>9.0000000000000011E-3</v>
      </c>
      <c r="D61" s="118">
        <f>10/100</f>
        <v>0.1</v>
      </c>
      <c r="E61" s="118">
        <f>0.3/100</f>
        <v>3.0000000000000001E-3</v>
      </c>
      <c r="F61" s="18"/>
    </row>
    <row r="62" spans="2:6" x14ac:dyDescent="0.25">
      <c r="B62" s="55" t="s">
        <v>193</v>
      </c>
      <c r="C62" s="106">
        <f>5/100</f>
        <v>0.05</v>
      </c>
      <c r="D62" s="107">
        <f>14/100</f>
        <v>0.14000000000000001</v>
      </c>
      <c r="E62" s="108">
        <f>0.4/100</f>
        <v>4.0000000000000001E-3</v>
      </c>
      <c r="F62" s="109">
        <f>5/100</f>
        <v>0.05</v>
      </c>
    </row>
    <row r="63" spans="2:6" x14ac:dyDescent="0.25">
      <c r="B63" s="113" t="s">
        <v>55</v>
      </c>
      <c r="C63" s="106">
        <f>19/100</f>
        <v>0.19</v>
      </c>
      <c r="D63" s="107">
        <f>61/100</f>
        <v>0.61</v>
      </c>
      <c r="E63" s="108">
        <f>6/100</f>
        <v>0.06</v>
      </c>
      <c r="F63" s="109"/>
    </row>
    <row r="64" spans="2:6" x14ac:dyDescent="0.25">
      <c r="B64" s="111" t="s">
        <v>115</v>
      </c>
      <c r="C64" s="106">
        <f>0.9/100</f>
        <v>9.0000000000000011E-3</v>
      </c>
      <c r="D64" s="107">
        <f>4.6/100</f>
        <v>4.5999999999999999E-2</v>
      </c>
      <c r="E64" s="108">
        <f>0.2/100</f>
        <v>2E-3</v>
      </c>
      <c r="F64" s="109">
        <f>1.7/100</f>
        <v>1.7000000000000001E-2</v>
      </c>
    </row>
    <row r="65" spans="2:6" x14ac:dyDescent="0.25">
      <c r="B65" s="55" t="s">
        <v>91</v>
      </c>
      <c r="C65" s="106">
        <f>0.3/100</f>
        <v>3.0000000000000001E-3</v>
      </c>
      <c r="D65" s="107">
        <f>12/100</f>
        <v>0.12</v>
      </c>
      <c r="E65" s="108">
        <f>0.3/100</f>
        <v>3.0000000000000001E-3</v>
      </c>
      <c r="F65" s="109">
        <f>2.4/100</f>
        <v>2.4E-2</v>
      </c>
    </row>
    <row r="66" spans="2:6" x14ac:dyDescent="0.25">
      <c r="B66" s="113" t="s">
        <v>19</v>
      </c>
      <c r="C66" s="106">
        <f>2/100</f>
        <v>0.02</v>
      </c>
      <c r="D66" s="107">
        <f>17/100</f>
        <v>0.17</v>
      </c>
      <c r="E66" s="108">
        <f>0.1/100</f>
        <v>1E-3</v>
      </c>
      <c r="F66" s="109"/>
    </row>
    <row r="67" spans="2:6" x14ac:dyDescent="0.25">
      <c r="B67" s="113" t="s">
        <v>89</v>
      </c>
      <c r="C67" s="106">
        <f>1.2/100</f>
        <v>1.2E-2</v>
      </c>
      <c r="D67" s="107">
        <f>5.6/100</f>
        <v>5.5999999999999994E-2</v>
      </c>
      <c r="E67" s="108">
        <f>0.5/100</f>
        <v>5.0000000000000001E-3</v>
      </c>
      <c r="F67" s="109"/>
    </row>
    <row r="68" spans="2:6" x14ac:dyDescent="0.25">
      <c r="B68" s="111" t="s">
        <v>217</v>
      </c>
      <c r="C68" s="118">
        <f>0.7/100</f>
        <v>6.9999999999999993E-3</v>
      </c>
      <c r="D68" s="118">
        <f>11/100</f>
        <v>0.11</v>
      </c>
      <c r="E68" s="118">
        <f>0.3/100</f>
        <v>3.0000000000000001E-3</v>
      </c>
      <c r="F68" s="18"/>
    </row>
    <row r="69" spans="2:6" x14ac:dyDescent="0.25">
      <c r="B69" s="55" t="s">
        <v>66</v>
      </c>
      <c r="C69" s="106">
        <f>14.1/100</f>
        <v>0.14099999999999999</v>
      </c>
      <c r="D69" s="107">
        <f>58.5/100</f>
        <v>0.58499999999999996</v>
      </c>
      <c r="E69" s="108">
        <f>5.8/100</f>
        <v>5.7999999999999996E-2</v>
      </c>
      <c r="F69" s="109">
        <f>6.64/100</f>
        <v>6.6400000000000001E-2</v>
      </c>
    </row>
    <row r="70" spans="2:6" x14ac:dyDescent="0.25">
      <c r="B70" s="113" t="s">
        <v>86</v>
      </c>
      <c r="C70" s="106">
        <f>0.7/100</f>
        <v>6.9999999999999993E-3</v>
      </c>
      <c r="D70" s="107">
        <f>3.4/100</f>
        <v>3.4000000000000002E-2</v>
      </c>
      <c r="E70" s="108">
        <f>0.1/100</f>
        <v>1E-3</v>
      </c>
      <c r="F70" s="109"/>
    </row>
    <row r="71" spans="2:6" x14ac:dyDescent="0.25">
      <c r="B71" s="113" t="s">
        <v>8</v>
      </c>
      <c r="C71" s="106">
        <f>8.8/100</f>
        <v>8.8000000000000009E-2</v>
      </c>
      <c r="D71" s="107">
        <f>72/100</f>
        <v>0.72</v>
      </c>
      <c r="E71" s="108">
        <f>2.2/100</f>
        <v>2.2000000000000002E-2</v>
      </c>
      <c r="F71" s="109"/>
    </row>
    <row r="72" spans="2:6" x14ac:dyDescent="0.25">
      <c r="B72" s="115" t="s">
        <v>60</v>
      </c>
      <c r="C72" s="106">
        <f>7.5/100</f>
        <v>7.4999999999999997E-2</v>
      </c>
      <c r="D72" s="107">
        <f>78/100</f>
        <v>0.78</v>
      </c>
      <c r="E72" s="108">
        <f>0.6/100</f>
        <v>6.0000000000000001E-3</v>
      </c>
      <c r="F72" s="116"/>
    </row>
    <row r="73" spans="2:6" x14ac:dyDescent="0.25">
      <c r="B73" s="115" t="s">
        <v>34</v>
      </c>
      <c r="C73" s="106">
        <f>7.4/100</f>
        <v>7.400000000000001E-2</v>
      </c>
      <c r="D73" s="107">
        <f>78.7/100</f>
        <v>0.78700000000000003</v>
      </c>
      <c r="E73" s="108">
        <f>0.7/100</f>
        <v>6.9999999999999993E-3</v>
      </c>
      <c r="F73" s="116"/>
    </row>
    <row r="74" spans="2:6" x14ac:dyDescent="0.25">
      <c r="B74" s="114" t="s">
        <v>220</v>
      </c>
      <c r="C74" s="118">
        <f>1/100</f>
        <v>0.01</v>
      </c>
      <c r="D74" s="118">
        <f>15/100</f>
        <v>0.15</v>
      </c>
      <c r="E74" s="118">
        <f>10/100</f>
        <v>0.1</v>
      </c>
      <c r="F74" s="133"/>
    </row>
    <row r="75" spans="2:6" x14ac:dyDescent="0.25">
      <c r="B75" s="115" t="s">
        <v>87</v>
      </c>
      <c r="C75" s="106">
        <f>25/100</f>
        <v>0.25</v>
      </c>
      <c r="D75" s="107">
        <f>0</f>
        <v>0</v>
      </c>
      <c r="E75" s="108">
        <f>11/100</f>
        <v>0.11</v>
      </c>
      <c r="F75" s="116"/>
    </row>
    <row r="76" spans="2:6" x14ac:dyDescent="0.25">
      <c r="B76" s="114" t="s">
        <v>196</v>
      </c>
      <c r="C76" s="106">
        <f>28/100</f>
        <v>0.28000000000000003</v>
      </c>
      <c r="D76" s="107">
        <f>0.7/100</f>
        <v>6.9999999999999993E-3</v>
      </c>
      <c r="E76" s="108">
        <f>22/100</f>
        <v>0.22</v>
      </c>
      <c r="F76" s="116"/>
    </row>
    <row r="77" spans="2:6" x14ac:dyDescent="0.25">
      <c r="B77" s="115" t="s">
        <v>7</v>
      </c>
      <c r="C77" s="106">
        <f>12.68/100</f>
        <v>0.1268</v>
      </c>
      <c r="D77" s="107">
        <f>72.83/100</f>
        <v>0.72829999999999995</v>
      </c>
      <c r="E77" s="108">
        <f>1.05/100</f>
        <v>1.0500000000000001E-2</v>
      </c>
      <c r="F77" s="116"/>
    </row>
    <row r="78" spans="2:6" x14ac:dyDescent="0.25">
      <c r="B78" s="115" t="s">
        <v>6</v>
      </c>
      <c r="C78" s="119">
        <f>20/100</f>
        <v>0.2</v>
      </c>
      <c r="D78" s="120">
        <f>0.2/100</f>
        <v>2E-3</v>
      </c>
      <c r="E78" s="121">
        <f>5/100</f>
        <v>0.05</v>
      </c>
      <c r="F78" s="116"/>
    </row>
    <row r="79" spans="2:6" x14ac:dyDescent="0.25">
      <c r="B79" s="114" t="s">
        <v>205</v>
      </c>
      <c r="C79" s="65">
        <f>0</f>
        <v>0</v>
      </c>
      <c r="D79" s="65">
        <f>94/100</f>
        <v>0.94</v>
      </c>
      <c r="E79" s="65">
        <v>0</v>
      </c>
      <c r="F79" s="10"/>
    </row>
    <row r="80" spans="2:6" x14ac:dyDescent="0.25">
      <c r="B80" s="115" t="s">
        <v>20</v>
      </c>
      <c r="C80" s="119">
        <f>26/100</f>
        <v>0.26</v>
      </c>
      <c r="D80" s="120">
        <v>0</v>
      </c>
      <c r="E80" s="121">
        <f>2/100</f>
        <v>0.02</v>
      </c>
      <c r="F80" s="116"/>
    </row>
    <row r="81" spans="2:6" x14ac:dyDescent="0.25">
      <c r="B81" s="115" t="s">
        <v>106</v>
      </c>
      <c r="C81" s="119">
        <f>29/100</f>
        <v>0.28999999999999998</v>
      </c>
      <c r="D81" s="120">
        <v>0</v>
      </c>
      <c r="E81" s="121">
        <f>6.28/100</f>
        <v>6.2800000000000009E-2</v>
      </c>
      <c r="F81" s="116"/>
    </row>
    <row r="82" spans="2:6" x14ac:dyDescent="0.25">
      <c r="B82" s="115" t="s">
        <v>110</v>
      </c>
      <c r="C82" s="119">
        <f>0.8/100</f>
        <v>8.0000000000000002E-3</v>
      </c>
      <c r="D82" s="120">
        <f>3.4/100</f>
        <v>3.4000000000000002E-2</v>
      </c>
      <c r="E82" s="121">
        <f>0.3/100</f>
        <v>3.0000000000000001E-3</v>
      </c>
      <c r="F82" s="116">
        <f>0.9/100</f>
        <v>9.0000000000000011E-3</v>
      </c>
    </row>
    <row r="83" spans="2:6" x14ac:dyDescent="0.25">
      <c r="B83" s="115" t="s">
        <v>59</v>
      </c>
      <c r="C83" s="119">
        <f>20/100</f>
        <v>0.2</v>
      </c>
      <c r="D83" s="120">
        <v>0</v>
      </c>
      <c r="E83" s="121">
        <f>5/100</f>
        <v>0.05</v>
      </c>
      <c r="F83" s="116"/>
    </row>
    <row r="84" spans="2:6" x14ac:dyDescent="0.25">
      <c r="B84" s="115" t="s">
        <v>83</v>
      </c>
      <c r="C84" s="119">
        <f>0.5/100</f>
        <v>5.0000000000000001E-3</v>
      </c>
      <c r="D84" s="120">
        <f>17/100</f>
        <v>0.17</v>
      </c>
      <c r="E84" s="121">
        <f>0</f>
        <v>0</v>
      </c>
      <c r="F84" s="116"/>
    </row>
    <row r="85" spans="2:6" x14ac:dyDescent="0.25">
      <c r="B85" s="114" t="s">
        <v>209</v>
      </c>
      <c r="C85" s="65">
        <f>8.24</f>
        <v>8.24</v>
      </c>
      <c r="D85" s="65">
        <f>10.49</f>
        <v>10.49</v>
      </c>
      <c r="E85" s="65">
        <v>0</v>
      </c>
      <c r="F85" s="10"/>
    </row>
    <row r="86" spans="2:6" x14ac:dyDescent="0.25">
      <c r="B86" s="114" t="s">
        <v>213</v>
      </c>
      <c r="C86">
        <f>0.6/100</f>
        <v>6.0000000000000001E-3</v>
      </c>
      <c r="D86">
        <f>8/100</f>
        <v>0.08</v>
      </c>
      <c r="E86">
        <f>0.2/100</f>
        <v>2E-3</v>
      </c>
    </row>
    <row r="87" spans="2:6" x14ac:dyDescent="0.25">
      <c r="B87" s="115" t="s">
        <v>178</v>
      </c>
      <c r="C87" s="119">
        <v>20</v>
      </c>
      <c r="D87" s="120">
        <v>1</v>
      </c>
      <c r="E87" s="121">
        <v>1</v>
      </c>
      <c r="F87" s="116"/>
    </row>
    <row r="88" spans="2:6" x14ac:dyDescent="0.25">
      <c r="B88" s="114" t="s">
        <v>179</v>
      </c>
      <c r="C88" s="119">
        <v>22.08</v>
      </c>
      <c r="D88" s="120">
        <v>2.4900000000000002</v>
      </c>
      <c r="E88" s="121">
        <v>2.0070000000000001</v>
      </c>
      <c r="F88" s="116"/>
    </row>
    <row r="89" spans="2:6" x14ac:dyDescent="0.25">
      <c r="B89" s="115" t="s">
        <v>135</v>
      </c>
      <c r="C89" s="119">
        <f>4.8/100</f>
        <v>4.8000000000000001E-2</v>
      </c>
      <c r="D89" s="120">
        <f>4.7/100</f>
        <v>4.7E-2</v>
      </c>
      <c r="E89" s="121">
        <f>13/100</f>
        <v>0.13</v>
      </c>
      <c r="F89" s="116"/>
    </row>
    <row r="90" spans="2:6" x14ac:dyDescent="0.25">
      <c r="B90" s="114" t="s">
        <v>229</v>
      </c>
      <c r="C90">
        <f>0.4/100</f>
        <v>4.0000000000000001E-3</v>
      </c>
      <c r="D90">
        <f>15/100</f>
        <v>0.15</v>
      </c>
      <c r="E90">
        <f>0.1/100</f>
        <v>1E-3</v>
      </c>
    </row>
    <row r="91" spans="2:6" x14ac:dyDescent="0.25">
      <c r="B91" s="114" t="s">
        <v>235</v>
      </c>
      <c r="C91">
        <f>6.7/100</f>
        <v>6.7000000000000004E-2</v>
      </c>
      <c r="D91">
        <f>5.2/100</f>
        <v>5.2000000000000005E-2</v>
      </c>
      <c r="E91">
        <f>0</f>
        <v>0</v>
      </c>
    </row>
    <row r="92" spans="2:6" x14ac:dyDescent="0.25">
      <c r="B92" s="114" t="s">
        <v>253</v>
      </c>
      <c r="C92">
        <f>20/100</f>
        <v>0.2</v>
      </c>
      <c r="D92">
        <f>0</f>
        <v>0</v>
      </c>
      <c r="E92">
        <f>13/100</f>
        <v>0.13</v>
      </c>
    </row>
    <row r="93" spans="2:6" x14ac:dyDescent="0.25">
      <c r="B93" s="114" t="s">
        <v>274</v>
      </c>
      <c r="C93">
        <f>16.6/100</f>
        <v>0.16600000000000001</v>
      </c>
      <c r="D93">
        <f>19.5/100</f>
        <v>0.19500000000000001</v>
      </c>
      <c r="E93">
        <f>58.4/100</f>
        <v>0.58399999999999996</v>
      </c>
    </row>
  </sheetData>
  <sortState ref="B5:F89">
    <sortCondition ref="B4"/>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2:AC30"/>
  <sheetViews>
    <sheetView workbookViewId="0">
      <selection activeCell="X29" sqref="X29"/>
    </sheetView>
  </sheetViews>
  <sheetFormatPr defaultColWidth="6.42578125" defaultRowHeight="15" x14ac:dyDescent="0.25"/>
  <cols>
    <col min="1" max="1" width="5.28515625" bestFit="1" customWidth="1"/>
    <col min="2" max="2" width="4" bestFit="1" customWidth="1"/>
    <col min="3" max="10" width="3" bestFit="1" customWidth="1"/>
    <col min="11" max="11" width="3.85546875" bestFit="1" customWidth="1"/>
    <col min="12" max="12" width="7.28515625" bestFit="1" customWidth="1"/>
    <col min="13" max="13" width="7.7109375" style="85" bestFit="1" customWidth="1"/>
    <col min="14" max="26" width="11.7109375" customWidth="1"/>
    <col min="27" max="27" width="9.7109375" bestFit="1" customWidth="1"/>
    <col min="28" max="28" width="11.28515625" bestFit="1" customWidth="1"/>
    <col min="38" max="38" width="6.140625" bestFit="1" customWidth="1"/>
    <col min="43" max="43" width="11.42578125" bestFit="1" customWidth="1"/>
    <col min="48" max="48" width="6.140625" bestFit="1" customWidth="1"/>
    <col min="53" max="53" width="8.7109375" bestFit="1" customWidth="1"/>
    <col min="58" max="58" width="8.28515625" bestFit="1" customWidth="1"/>
    <col min="63" max="63" width="11.28515625" bestFit="1" customWidth="1"/>
  </cols>
  <sheetData>
    <row r="2" spans="1:29" ht="30" x14ac:dyDescent="0.25">
      <c r="A2" s="85"/>
      <c r="B2" s="80" t="s">
        <v>124</v>
      </c>
      <c r="C2" s="80" t="s">
        <v>160</v>
      </c>
      <c r="D2" s="80" t="s">
        <v>125</v>
      </c>
      <c r="E2" s="80" t="s">
        <v>47</v>
      </c>
      <c r="F2" s="80" t="s">
        <v>45</v>
      </c>
      <c r="G2" s="80" t="s">
        <v>122</v>
      </c>
      <c r="H2" s="80" t="s">
        <v>48</v>
      </c>
      <c r="I2" s="80" t="s">
        <v>46</v>
      </c>
      <c r="J2" s="80" t="s">
        <v>161</v>
      </c>
      <c r="K2" s="80" t="s">
        <v>162</v>
      </c>
      <c r="N2" s="17" t="s">
        <v>35</v>
      </c>
      <c r="O2" s="17" t="s">
        <v>53</v>
      </c>
      <c r="P2" s="17" t="s">
        <v>56</v>
      </c>
      <c r="Q2" s="17" t="s">
        <v>116</v>
      </c>
      <c r="R2" s="17" t="s">
        <v>121</v>
      </c>
      <c r="S2" s="17" t="s">
        <v>39</v>
      </c>
      <c r="T2" s="17" t="s">
        <v>40</v>
      </c>
      <c r="U2" s="17" t="s">
        <v>169</v>
      </c>
      <c r="V2" s="17" t="s">
        <v>170</v>
      </c>
      <c r="W2" s="17" t="s">
        <v>112</v>
      </c>
      <c r="X2" s="17" t="s">
        <v>43</v>
      </c>
      <c r="Y2" s="17" t="s">
        <v>38</v>
      </c>
      <c r="Z2" s="17" t="s">
        <v>113</v>
      </c>
      <c r="AA2" s="94" t="s">
        <v>192</v>
      </c>
    </row>
    <row r="3" spans="1:29" x14ac:dyDescent="0.25">
      <c r="A3" s="86" t="s">
        <v>156</v>
      </c>
      <c r="B3" s="83">
        <v>100</v>
      </c>
      <c r="C3" s="83">
        <v>96</v>
      </c>
      <c r="D3" s="83">
        <v>92</v>
      </c>
      <c r="E3" s="83">
        <v>89</v>
      </c>
      <c r="F3" s="81">
        <v>86</v>
      </c>
      <c r="G3" s="81">
        <v>84</v>
      </c>
      <c r="H3" s="82">
        <v>81</v>
      </c>
      <c r="I3" s="82">
        <v>79</v>
      </c>
      <c r="J3" s="81">
        <v>76</v>
      </c>
      <c r="K3" s="81">
        <v>74</v>
      </c>
      <c r="L3" s="230" t="s">
        <v>163</v>
      </c>
      <c r="M3" s="88" t="s">
        <v>165</v>
      </c>
      <c r="N3" s="18">
        <f>LOOKUP(2,1/(Training!B:B&lt;&gt;""),Training!B:B)</f>
        <v>97.5</v>
      </c>
      <c r="O3" s="18">
        <f>LOOKUP(2,1/(Training!G:G&lt;&gt;""),Training!G:G)</f>
        <v>80</v>
      </c>
      <c r="P3" s="18">
        <f>LOOKUP(2,1/(Training!L:L&lt;&gt;""),Training!L:L)</f>
        <v>87.5</v>
      </c>
      <c r="Q3" s="18">
        <f>LOOKUP(2,1/(Training!Q:Q&lt;&gt;""),Training!Q:Q)</f>
        <v>102.5</v>
      </c>
      <c r="R3" s="18">
        <f>LOOKUP(2,1/(Training!V:V&lt;&gt;""),Training!V:V)</f>
        <v>90</v>
      </c>
      <c r="S3" s="18">
        <f>LOOKUP(2,1/(Training!AF:AF&lt;&gt;""),Training!AF:AF)</f>
        <v>47.5</v>
      </c>
      <c r="T3" s="18">
        <f>LOOKUP(2,1/(Training!AK:AK&lt;&gt;""),Training!AK:AK)</f>
        <v>67.5</v>
      </c>
      <c r="U3" s="18">
        <f>LOOKUP(2,1/(Training!AU:AU&lt;&gt;""),Training!AU:AU)</f>
        <v>67.5</v>
      </c>
      <c r="V3" s="18">
        <f>LOOKUP(2,1/(Training!BF:BF&lt;&gt;""),Training!BF:BF)</f>
        <v>65</v>
      </c>
      <c r="W3" s="18">
        <f>LOOKUP(2,1/(Training!BK:BK&lt;&gt;""),Training!BK:BK)</f>
        <v>75</v>
      </c>
      <c r="X3" s="18">
        <f>LOOKUP(2,1/(Training!CP:CP&lt;&gt;""),Training!CP:CP)</f>
        <v>135</v>
      </c>
      <c r="Y3" s="18">
        <f>LOOKUP(2,1/(Training!CU:CU&lt;&gt;""),Training!CU:CU)</f>
        <v>135</v>
      </c>
      <c r="Z3" s="18">
        <f>LOOKUP(2,1/(Training!CZ:CZ&lt;&gt;""),Training!CZ:CZ)</f>
        <v>130</v>
      </c>
      <c r="AA3" s="18">
        <f>LOOKUP(2,1/(Training!CK:CK&lt;&gt;""),Training!CK:CK)</f>
        <v>66</v>
      </c>
    </row>
    <row r="4" spans="1:29" x14ac:dyDescent="0.25">
      <c r="A4" s="86" t="s">
        <v>157</v>
      </c>
      <c r="B4" s="83">
        <v>98</v>
      </c>
      <c r="C4" s="83">
        <v>94</v>
      </c>
      <c r="D4" s="83">
        <v>91</v>
      </c>
      <c r="E4" s="84">
        <v>88</v>
      </c>
      <c r="F4" s="81">
        <v>85</v>
      </c>
      <c r="G4" s="81">
        <v>82</v>
      </c>
      <c r="H4" s="82">
        <v>80</v>
      </c>
      <c r="I4" s="81">
        <v>77</v>
      </c>
      <c r="J4" s="81">
        <v>75</v>
      </c>
      <c r="K4" s="81">
        <v>72</v>
      </c>
      <c r="L4" s="230"/>
      <c r="M4" s="88" t="s">
        <v>164</v>
      </c>
      <c r="N4" s="18" t="str">
        <f>LOOKUP(2,1/(Training!C:C&lt;&gt;""),Training!C:C)</f>
        <v>x4</v>
      </c>
      <c r="O4" s="18" t="str">
        <f>LOOKUP(2,1/(Training!H:H&lt;&gt;""),Training!H:H)</f>
        <v>x10</v>
      </c>
      <c r="P4" s="18" t="str">
        <f>LOOKUP(2,1/(Training!M:M&lt;&gt;""),Training!M:M)</f>
        <v>x6</v>
      </c>
      <c r="Q4" s="18" t="str">
        <f>LOOKUP(2,1/(Training!R:R&lt;&gt;""),Training!R:R)</f>
        <v>x5</v>
      </c>
      <c r="R4" s="18" t="str">
        <f>LOOKUP(2,1/(Training!W:W&lt;&gt;""),Training!W:W)</f>
        <v>x8</v>
      </c>
      <c r="S4" s="18" t="str">
        <f>LOOKUP(2,1/(Training!AG:AG&lt;&gt;""),Training!AG:AG)</f>
        <v>x6</v>
      </c>
      <c r="T4" s="18" t="str">
        <f>LOOKUP(2,1/(Training!AL:AL&lt;&gt;""),Training!AL:AL)</f>
        <v>x4</v>
      </c>
      <c r="U4" s="18" t="str">
        <f>LOOKUP(2,1/(Training!AV:AV&lt;&gt;""),Training!AV:AV)</f>
        <v>x6</v>
      </c>
      <c r="V4" s="18" t="str">
        <f>LOOKUP(2,1/(Training!BG:BG&lt;&gt;""),Training!BG:BG)</f>
        <v>x8</v>
      </c>
      <c r="W4" s="18" t="str">
        <f>LOOKUP(2,1/(Training!BL:BL&lt;&gt;""),Training!BL:BL)</f>
        <v>x5</v>
      </c>
      <c r="X4" s="18" t="str">
        <f>LOOKUP(2,1/(Training!CQ:CQ&lt;&gt;""),Training!CQ:CQ)</f>
        <v>x6</v>
      </c>
      <c r="Y4" s="18" t="str">
        <f>LOOKUP(2,1/(Training!CV:CV&lt;&gt;""),Training!CV:CV)</f>
        <v>x4</v>
      </c>
      <c r="Z4" s="18" t="str">
        <f>LOOKUP(2,1/(Training!DA:DA&lt;&gt;""),Training!DA:DA)</f>
        <v>x5</v>
      </c>
      <c r="AA4" s="18" t="str">
        <f>LOOKUP(2,1/(Training!CL:CL&lt;&gt;""),Training!CL:CL)</f>
        <v>x3</v>
      </c>
    </row>
    <row r="5" spans="1:29" x14ac:dyDescent="0.25">
      <c r="A5" s="86" t="s">
        <v>52</v>
      </c>
      <c r="B5" s="83">
        <v>96</v>
      </c>
      <c r="C5" s="83">
        <v>92</v>
      </c>
      <c r="D5" s="83">
        <v>89</v>
      </c>
      <c r="E5" s="81">
        <v>86</v>
      </c>
      <c r="F5" s="81">
        <v>84</v>
      </c>
      <c r="G5" s="82">
        <v>81</v>
      </c>
      <c r="H5" s="82">
        <v>79</v>
      </c>
      <c r="I5" s="81">
        <v>76</v>
      </c>
      <c r="J5" s="81">
        <v>74</v>
      </c>
      <c r="K5" s="81">
        <v>71</v>
      </c>
      <c r="L5" s="230"/>
      <c r="M5" s="88" t="s">
        <v>166</v>
      </c>
      <c r="N5" s="18" t="str">
        <f>LOOKUP(2,1/(Training!D:D&lt;&gt;""),Training!D:D)</f>
        <v>@9</v>
      </c>
      <c r="O5" s="18" t="str">
        <f>LOOKUP(2,1/(Training!I:I&lt;&gt;""),Training!I:I)</f>
        <v>@9</v>
      </c>
      <c r="P5" s="18" t="str">
        <f>LOOKUP(2,1/(Training!N:N&lt;&gt;""),Training!N:N)</f>
        <v>@8</v>
      </c>
      <c r="Q5" s="18" t="str">
        <f>LOOKUP(2,1/(Training!S:S&lt;&gt;""),Training!S:S)</f>
        <v>@9</v>
      </c>
      <c r="R5" s="18" t="str">
        <f>LOOKUP(2,1/(Training!X:X&lt;&gt;""),Training!X:X)</f>
        <v>@8</v>
      </c>
      <c r="S5" s="18" t="str">
        <f>LOOKUP(2,1/(Training!AH:AH&lt;&gt;""),Training!AH:AH)</f>
        <v>@8</v>
      </c>
      <c r="T5" s="18" t="str">
        <f>LOOKUP(2,1/(Training!AM:AM&lt;&gt;""),Training!AM:AM)</f>
        <v>@9</v>
      </c>
      <c r="U5" s="18" t="str">
        <f>LOOKUP(2,1/(Training!AW:AW&lt;&gt;""),Training!AW:AW)</f>
        <v>@8</v>
      </c>
      <c r="V5" s="18" t="str">
        <f>LOOKUP(2,1/(Training!BH:BH&lt;&gt;""),Training!BH:BH)</f>
        <v>@8</v>
      </c>
      <c r="W5" s="18" t="str">
        <f>LOOKUP(2,1/(Training!BM:BM&lt;&gt;""),Training!BM:BM)</f>
        <v>@9</v>
      </c>
      <c r="X5" s="18" t="str">
        <f>LOOKUP(2,1/(Training!CR:CR&lt;&gt;""),Training!CR:CR)</f>
        <v>@8</v>
      </c>
      <c r="Y5" s="18" t="str">
        <f>LOOKUP(2,1/(Training!CW:CW&lt;&gt;""),Training!CW:CW)</f>
        <v>@9</v>
      </c>
      <c r="Z5" s="18" t="str">
        <f>LOOKUP(2,1/(Training!DB:DB&lt;&gt;""),Training!DB:DB)</f>
        <v>@9</v>
      </c>
      <c r="AA5" s="18" t="str">
        <f>LOOKUP(2,1/(Training!CM:CM&lt;&gt;""),Training!CM:CM)</f>
        <v>@9</v>
      </c>
    </row>
    <row r="6" spans="1:29" x14ac:dyDescent="0.25">
      <c r="A6" s="86" t="s">
        <v>158</v>
      </c>
      <c r="B6" s="83">
        <v>94</v>
      </c>
      <c r="C6" s="83">
        <v>91</v>
      </c>
      <c r="D6" s="81">
        <v>88</v>
      </c>
      <c r="E6" s="81">
        <v>85</v>
      </c>
      <c r="F6" s="81">
        <v>82</v>
      </c>
      <c r="G6" s="82">
        <v>80</v>
      </c>
      <c r="H6" s="81">
        <v>77</v>
      </c>
      <c r="I6" s="81">
        <v>75</v>
      </c>
      <c r="J6" s="81">
        <v>72</v>
      </c>
      <c r="K6" s="81">
        <v>69</v>
      </c>
      <c r="M6" s="88" t="s">
        <v>167</v>
      </c>
      <c r="N6" s="18">
        <f>INDEX(RPE_1RM!$A$2:$K$10,MATCH(N5,RPE_1RM!$A$3:$A$10,0)+1,MATCH(N4,RPE_1RM!$B$2:$K$2,0)+1)</f>
        <v>86</v>
      </c>
      <c r="O6" s="18">
        <f>INDEX(RPE_1RM!$A$2:$K$10,MATCH(O5,RPE_1RM!$A$3:$A$10,0)+1,MATCH(O4,RPE_1RM!$B$2:$K$2,0)+1)</f>
        <v>71</v>
      </c>
      <c r="P6" s="18">
        <f>INDEX(RPE_1RM!$A$2:$K$10,MATCH(P5,RPE_1RM!$A$3:$A$10,0)+1,MATCH(P4,RPE_1RM!$B$2:$K$2,0)+1)</f>
        <v>79</v>
      </c>
      <c r="Q6" s="18">
        <f>INDEX(RPE_1RM!$A$2:$K$10,MATCH(Q5,RPE_1RM!$A$3:$A$10,0)+1,MATCH(Q4,RPE_1RM!$B$2:$K$2,0)+1)</f>
        <v>84</v>
      </c>
      <c r="R6" s="18">
        <f>INDEX(RPE_1RM!$A$2:$K$10,MATCH(R5,RPE_1RM!$A$3:$A$10,0)+1,MATCH(R4,RPE_1RM!$B$2:$K$2,0)+1)</f>
        <v>74</v>
      </c>
      <c r="S6" s="18">
        <f>INDEX(RPE_1RM!$A$2:$K$10,MATCH(S5,RPE_1RM!$A$3:$A$10,0)+1,MATCH(S4,RPE_1RM!$B$2:$K$2,0)+1)</f>
        <v>79</v>
      </c>
      <c r="T6" s="18">
        <f>INDEX(RPE_1RM!$A$2:$K$10,MATCH(T5,RPE_1RM!$A$3:$A$10,0)+1,MATCH(T4,RPE_1RM!$B$2:$K$2,0)+1)</f>
        <v>86</v>
      </c>
      <c r="U6" s="18">
        <f>INDEX(RPE_1RM!$A$2:$K$10,MATCH(U5,RPE_1RM!$A$3:$A$10,0)+1,MATCH(U4,RPE_1RM!$B$2:$K$2,0)+1)</f>
        <v>79</v>
      </c>
      <c r="V6" s="18">
        <f>INDEX(RPE_1RM!$A$2:$K$10,MATCH(V5,RPE_1RM!$A$3:$A$10,0)+1,MATCH(V4,RPE_1RM!$B$2:$K$2,0)+1)</f>
        <v>74</v>
      </c>
      <c r="W6" s="18">
        <f>INDEX(RPE_1RM!$A$2:$K$10,MATCH(W5,RPE_1RM!$A$3:$A$10,0)+1,MATCH(W4,RPE_1RM!$B$2:$K$2,0)+1)</f>
        <v>84</v>
      </c>
      <c r="X6" s="18">
        <f>INDEX(RPE_1RM!$A$2:$K$10,MATCH(X5,RPE_1RM!$A$3:$A$10,0)+1,MATCH(X4,RPE_1RM!$B$2:$K$2,0)+1)</f>
        <v>79</v>
      </c>
      <c r="Y6" s="18">
        <f>INDEX(RPE_1RM!$A$2:$K$10,MATCH(Y5,RPE_1RM!$A$3:$A$10,0)+1,MATCH(Y4,RPE_1RM!$B$2:$K$2,0)+1)</f>
        <v>86</v>
      </c>
      <c r="Z6" s="18">
        <f>INDEX(RPE_1RM!$A$2:$K$10,MATCH(Z5,RPE_1RM!$A$3:$A$10,0)+1,MATCH(Z4,RPE_1RM!$B$2:$K$2,0)+1)</f>
        <v>84</v>
      </c>
      <c r="AA6" s="18">
        <f>INDEX(RPE_1RM!$A$2:$K$10,MATCH(AA5,RPE_1RM!$A$3:$A$10,0)+1,MATCH(AA4,RPE_1RM!$B$2:$K$2,0)+1)</f>
        <v>89</v>
      </c>
    </row>
    <row r="7" spans="1:29" x14ac:dyDescent="0.25">
      <c r="A7" s="86" t="s">
        <v>51</v>
      </c>
      <c r="B7" s="83">
        <v>92</v>
      </c>
      <c r="C7" s="83">
        <v>89</v>
      </c>
      <c r="D7" s="81">
        <v>86</v>
      </c>
      <c r="E7" s="81">
        <v>84</v>
      </c>
      <c r="F7" s="82">
        <v>81</v>
      </c>
      <c r="G7" s="82">
        <v>79</v>
      </c>
      <c r="H7" s="81">
        <v>76</v>
      </c>
      <c r="I7" s="81">
        <v>74</v>
      </c>
      <c r="J7" s="81">
        <v>71</v>
      </c>
      <c r="K7" s="81">
        <v>68</v>
      </c>
      <c r="M7" s="88" t="s">
        <v>168</v>
      </c>
      <c r="N7" s="89">
        <f>N3*100/N6</f>
        <v>113.37209302325581</v>
      </c>
      <c r="O7" s="89">
        <f t="shared" ref="O7:Z7" si="0">O3*100/O6</f>
        <v>112.67605633802818</v>
      </c>
      <c r="P7" s="89">
        <f t="shared" si="0"/>
        <v>110.75949367088607</v>
      </c>
      <c r="Q7" s="89">
        <f t="shared" si="0"/>
        <v>122.02380952380952</v>
      </c>
      <c r="R7" s="89">
        <f t="shared" si="0"/>
        <v>121.62162162162163</v>
      </c>
      <c r="S7" s="89">
        <f t="shared" si="0"/>
        <v>60.12658227848101</v>
      </c>
      <c r="T7" s="89">
        <f t="shared" si="0"/>
        <v>78.488372093023258</v>
      </c>
      <c r="U7" s="89">
        <f t="shared" si="0"/>
        <v>85.443037974683548</v>
      </c>
      <c r="V7" s="89">
        <f t="shared" si="0"/>
        <v>87.837837837837839</v>
      </c>
      <c r="W7" s="89">
        <f t="shared" si="0"/>
        <v>89.285714285714292</v>
      </c>
      <c r="X7" s="89">
        <f t="shared" si="0"/>
        <v>170.8860759493671</v>
      </c>
      <c r="Y7" s="89">
        <f t="shared" si="0"/>
        <v>156.97674418604652</v>
      </c>
      <c r="Z7" s="89">
        <f t="shared" si="0"/>
        <v>154.76190476190476</v>
      </c>
      <c r="AA7" s="89">
        <f>AA3*100/AA6</f>
        <v>74.157303370786522</v>
      </c>
    </row>
    <row r="8" spans="1:29" x14ac:dyDescent="0.25">
      <c r="A8" s="86" t="s">
        <v>159</v>
      </c>
      <c r="B8" s="83">
        <v>91</v>
      </c>
      <c r="C8" s="81">
        <v>88</v>
      </c>
      <c r="D8" s="81">
        <v>85</v>
      </c>
      <c r="E8" s="81">
        <v>82</v>
      </c>
      <c r="F8" s="82">
        <v>80</v>
      </c>
      <c r="G8" s="81">
        <v>77</v>
      </c>
      <c r="H8" s="81">
        <v>75</v>
      </c>
      <c r="I8" s="81">
        <v>72</v>
      </c>
      <c r="J8" s="81">
        <v>69</v>
      </c>
      <c r="K8" s="81">
        <v>67</v>
      </c>
      <c r="N8" s="117">
        <f>N7-N28</f>
        <v>-2.9069767441860392</v>
      </c>
      <c r="O8" s="117">
        <f t="shared" ref="O8:AA8" si="1">O7-O28</f>
        <v>-8.9455652835934529</v>
      </c>
      <c r="P8" s="117">
        <f t="shared" si="1"/>
        <v>-15.822784810126592</v>
      </c>
      <c r="Q8" s="117">
        <f t="shared" si="1"/>
        <v>4.0462814339218767</v>
      </c>
      <c r="R8" s="117">
        <f t="shared" si="1"/>
        <v>1.3684570646596086</v>
      </c>
      <c r="S8" s="117">
        <f t="shared" si="1"/>
        <v>3.1645569620253156</v>
      </c>
      <c r="T8" s="117" t="e">
        <f t="shared" si="1"/>
        <v>#N/A</v>
      </c>
      <c r="U8" s="117">
        <f t="shared" si="1"/>
        <v>9.4936708860759467</v>
      </c>
      <c r="V8" s="117">
        <f t="shared" si="1"/>
        <v>12.256442489000634</v>
      </c>
      <c r="W8" s="117">
        <f t="shared" si="1"/>
        <v>21.869983948635635</v>
      </c>
      <c r="X8" s="117">
        <f t="shared" si="1"/>
        <v>12.658227848101262</v>
      </c>
      <c r="Y8" s="117">
        <f t="shared" si="1"/>
        <v>0.6476302619958858</v>
      </c>
      <c r="Z8" s="117">
        <f t="shared" si="1"/>
        <v>31.166399143927237</v>
      </c>
      <c r="AA8" s="117">
        <f t="shared" si="1"/>
        <v>0</v>
      </c>
    </row>
    <row r="9" spans="1:29" x14ac:dyDescent="0.25">
      <c r="A9" s="86" t="s">
        <v>50</v>
      </c>
      <c r="B9" s="83">
        <v>89</v>
      </c>
      <c r="C9" s="81">
        <v>86</v>
      </c>
      <c r="D9" s="81">
        <v>84</v>
      </c>
      <c r="E9" s="82">
        <v>81</v>
      </c>
      <c r="F9" s="82">
        <v>79</v>
      </c>
      <c r="G9" s="81">
        <v>76</v>
      </c>
      <c r="H9" s="81">
        <v>74</v>
      </c>
      <c r="I9" s="81">
        <v>71</v>
      </c>
      <c r="J9" s="81">
        <v>68</v>
      </c>
      <c r="K9" s="81">
        <v>65</v>
      </c>
      <c r="L9" s="229" t="s">
        <v>171</v>
      </c>
      <c r="M9" s="229"/>
      <c r="N9" s="91">
        <v>107.55813953488372</v>
      </c>
      <c r="O9" s="91">
        <v>111.48648648648648</v>
      </c>
      <c r="P9" s="91">
        <v>125</v>
      </c>
      <c r="Q9" s="91">
        <v>115.1685393258427</v>
      </c>
      <c r="R9" s="91">
        <v>113.92405063291139</v>
      </c>
      <c r="S9" s="91">
        <v>53.571428571428569</v>
      </c>
      <c r="T9" s="91">
        <v>79.113924050632917</v>
      </c>
      <c r="U9" s="91">
        <v>69.642857142857139</v>
      </c>
      <c r="V9" s="91">
        <v>68.023255813953483</v>
      </c>
      <c r="W9" s="91">
        <v>70.224719101123597</v>
      </c>
      <c r="X9" s="91">
        <v>157.73809523809524</v>
      </c>
      <c r="Y9" s="91">
        <v>151.8987341772152</v>
      </c>
      <c r="Z9" s="91">
        <v>119.18604651162791</v>
      </c>
      <c r="AB9" t="s">
        <v>189</v>
      </c>
      <c r="AC9" s="95">
        <v>64</v>
      </c>
    </row>
    <row r="10" spans="1:29" x14ac:dyDescent="0.25">
      <c r="A10" s="86" t="s">
        <v>49</v>
      </c>
      <c r="B10" s="81">
        <v>88</v>
      </c>
      <c r="C10" s="81">
        <v>85</v>
      </c>
      <c r="D10" s="81">
        <v>82</v>
      </c>
      <c r="E10" s="82">
        <v>80</v>
      </c>
      <c r="F10" s="81">
        <v>77</v>
      </c>
      <c r="G10" s="81">
        <v>75</v>
      </c>
      <c r="H10" s="81">
        <v>72</v>
      </c>
      <c r="I10" s="81">
        <v>69</v>
      </c>
      <c r="J10" s="81">
        <v>67</v>
      </c>
      <c r="K10" s="81">
        <v>64</v>
      </c>
      <c r="L10" s="229" t="s">
        <v>188</v>
      </c>
      <c r="M10" s="229"/>
      <c r="N10" s="91">
        <v>107.55813953488372</v>
      </c>
      <c r="O10" s="91">
        <v>111.48648648648648</v>
      </c>
      <c r="P10" s="91">
        <v>125</v>
      </c>
      <c r="Q10" s="91">
        <v>115.1685393258427</v>
      </c>
      <c r="R10" s="91">
        <v>117.0886075949367</v>
      </c>
      <c r="S10" s="91">
        <v>55.232558139534881</v>
      </c>
      <c r="T10" s="91">
        <v>85.443037974683548</v>
      </c>
      <c r="U10" s="91">
        <v>70.930232558139537</v>
      </c>
      <c r="V10" s="91">
        <v>68.023255813953483</v>
      </c>
      <c r="W10" s="91">
        <v>70.224719101123597</v>
      </c>
      <c r="X10" s="91">
        <v>156.97674418604652</v>
      </c>
      <c r="Y10" s="91">
        <v>151.8987341772152</v>
      </c>
      <c r="Z10" s="91">
        <v>123.59550561797752</v>
      </c>
      <c r="AA10" s="91">
        <v>71.348314606741567</v>
      </c>
      <c r="AB10" t="s">
        <v>189</v>
      </c>
      <c r="AC10" s="95">
        <v>64.400000000000006</v>
      </c>
    </row>
    <row r="11" spans="1:29" x14ac:dyDescent="0.25">
      <c r="N11" s="117">
        <f>N10-N9</f>
        <v>0</v>
      </c>
      <c r="O11" s="117">
        <f t="shared" ref="O11:Z11" si="2">O10-O9</f>
        <v>0</v>
      </c>
      <c r="P11" s="117">
        <f t="shared" si="2"/>
        <v>0</v>
      </c>
      <c r="Q11" s="117">
        <f t="shared" si="2"/>
        <v>0</v>
      </c>
      <c r="R11" s="117">
        <f t="shared" si="2"/>
        <v>3.1645569620253156</v>
      </c>
      <c r="S11" s="117">
        <f t="shared" si="2"/>
        <v>1.6611295681063112</v>
      </c>
      <c r="T11" s="117">
        <f t="shared" si="2"/>
        <v>6.3291139240506311</v>
      </c>
      <c r="U11" s="117">
        <f t="shared" si="2"/>
        <v>1.2873754152823977</v>
      </c>
      <c r="V11" s="117">
        <f t="shared" si="2"/>
        <v>0</v>
      </c>
      <c r="W11" s="117">
        <f t="shared" si="2"/>
        <v>0</v>
      </c>
      <c r="X11" s="117">
        <f t="shared" si="2"/>
        <v>-0.76135105204872389</v>
      </c>
      <c r="Y11" s="117">
        <f t="shared" si="2"/>
        <v>0</v>
      </c>
      <c r="Z11" s="117">
        <f t="shared" si="2"/>
        <v>4.4094591063496154</v>
      </c>
    </row>
    <row r="12" spans="1:29" x14ac:dyDescent="0.25">
      <c r="L12" s="229" t="s">
        <v>202</v>
      </c>
      <c r="M12" s="229"/>
      <c r="N12" s="91">
        <v>107.55813953488372</v>
      </c>
      <c r="O12" s="91">
        <v>111.48648648648648</v>
      </c>
      <c r="P12" s="91">
        <v>127.90697674418605</v>
      </c>
      <c r="Q12" s="91">
        <v>114.53488372093024</v>
      </c>
      <c r="R12" s="91">
        <v>120.25316455696202</v>
      </c>
      <c r="S12" s="91">
        <v>56.179775280898873</v>
      </c>
      <c r="T12" s="91">
        <v>88.607594936708864</v>
      </c>
      <c r="U12" s="91">
        <v>71.348314606741567</v>
      </c>
      <c r="V12" s="91">
        <v>68.023255813953483</v>
      </c>
      <c r="W12" s="91">
        <v>71.348314606741567</v>
      </c>
      <c r="X12" s="91">
        <v>158.42696629213484</v>
      </c>
      <c r="Y12" s="91">
        <v>151.8987341772152</v>
      </c>
      <c r="Z12" s="91">
        <v>126.40449438202248</v>
      </c>
      <c r="AA12" s="91">
        <v>71.348314606741567</v>
      </c>
      <c r="AC12" s="91">
        <v>63.5</v>
      </c>
    </row>
    <row r="13" spans="1:29" x14ac:dyDescent="0.25">
      <c r="N13" s="117">
        <f>N12-N10</f>
        <v>0</v>
      </c>
      <c r="O13" s="117">
        <f t="shared" ref="O13:AA29" si="3">O12-O10</f>
        <v>0</v>
      </c>
      <c r="P13" s="117">
        <f t="shared" si="3"/>
        <v>2.9069767441860535</v>
      </c>
      <c r="Q13" s="117">
        <f t="shared" si="3"/>
        <v>-0.63365560491246242</v>
      </c>
      <c r="R13" s="117">
        <f t="shared" si="3"/>
        <v>3.1645569620253156</v>
      </c>
      <c r="S13" s="117">
        <f t="shared" si="3"/>
        <v>0.94721714136399271</v>
      </c>
      <c r="T13" s="117">
        <f t="shared" si="3"/>
        <v>3.1645569620253156</v>
      </c>
      <c r="U13" s="117">
        <f t="shared" si="3"/>
        <v>0.41808204860203091</v>
      </c>
      <c r="V13" s="117">
        <f t="shared" si="3"/>
        <v>0</v>
      </c>
      <c r="W13" s="117">
        <f t="shared" si="3"/>
        <v>1.1235955056179705</v>
      </c>
      <c r="X13" s="117">
        <f t="shared" si="3"/>
        <v>1.4502221060883187</v>
      </c>
      <c r="Y13" s="117">
        <f t="shared" si="3"/>
        <v>0</v>
      </c>
      <c r="Z13" s="117">
        <f t="shared" si="3"/>
        <v>2.8089887640449547</v>
      </c>
    </row>
    <row r="14" spans="1:29" x14ac:dyDescent="0.25">
      <c r="L14" s="229" t="s">
        <v>208</v>
      </c>
      <c r="M14" s="229"/>
      <c r="N14" s="91">
        <v>113.37209302325581</v>
      </c>
      <c r="O14" s="91">
        <v>114.86486486486487</v>
      </c>
      <c r="P14" s="91">
        <v>129.62962962962962</v>
      </c>
      <c r="Q14" s="91">
        <v>114.53488372093024</v>
      </c>
      <c r="R14" s="91">
        <v>120.25316455696202</v>
      </c>
      <c r="S14" s="91">
        <v>55.555555555555557</v>
      </c>
      <c r="T14" s="91">
        <v>84.459459459459453</v>
      </c>
      <c r="U14" s="91">
        <v>74.074074074074076</v>
      </c>
      <c r="V14" s="91">
        <v>73.837209302325576</v>
      </c>
      <c r="W14" s="91">
        <v>71.348314606741567</v>
      </c>
      <c r="X14" s="91">
        <v>158.64197530864197</v>
      </c>
      <c r="Y14" s="91">
        <v>157.89473684210526</v>
      </c>
      <c r="Z14" s="91">
        <v>126.40449438202248</v>
      </c>
      <c r="AA14" s="91">
        <v>71.348314606741567</v>
      </c>
    </row>
    <row r="15" spans="1:29" x14ac:dyDescent="0.25">
      <c r="N15" s="117">
        <f>N14-N12</f>
        <v>5.8139534883720927</v>
      </c>
      <c r="O15" s="117">
        <f t="shared" si="3"/>
        <v>3.3783783783783861</v>
      </c>
      <c r="P15" s="117">
        <f t="shared" si="3"/>
        <v>1.7226528854435657</v>
      </c>
      <c r="Q15" s="117">
        <f t="shared" si="3"/>
        <v>0</v>
      </c>
      <c r="R15" s="117">
        <f t="shared" si="3"/>
        <v>0</v>
      </c>
      <c r="S15" s="117">
        <f t="shared" si="3"/>
        <v>-0.62421972534331616</v>
      </c>
      <c r="T15" s="117">
        <f t="shared" si="3"/>
        <v>-4.1481354772494115</v>
      </c>
      <c r="U15" s="117">
        <f t="shared" si="3"/>
        <v>2.7257594673325087</v>
      </c>
      <c r="V15" s="117">
        <f t="shared" si="3"/>
        <v>5.8139534883720927</v>
      </c>
      <c r="W15" s="117">
        <f t="shared" si="3"/>
        <v>0</v>
      </c>
      <c r="X15" s="117">
        <f t="shared" si="3"/>
        <v>0.21500901650713899</v>
      </c>
      <c r="Y15" s="117">
        <f t="shared" si="3"/>
        <v>5.9960026648900566</v>
      </c>
      <c r="Z15" s="117">
        <f t="shared" si="3"/>
        <v>0</v>
      </c>
    </row>
    <row r="16" spans="1:29" x14ac:dyDescent="0.25">
      <c r="L16" s="229" t="s">
        <v>212</v>
      </c>
      <c r="M16" s="229"/>
      <c r="N16" s="91">
        <v>116.2790698</v>
      </c>
      <c r="O16" s="91">
        <v>118.24324319999999</v>
      </c>
      <c r="P16" s="91">
        <v>130.86419749999999</v>
      </c>
      <c r="Q16" s="91">
        <v>114.53488369999999</v>
      </c>
      <c r="R16" s="91">
        <v>120.25316460000001</v>
      </c>
      <c r="S16" s="91">
        <v>55.555555560000002</v>
      </c>
      <c r="T16" s="91">
        <v>85.810810810000007</v>
      </c>
      <c r="U16" s="91">
        <v>74.074074069999995</v>
      </c>
      <c r="V16" s="91">
        <v>75.581395349999994</v>
      </c>
      <c r="W16" s="91">
        <v>71.348314610000003</v>
      </c>
      <c r="X16" s="91">
        <v>160.4938272</v>
      </c>
      <c r="Y16" s="91">
        <v>155.06329109999999</v>
      </c>
      <c r="Z16" s="91">
        <v>126.4044944</v>
      </c>
      <c r="AA16" s="91">
        <v>71.348314610000003</v>
      </c>
    </row>
    <row r="17" spans="7:27" x14ac:dyDescent="0.25">
      <c r="N17" s="117">
        <f>N16-N14</f>
        <v>2.9069767767441874</v>
      </c>
      <c r="O17" s="117">
        <f t="shared" si="3"/>
        <v>3.3783783351351246</v>
      </c>
      <c r="P17" s="117">
        <f t="shared" si="3"/>
        <v>1.2345678703703697</v>
      </c>
      <c r="Q17" s="117">
        <f t="shared" si="3"/>
        <v>-2.0930244204464543E-8</v>
      </c>
      <c r="R17" s="117">
        <f t="shared" si="3"/>
        <v>4.3037985619776009E-8</v>
      </c>
      <c r="S17" s="117">
        <f t="shared" si="3"/>
        <v>4.4444448121794267E-9</v>
      </c>
      <c r="T17" s="117">
        <f t="shared" si="3"/>
        <v>1.3513513505405541</v>
      </c>
      <c r="U17" s="117">
        <f t="shared" si="3"/>
        <v>-4.074081516591832E-9</v>
      </c>
      <c r="V17" s="117">
        <f t="shared" si="3"/>
        <v>1.7441860476744182</v>
      </c>
      <c r="W17" s="117">
        <f t="shared" si="3"/>
        <v>3.2584352993580978E-9</v>
      </c>
      <c r="X17" s="117">
        <f t="shared" si="3"/>
        <v>1.8518518913580237</v>
      </c>
      <c r="Y17" s="117">
        <f t="shared" si="3"/>
        <v>-2.8314457421052737</v>
      </c>
      <c r="Z17" s="117">
        <f t="shared" si="3"/>
        <v>1.7977527022594586E-8</v>
      </c>
    </row>
    <row r="18" spans="7:27" x14ac:dyDescent="0.25">
      <c r="L18" s="229" t="s">
        <v>216</v>
      </c>
      <c r="M18" s="229"/>
      <c r="N18" s="91">
        <v>116.27906976744185</v>
      </c>
      <c r="O18" s="91">
        <v>121.62162162162163</v>
      </c>
      <c r="P18" s="91">
        <v>130.8641975308642</v>
      </c>
      <c r="Q18" s="91">
        <v>114.53488372093024</v>
      </c>
      <c r="R18" s="91">
        <v>120.25316455696202</v>
      </c>
      <c r="S18" s="91">
        <v>53.703703703703702</v>
      </c>
      <c r="T18" s="91">
        <v>85.810810810810807</v>
      </c>
      <c r="U18" s="91">
        <v>74.074074074074076</v>
      </c>
      <c r="V18" s="91">
        <v>75.581395348837205</v>
      </c>
      <c r="W18" s="91">
        <v>71.348314606741567</v>
      </c>
      <c r="X18" s="91">
        <v>160.49382716049382</v>
      </c>
      <c r="Y18" s="91">
        <v>156.32911392405063</v>
      </c>
      <c r="Z18" s="91">
        <v>126.40449438202248</v>
      </c>
      <c r="AA18" s="91">
        <v>71.348314606741567</v>
      </c>
    </row>
    <row r="19" spans="7:27" x14ac:dyDescent="0.25">
      <c r="N19" s="117">
        <f>N18-N16</f>
        <v>-3.2558148177486146E-8</v>
      </c>
      <c r="O19" s="117">
        <f t="shared" si="3"/>
        <v>3.3783784216216333</v>
      </c>
      <c r="P19" s="117">
        <f t="shared" si="3"/>
        <v>3.0864214295434067E-8</v>
      </c>
      <c r="Q19" s="117">
        <f t="shared" si="3"/>
        <v>2.0930244204464543E-8</v>
      </c>
      <c r="R19" s="117">
        <f t="shared" si="3"/>
        <v>-4.3037985619776009E-8</v>
      </c>
      <c r="S19" s="117">
        <f t="shared" si="3"/>
        <v>-1.8518518562962996</v>
      </c>
      <c r="T19" s="117">
        <f t="shared" si="3"/>
        <v>8.1080031577585032E-10</v>
      </c>
      <c r="U19" s="117">
        <f t="shared" si="3"/>
        <v>4.074081516591832E-9</v>
      </c>
      <c r="V19" s="117">
        <f t="shared" si="3"/>
        <v>-1.1627889762166888E-9</v>
      </c>
      <c r="W19" s="117">
        <f t="shared" si="3"/>
        <v>-3.2584352993580978E-9</v>
      </c>
      <c r="X19" s="117">
        <f t="shared" si="3"/>
        <v>-3.950617610826157E-8</v>
      </c>
      <c r="Y19" s="117">
        <f t="shared" si="3"/>
        <v>1.2658228240506446</v>
      </c>
      <c r="Z19" s="117">
        <f t="shared" si="3"/>
        <v>-1.7977527022594586E-8</v>
      </c>
    </row>
    <row r="20" spans="7:27" x14ac:dyDescent="0.25">
      <c r="L20" s="229" t="s">
        <v>219</v>
      </c>
      <c r="M20" s="229"/>
      <c r="N20" s="89">
        <v>116.27906976744185</v>
      </c>
      <c r="O20" s="89">
        <v>121.62162162162163</v>
      </c>
      <c r="P20" s="89">
        <v>127.97619047619048</v>
      </c>
      <c r="Q20" s="89">
        <v>114.53488372093024</v>
      </c>
      <c r="R20" s="89">
        <v>123.41772151898734</v>
      </c>
      <c r="S20" s="89">
        <v>54.761904761904759</v>
      </c>
      <c r="T20" s="89">
        <v>89.189189189189193</v>
      </c>
      <c r="U20" s="89">
        <v>71.428571428571431</v>
      </c>
      <c r="V20" s="89">
        <v>75.581395348837205</v>
      </c>
      <c r="W20" s="89">
        <v>72.674418604651166</v>
      </c>
      <c r="X20" s="89">
        <v>160.71428571428572</v>
      </c>
      <c r="Y20" s="89">
        <v>156.32911392405063</v>
      </c>
      <c r="Z20" s="89">
        <v>122.09302325581395</v>
      </c>
      <c r="AA20" s="89">
        <v>71.348314606741567</v>
      </c>
    </row>
    <row r="21" spans="7:27" x14ac:dyDescent="0.25">
      <c r="N21" s="117">
        <f>N20-N18</f>
        <v>0</v>
      </c>
      <c r="O21" s="117">
        <f t="shared" si="3"/>
        <v>0</v>
      </c>
      <c r="P21" s="117">
        <f t="shared" si="3"/>
        <v>-2.8880070546737215</v>
      </c>
      <c r="Q21" s="117">
        <f t="shared" si="3"/>
        <v>0</v>
      </c>
      <c r="R21" s="117">
        <f t="shared" si="3"/>
        <v>3.1645569620253156</v>
      </c>
      <c r="S21" s="117">
        <f t="shared" si="3"/>
        <v>1.0582010582010568</v>
      </c>
      <c r="T21" s="117">
        <f t="shared" si="3"/>
        <v>3.3783783783783861</v>
      </c>
      <c r="U21" s="117">
        <f t="shared" si="3"/>
        <v>-2.6455026455026456</v>
      </c>
      <c r="V21" s="117">
        <f t="shared" si="3"/>
        <v>0</v>
      </c>
      <c r="W21" s="117">
        <f t="shared" si="3"/>
        <v>1.3261039979095983</v>
      </c>
      <c r="X21" s="117">
        <f t="shared" si="3"/>
        <v>0.22045855379190016</v>
      </c>
      <c r="Y21" s="117">
        <f t="shared" si="3"/>
        <v>0</v>
      </c>
      <c r="Z21" s="117">
        <f t="shared" si="3"/>
        <v>-4.3114711262085308</v>
      </c>
    </row>
    <row r="22" spans="7:27" x14ac:dyDescent="0.25">
      <c r="L22" s="229" t="s">
        <v>222</v>
      </c>
      <c r="M22" s="229"/>
      <c r="N22" s="89">
        <v>116.27906976744185</v>
      </c>
      <c r="O22" s="89">
        <v>121.62162162162163</v>
      </c>
      <c r="P22" s="89">
        <v>127.97619047619048</v>
      </c>
      <c r="Q22" s="89">
        <v>115.1685393258427</v>
      </c>
      <c r="R22" s="89">
        <v>120.25316455696202</v>
      </c>
      <c r="S22" s="89">
        <v>56.547619047619051</v>
      </c>
      <c r="T22" s="89">
        <v>82.278481012658233</v>
      </c>
      <c r="U22" s="89">
        <v>75.595238095238102</v>
      </c>
      <c r="V22" s="89">
        <v>75.581395348837205</v>
      </c>
      <c r="W22" s="89">
        <v>67.415730337078656</v>
      </c>
      <c r="X22" s="89">
        <v>163.6904761904762</v>
      </c>
      <c r="Y22" s="89">
        <v>156.32911392405063</v>
      </c>
      <c r="Z22" s="89">
        <v>125</v>
      </c>
      <c r="AA22" s="89">
        <v>71.348314606741567</v>
      </c>
    </row>
    <row r="23" spans="7:27" x14ac:dyDescent="0.25">
      <c r="N23" s="117">
        <f>N22-N20</f>
        <v>0</v>
      </c>
      <c r="O23" s="117">
        <f t="shared" si="3"/>
        <v>0</v>
      </c>
      <c r="P23" s="117">
        <f t="shared" si="3"/>
        <v>0</v>
      </c>
      <c r="Q23" s="117">
        <f t="shared" si="3"/>
        <v>0.63365560491246242</v>
      </c>
      <c r="R23" s="117">
        <f t="shared" si="3"/>
        <v>-3.1645569620253156</v>
      </c>
      <c r="S23" s="117">
        <f t="shared" si="3"/>
        <v>1.7857142857142918</v>
      </c>
      <c r="T23" s="117">
        <f t="shared" si="3"/>
        <v>-6.9107081765309601</v>
      </c>
      <c r="U23" s="117">
        <f t="shared" si="3"/>
        <v>4.1666666666666714</v>
      </c>
      <c r="V23" s="117">
        <f t="shared" si="3"/>
        <v>0</v>
      </c>
      <c r="W23" s="117">
        <f t="shared" si="3"/>
        <v>-5.2586882675725093</v>
      </c>
      <c r="X23" s="117">
        <f t="shared" si="3"/>
        <v>2.9761904761904816</v>
      </c>
      <c r="Y23" s="117">
        <f t="shared" si="3"/>
        <v>0</v>
      </c>
      <c r="Z23" s="117">
        <f t="shared" si="3"/>
        <v>2.9069767441860535</v>
      </c>
      <c r="AA23" s="117">
        <f t="shared" si="3"/>
        <v>0</v>
      </c>
    </row>
    <row r="24" spans="7:27" x14ac:dyDescent="0.25">
      <c r="L24" s="229" t="s">
        <v>225</v>
      </c>
      <c r="M24" s="229"/>
      <c r="N24" s="89">
        <v>116.27906976744185</v>
      </c>
      <c r="O24" s="89">
        <v>121.62162162162163</v>
      </c>
      <c r="P24" s="89">
        <v>127.90697674418605</v>
      </c>
      <c r="Q24" s="89">
        <v>117.97752808988764</v>
      </c>
      <c r="R24" s="89">
        <v>120.25316455696202</v>
      </c>
      <c r="S24" s="89">
        <v>56.179775280898873</v>
      </c>
      <c r="T24" s="89">
        <v>88.607594936708864</v>
      </c>
      <c r="U24" s="89">
        <v>73.033707865168537</v>
      </c>
      <c r="V24" s="89">
        <v>75.581395348837205</v>
      </c>
      <c r="W24" s="89">
        <v>67.415730337078656</v>
      </c>
      <c r="X24" s="89">
        <v>162.7906976744186</v>
      </c>
      <c r="Y24" s="89">
        <v>156.32911392405063</v>
      </c>
      <c r="Z24" s="89">
        <v>123.59550561797752</v>
      </c>
      <c r="AA24" s="89">
        <v>74.157303370786522</v>
      </c>
    </row>
    <row r="25" spans="7:27" x14ac:dyDescent="0.25">
      <c r="N25" s="117">
        <f>N24-N22</f>
        <v>0</v>
      </c>
      <c r="O25" s="117">
        <f t="shared" si="3"/>
        <v>0</v>
      </c>
      <c r="P25" s="117">
        <f t="shared" si="3"/>
        <v>-6.9213732004428152E-2</v>
      </c>
      <c r="Q25" s="117">
        <f t="shared" si="3"/>
        <v>2.8089887640449405</v>
      </c>
      <c r="R25" s="117">
        <f t="shared" si="3"/>
        <v>0</v>
      </c>
      <c r="S25" s="117">
        <f t="shared" si="3"/>
        <v>-0.36784376672017771</v>
      </c>
      <c r="T25" s="117">
        <f t="shared" si="3"/>
        <v>6.3291139240506311</v>
      </c>
      <c r="U25" s="117">
        <f t="shared" si="3"/>
        <v>-2.5615302300695646</v>
      </c>
      <c r="V25" s="117">
        <f t="shared" si="3"/>
        <v>0</v>
      </c>
      <c r="W25" s="117">
        <f t="shared" si="3"/>
        <v>0</v>
      </c>
      <c r="X25" s="117">
        <f t="shared" si="3"/>
        <v>-0.89977851605760861</v>
      </c>
      <c r="Y25" s="117">
        <f t="shared" si="3"/>
        <v>0</v>
      </c>
      <c r="Z25" s="117">
        <f t="shared" si="3"/>
        <v>-1.4044943820224773</v>
      </c>
      <c r="AA25" s="117">
        <f t="shared" si="3"/>
        <v>2.8089887640449547</v>
      </c>
    </row>
    <row r="26" spans="7:27" x14ac:dyDescent="0.25">
      <c r="G26" t="s">
        <v>224</v>
      </c>
      <c r="L26" s="229" t="s">
        <v>232</v>
      </c>
      <c r="M26" s="229"/>
      <c r="N26" s="89">
        <v>116.27906976744185</v>
      </c>
      <c r="O26" s="89">
        <v>121.62162162162163</v>
      </c>
      <c r="P26" s="89">
        <v>126.58227848101266</v>
      </c>
      <c r="Q26" s="89">
        <v>117.97752808988764</v>
      </c>
      <c r="R26" s="89">
        <v>120.25316455696202</v>
      </c>
      <c r="S26" s="89">
        <v>56.962025316455694</v>
      </c>
      <c r="T26" s="89" t="e">
        <v>#N/A</v>
      </c>
      <c r="U26" s="89">
        <v>75.949367088607602</v>
      </c>
      <c r="V26" s="89">
        <v>75.581395348837205</v>
      </c>
      <c r="W26" s="89">
        <v>67.415730337078656</v>
      </c>
      <c r="X26" s="89">
        <v>151.8987341772152</v>
      </c>
      <c r="Y26" s="89">
        <v>156.32911392405063</v>
      </c>
      <c r="Z26" s="89">
        <v>123.59550561797752</v>
      </c>
      <c r="AA26" s="89">
        <v>74.157303370786522</v>
      </c>
    </row>
    <row r="27" spans="7:27" x14ac:dyDescent="0.25">
      <c r="N27" s="117">
        <f>N26-N24</f>
        <v>0</v>
      </c>
      <c r="O27" s="117">
        <f t="shared" si="3"/>
        <v>0</v>
      </c>
      <c r="P27" s="117">
        <f t="shared" si="3"/>
        <v>-1.3246982631733886</v>
      </c>
      <c r="Q27" s="117">
        <f t="shared" si="3"/>
        <v>0</v>
      </c>
      <c r="R27" s="117">
        <f t="shared" si="3"/>
        <v>0</v>
      </c>
      <c r="S27" s="117">
        <f t="shared" si="3"/>
        <v>0.78225003555682093</v>
      </c>
      <c r="T27" s="117" t="e">
        <f t="shared" si="3"/>
        <v>#N/A</v>
      </c>
      <c r="U27" s="117">
        <f t="shared" si="3"/>
        <v>2.9156592234390644</v>
      </c>
      <c r="V27" s="117">
        <f t="shared" si="3"/>
        <v>0</v>
      </c>
      <c r="W27" s="117">
        <f t="shared" si="3"/>
        <v>0</v>
      </c>
      <c r="X27" s="117">
        <f t="shared" si="3"/>
        <v>-10.891963497203392</v>
      </c>
      <c r="Y27" s="117">
        <f t="shared" si="3"/>
        <v>0</v>
      </c>
      <c r="Z27" s="117">
        <f t="shared" si="3"/>
        <v>0</v>
      </c>
      <c r="AA27" s="117">
        <f t="shared" si="3"/>
        <v>0</v>
      </c>
    </row>
    <row r="28" spans="7:27" x14ac:dyDescent="0.25">
      <c r="L28" s="230" t="s">
        <v>233</v>
      </c>
      <c r="M28" s="230"/>
      <c r="N28" s="89">
        <v>116.27906976744185</v>
      </c>
      <c r="O28" s="89">
        <v>121.62162162162163</v>
      </c>
      <c r="P28" s="89">
        <v>126.58227848101266</v>
      </c>
      <c r="Q28" s="89">
        <v>117.97752808988764</v>
      </c>
      <c r="R28" s="89">
        <v>120.25316455696202</v>
      </c>
      <c r="S28" s="89">
        <v>56.962025316455694</v>
      </c>
      <c r="T28" s="89" t="e">
        <v>#N/A</v>
      </c>
      <c r="U28" s="89">
        <v>75.949367088607602</v>
      </c>
      <c r="V28" s="89">
        <v>75.581395348837205</v>
      </c>
      <c r="W28" s="89">
        <v>67.415730337078656</v>
      </c>
      <c r="X28" s="89">
        <v>158.22784810126583</v>
      </c>
      <c r="Y28" s="89">
        <v>156.32911392405063</v>
      </c>
      <c r="Z28" s="89">
        <v>123.59550561797752</v>
      </c>
      <c r="AA28" s="89">
        <v>74.157303370786522</v>
      </c>
    </row>
    <row r="29" spans="7:27" x14ac:dyDescent="0.25">
      <c r="N29" s="117">
        <f>N28-N26</f>
        <v>0</v>
      </c>
      <c r="O29" s="117">
        <f t="shared" si="3"/>
        <v>0</v>
      </c>
      <c r="P29" s="117">
        <f t="shared" si="3"/>
        <v>0</v>
      </c>
      <c r="Q29" s="117">
        <f t="shared" si="3"/>
        <v>0</v>
      </c>
      <c r="R29" s="117">
        <f t="shared" si="3"/>
        <v>0</v>
      </c>
      <c r="S29" s="117">
        <f t="shared" si="3"/>
        <v>0</v>
      </c>
      <c r="T29" s="117" t="e">
        <f t="shared" si="3"/>
        <v>#N/A</v>
      </c>
      <c r="U29" s="117">
        <f t="shared" si="3"/>
        <v>0</v>
      </c>
      <c r="V29" s="117">
        <f t="shared" si="3"/>
        <v>0</v>
      </c>
      <c r="W29" s="117">
        <f t="shared" si="3"/>
        <v>0</v>
      </c>
      <c r="X29" s="117">
        <f t="shared" si="3"/>
        <v>6.3291139240506311</v>
      </c>
      <c r="Y29" s="117">
        <f t="shared" si="3"/>
        <v>0</v>
      </c>
      <c r="Z29" s="117">
        <f t="shared" si="3"/>
        <v>0</v>
      </c>
      <c r="AA29" s="117">
        <f t="shared" si="3"/>
        <v>0</v>
      </c>
    </row>
    <row r="30" spans="7:27" x14ac:dyDescent="0.25">
      <c r="L30" s="229" t="s">
        <v>234</v>
      </c>
      <c r="M30" s="229"/>
    </row>
  </sheetData>
  <mergeCells count="13">
    <mergeCell ref="L26:M26"/>
    <mergeCell ref="L28:M28"/>
    <mergeCell ref="L30:M30"/>
    <mergeCell ref="L24:M24"/>
    <mergeCell ref="L3:L5"/>
    <mergeCell ref="L10:M10"/>
    <mergeCell ref="L12:M12"/>
    <mergeCell ref="L14:M14"/>
    <mergeCell ref="L22:M22"/>
    <mergeCell ref="L20:M20"/>
    <mergeCell ref="L18:M18"/>
    <mergeCell ref="L16:M16"/>
    <mergeCell ref="L9:M9"/>
  </mergeCells>
  <conditionalFormatting sqref="N11:Z11">
    <cfRule type="colorScale" priority="11">
      <colorScale>
        <cfvo type="min"/>
        <cfvo type="percentile" val="50"/>
        <cfvo type="max"/>
        <color rgb="FFF8696B"/>
        <color rgb="FFFFEB84"/>
        <color rgb="FF63BE7B"/>
      </colorScale>
    </cfRule>
  </conditionalFormatting>
  <conditionalFormatting sqref="N8:AA8">
    <cfRule type="colorScale" priority="10">
      <colorScale>
        <cfvo type="min"/>
        <cfvo type="percentile" val="50"/>
        <cfvo type="max"/>
        <color rgb="FFF8696B"/>
        <color rgb="FFFFEB84"/>
        <color rgb="FF63BE7B"/>
      </colorScale>
    </cfRule>
  </conditionalFormatting>
  <conditionalFormatting sqref="N13:Z13">
    <cfRule type="colorScale" priority="9">
      <colorScale>
        <cfvo type="min"/>
        <cfvo type="percentile" val="50"/>
        <cfvo type="max"/>
        <color rgb="FFF8696B"/>
        <color rgb="FFFFEB84"/>
        <color rgb="FF63BE7B"/>
      </colorScale>
    </cfRule>
  </conditionalFormatting>
  <conditionalFormatting sqref="N15:Z15">
    <cfRule type="colorScale" priority="8">
      <colorScale>
        <cfvo type="min"/>
        <cfvo type="percentile" val="50"/>
        <cfvo type="max"/>
        <color rgb="FFF8696B"/>
        <color rgb="FFFFEB84"/>
        <color rgb="FF63BE7B"/>
      </colorScale>
    </cfRule>
  </conditionalFormatting>
  <conditionalFormatting sqref="N17:Z17">
    <cfRule type="colorScale" priority="7">
      <colorScale>
        <cfvo type="min"/>
        <cfvo type="percentile" val="50"/>
        <cfvo type="max"/>
        <color rgb="FFF8696B"/>
        <color rgb="FFFFEB84"/>
        <color rgb="FF63BE7B"/>
      </colorScale>
    </cfRule>
  </conditionalFormatting>
  <conditionalFormatting sqref="N19:Z19">
    <cfRule type="colorScale" priority="6">
      <colorScale>
        <cfvo type="min"/>
        <cfvo type="percentile" val="50"/>
        <cfvo type="max"/>
        <color rgb="FFF8696B"/>
        <color rgb="FFFFEB84"/>
        <color rgb="FF63BE7B"/>
      </colorScale>
    </cfRule>
  </conditionalFormatting>
  <conditionalFormatting sqref="N21:Z21">
    <cfRule type="colorScale" priority="5">
      <colorScale>
        <cfvo type="min"/>
        <cfvo type="percentile" val="50"/>
        <cfvo type="max"/>
        <color rgb="FFF8696B"/>
        <color rgb="FFFFEB84"/>
        <color rgb="FF63BE7B"/>
      </colorScale>
    </cfRule>
  </conditionalFormatting>
  <conditionalFormatting sqref="N23:AA23">
    <cfRule type="colorScale" priority="4">
      <colorScale>
        <cfvo type="min"/>
        <cfvo type="percentile" val="50"/>
        <cfvo type="max"/>
        <color rgb="FFF8696B"/>
        <color rgb="FFFFEB84"/>
        <color rgb="FF63BE7B"/>
      </colorScale>
    </cfRule>
  </conditionalFormatting>
  <conditionalFormatting sqref="N25:AA25">
    <cfRule type="colorScale" priority="3">
      <colorScale>
        <cfvo type="min"/>
        <cfvo type="percentile" val="50"/>
        <cfvo type="max"/>
        <color rgb="FFF8696B"/>
        <color rgb="FFFFEB84"/>
        <color rgb="FF63BE7B"/>
      </colorScale>
    </cfRule>
  </conditionalFormatting>
  <conditionalFormatting sqref="N27:AA27">
    <cfRule type="colorScale" priority="2">
      <colorScale>
        <cfvo type="min"/>
        <cfvo type="percentile" val="50"/>
        <cfvo type="max"/>
        <color rgb="FFF8696B"/>
        <color rgb="FFFFEB84"/>
        <color rgb="FF63BE7B"/>
      </colorScale>
    </cfRule>
  </conditionalFormatting>
  <conditionalFormatting sqref="N29:AA29">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DR234"/>
  <sheetViews>
    <sheetView tabSelected="1" topLeftCell="V1" zoomScale="70" zoomScaleNormal="70" workbookViewId="0">
      <pane ySplit="1" topLeftCell="A200" activePane="bottomLeft" state="frozen"/>
      <selection pane="bottomLeft" activeCell="BF233" sqref="BF233"/>
    </sheetView>
  </sheetViews>
  <sheetFormatPr defaultColWidth="9.140625" defaultRowHeight="15" x14ac:dyDescent="0.25"/>
  <cols>
    <col min="1" max="1" width="5.7109375" style="10" bestFit="1" customWidth="1"/>
    <col min="2" max="2" width="6" style="5" bestFit="1" customWidth="1"/>
    <col min="3" max="3" width="3" style="5" bestFit="1" customWidth="1"/>
    <col min="4" max="4" width="3.85546875" style="5" bestFit="1" customWidth="1"/>
    <col min="5" max="5" width="2" style="5" bestFit="1" customWidth="1"/>
    <col min="6" max="6" width="2" style="10" customWidth="1"/>
    <col min="7" max="7" width="5" style="31" bestFit="1" customWidth="1"/>
    <col min="8" max="8" width="4" style="31" bestFit="1" customWidth="1"/>
    <col min="9" max="9" width="3.85546875" style="31" bestFit="1" customWidth="1"/>
    <col min="10" max="10" width="2" style="31" bestFit="1" customWidth="1"/>
    <col min="11" max="11" width="2" style="10" customWidth="1"/>
    <col min="12" max="12" width="7.28515625" style="70" bestFit="1" customWidth="1"/>
    <col min="13" max="13" width="4" style="70" bestFit="1" customWidth="1"/>
    <col min="14" max="14" width="3.85546875" style="70" bestFit="1" customWidth="1"/>
    <col min="15" max="15" width="4" style="70" customWidth="1"/>
    <col min="16" max="16" width="2" style="10" customWidth="1"/>
    <col min="17" max="17" width="6" style="74" bestFit="1" customWidth="1"/>
    <col min="18" max="18" width="3" style="74" bestFit="1" customWidth="1"/>
    <col min="19" max="19" width="3.85546875" style="74" bestFit="1" customWidth="1"/>
    <col min="20" max="20" width="2" style="74" bestFit="1" customWidth="1"/>
    <col min="21" max="21" width="2" style="10" customWidth="1"/>
    <col min="22" max="22" width="6" style="78" bestFit="1" customWidth="1"/>
    <col min="23" max="23" width="4" style="78" bestFit="1" customWidth="1"/>
    <col min="24" max="24" width="3.85546875" style="78" bestFit="1" customWidth="1"/>
    <col min="25" max="25" width="2" style="78" bestFit="1" customWidth="1"/>
    <col min="26" max="26" width="2" style="10" customWidth="1"/>
    <col min="27" max="27" width="6" style="78" bestFit="1" customWidth="1"/>
    <col min="28" max="28" width="4" style="78" bestFit="1" customWidth="1"/>
    <col min="29" max="29" width="3.85546875" style="78" bestFit="1" customWidth="1"/>
    <col min="30" max="30" width="3.42578125" style="78" bestFit="1" customWidth="1"/>
    <col min="31" max="31" width="2" style="10" customWidth="1"/>
    <col min="32" max="32" width="6.28515625" style="7" bestFit="1" customWidth="1"/>
    <col min="33" max="33" width="3" style="7" bestFit="1" customWidth="1"/>
    <col min="34" max="34" width="3.85546875" style="7" bestFit="1" customWidth="1"/>
    <col min="35" max="35" width="3.7109375" style="7" customWidth="1"/>
    <col min="36" max="36" width="2" style="10" customWidth="1"/>
    <col min="37" max="37" width="6.28515625" style="22" bestFit="1" customWidth="1"/>
    <col min="38" max="38" width="5.140625" style="22" bestFit="1" customWidth="1"/>
    <col min="39" max="39" width="3.85546875" style="22" bestFit="1" customWidth="1"/>
    <col min="40" max="40" width="2" style="22" bestFit="1" customWidth="1"/>
    <col min="41" max="41" width="2" style="10" customWidth="1"/>
    <col min="42" max="42" width="6.28515625" style="22" bestFit="1" customWidth="1"/>
    <col min="43" max="43" width="5.140625" style="22" bestFit="1" customWidth="1"/>
    <col min="44" max="44" width="3.85546875" style="22" bestFit="1" customWidth="1"/>
    <col min="45" max="45" width="2" style="22" bestFit="1" customWidth="1"/>
    <col min="46" max="46" width="2" style="10" customWidth="1"/>
    <col min="47" max="47" width="6.28515625" style="30" bestFit="1" customWidth="1"/>
    <col min="48" max="48" width="3" style="30" bestFit="1" customWidth="1"/>
    <col min="49" max="49" width="3.85546875" style="30" bestFit="1" customWidth="1"/>
    <col min="50" max="50" width="4.140625" style="30" bestFit="1" customWidth="1"/>
    <col min="51" max="51" width="2" style="10" customWidth="1"/>
    <col min="52" max="52" width="6.28515625" style="69" bestFit="1" customWidth="1"/>
    <col min="53" max="53" width="4.42578125" style="69" bestFit="1" customWidth="1"/>
    <col min="54" max="54" width="3.85546875" style="69" bestFit="1" customWidth="1"/>
    <col min="55" max="55" width="2" style="69" bestFit="1" customWidth="1"/>
    <col min="56" max="57" width="2" style="10" customWidth="1"/>
    <col min="58" max="58" width="6.28515625" style="69" bestFit="1" customWidth="1"/>
    <col min="59" max="59" width="3" style="69" bestFit="1" customWidth="1"/>
    <col min="60" max="60" width="3.85546875" style="69" bestFit="1" customWidth="1"/>
    <col min="61" max="61" width="2" style="69" bestFit="1" customWidth="1"/>
    <col min="62" max="62" width="2" style="10" customWidth="1"/>
    <col min="63" max="63" width="6" style="72" bestFit="1" customWidth="1"/>
    <col min="64" max="64" width="3" style="72" bestFit="1" customWidth="1"/>
    <col min="65" max="65" width="3.85546875" style="72" bestFit="1" customWidth="1"/>
    <col min="66" max="66" width="2" style="72" customWidth="1"/>
    <col min="67" max="67" width="2" style="10" customWidth="1"/>
    <col min="68" max="68" width="6" style="183" bestFit="1" customWidth="1"/>
    <col min="69" max="69" width="3" style="183" bestFit="1" customWidth="1"/>
    <col min="70" max="70" width="3.85546875" style="183" bestFit="1" customWidth="1"/>
    <col min="71" max="71" width="2" style="183" customWidth="1"/>
    <col min="72" max="73" width="2" style="10" customWidth="1"/>
    <col min="74" max="74" width="6" style="132" bestFit="1" customWidth="1"/>
    <col min="75" max="75" width="3" style="132" bestFit="1" customWidth="1"/>
    <col min="76" max="76" width="3.85546875" style="132" bestFit="1" customWidth="1"/>
    <col min="77" max="77" width="2" style="132" customWidth="1"/>
    <col min="78" max="78" width="2" style="10" customWidth="1"/>
    <col min="79" max="79" width="6" style="137" bestFit="1" customWidth="1"/>
    <col min="80" max="80" width="3" style="137" bestFit="1" customWidth="1"/>
    <col min="81" max="81" width="3.85546875" style="137" bestFit="1" customWidth="1"/>
    <col min="82" max="82" width="4.140625" style="137" bestFit="1" customWidth="1"/>
    <col min="83" max="83" width="2" style="10" customWidth="1"/>
    <col min="84" max="84" width="6" style="144" bestFit="1" customWidth="1"/>
    <col min="85" max="85" width="4" style="144" bestFit="1" customWidth="1"/>
    <col min="86" max="86" width="3.85546875" style="144" bestFit="1" customWidth="1"/>
    <col min="87" max="87" width="4.140625" style="144" bestFit="1" customWidth="1"/>
    <col min="88" max="88" width="2" style="10" customWidth="1"/>
    <col min="89" max="89" width="6" style="93" bestFit="1" customWidth="1"/>
    <col min="90" max="90" width="3" style="93" bestFit="1" customWidth="1"/>
    <col min="91" max="91" width="3.85546875" style="93" bestFit="1" customWidth="1"/>
    <col min="92" max="92" width="2" style="93" customWidth="1"/>
    <col min="93" max="93" width="2" style="10" customWidth="1"/>
    <col min="94" max="94" width="7.42578125" style="5" bestFit="1" customWidth="1"/>
    <col min="95" max="95" width="3" style="5" bestFit="1" customWidth="1"/>
    <col min="96" max="96" width="3.85546875" style="5" bestFit="1" customWidth="1"/>
    <col min="97" max="97" width="4.140625" style="5" bestFit="1" customWidth="1"/>
    <col min="98" max="98" width="2" style="10" customWidth="1"/>
    <col min="99" max="99" width="6" style="6" bestFit="1" customWidth="1"/>
    <col min="100" max="100" width="3" style="6" bestFit="1" customWidth="1"/>
    <col min="101" max="101" width="3.85546875" style="6" bestFit="1" customWidth="1"/>
    <col min="102" max="102" width="2.140625" style="6" bestFit="1" customWidth="1"/>
    <col min="103" max="103" width="2" style="10" customWidth="1"/>
    <col min="104" max="104" width="6" style="20" bestFit="1" customWidth="1"/>
    <col min="105" max="105" width="3" style="20" bestFit="1" customWidth="1"/>
    <col min="106" max="106" width="3.85546875" style="20" bestFit="1" customWidth="1"/>
    <col min="107" max="107" width="2" style="20" bestFit="1" customWidth="1"/>
    <col min="108" max="108" width="2" style="10" customWidth="1"/>
    <col min="109" max="109" width="6" style="5" bestFit="1" customWidth="1"/>
    <col min="110" max="110" width="3" style="5" bestFit="1" customWidth="1"/>
    <col min="111" max="111" width="3.85546875" style="5" bestFit="1" customWidth="1"/>
    <col min="112" max="112" width="2" style="5" customWidth="1"/>
    <col min="113" max="113" width="2" style="10" customWidth="1"/>
    <col min="114" max="114" width="6" style="141" bestFit="1" customWidth="1"/>
    <col min="115" max="115" width="3" style="141" bestFit="1" customWidth="1"/>
    <col min="116" max="116" width="3.85546875" style="141" bestFit="1" customWidth="1"/>
    <col min="117" max="117" width="2" style="141" customWidth="1"/>
    <col min="118" max="118" width="2" style="10" customWidth="1"/>
    <col min="119" max="119" width="7.42578125" style="183" bestFit="1" customWidth="1"/>
    <col min="120" max="120" width="4.42578125" style="183" bestFit="1" customWidth="1"/>
    <col min="121" max="121" width="3.85546875" style="183" bestFit="1" customWidth="1"/>
    <col min="122" max="122" width="2" style="183" customWidth="1"/>
    <col min="123" max="16384" width="9.140625" style="10"/>
  </cols>
  <sheetData>
    <row r="1" spans="1:122" x14ac:dyDescent="0.25">
      <c r="B1" s="232" t="s">
        <v>35</v>
      </c>
      <c r="C1" s="232"/>
      <c r="D1" s="232"/>
      <c r="E1" s="232"/>
      <c r="G1" s="241" t="s">
        <v>53</v>
      </c>
      <c r="H1" s="241"/>
      <c r="I1" s="241"/>
      <c r="J1" s="241"/>
      <c r="L1" s="236" t="s">
        <v>56</v>
      </c>
      <c r="M1" s="237"/>
      <c r="N1" s="237"/>
      <c r="O1" s="238"/>
      <c r="Q1" s="243" t="s">
        <v>116</v>
      </c>
      <c r="R1" s="244"/>
      <c r="S1" s="244"/>
      <c r="T1" s="245"/>
      <c r="V1" s="246" t="s">
        <v>121</v>
      </c>
      <c r="W1" s="247"/>
      <c r="X1" s="247"/>
      <c r="Y1" s="248"/>
      <c r="AA1" s="246" t="s">
        <v>260</v>
      </c>
      <c r="AB1" s="247"/>
      <c r="AC1" s="247"/>
      <c r="AD1" s="247"/>
      <c r="AF1" s="234" t="s">
        <v>39</v>
      </c>
      <c r="AG1" s="234"/>
      <c r="AH1" s="234"/>
      <c r="AI1" s="234"/>
      <c r="AK1" s="235" t="s">
        <v>40</v>
      </c>
      <c r="AL1" s="235"/>
      <c r="AM1" s="235"/>
      <c r="AN1" s="235"/>
      <c r="AP1" s="235" t="s">
        <v>262</v>
      </c>
      <c r="AQ1" s="235"/>
      <c r="AR1" s="235"/>
      <c r="AS1" s="235"/>
      <c r="AU1" s="240" t="s">
        <v>44</v>
      </c>
      <c r="AV1" s="240"/>
      <c r="AW1" s="240"/>
      <c r="AX1" s="240"/>
      <c r="AZ1" s="242" t="s">
        <v>264</v>
      </c>
      <c r="BA1" s="242"/>
      <c r="BB1" s="242"/>
      <c r="BC1" s="242"/>
      <c r="BF1" s="242" t="s">
        <v>61</v>
      </c>
      <c r="BG1" s="242"/>
      <c r="BH1" s="242"/>
      <c r="BI1" s="242"/>
      <c r="BK1" s="239" t="s">
        <v>112</v>
      </c>
      <c r="BL1" s="239"/>
      <c r="BM1" s="239"/>
      <c r="BN1" s="239"/>
      <c r="BP1" s="231" t="s">
        <v>261</v>
      </c>
      <c r="BQ1" s="231"/>
      <c r="BR1" s="231"/>
      <c r="BS1" s="231"/>
      <c r="BV1" s="231" t="s">
        <v>230</v>
      </c>
      <c r="BW1" s="231"/>
      <c r="BX1" s="231"/>
      <c r="BY1" s="231"/>
      <c r="CA1" s="231" t="s">
        <v>231</v>
      </c>
      <c r="CB1" s="231"/>
      <c r="CC1" s="231"/>
      <c r="CD1" s="231"/>
      <c r="CF1" s="231" t="s">
        <v>245</v>
      </c>
      <c r="CG1" s="231"/>
      <c r="CH1" s="231"/>
      <c r="CI1" s="231"/>
      <c r="CK1" s="249" t="s">
        <v>191</v>
      </c>
      <c r="CL1" s="249"/>
      <c r="CM1" s="249"/>
      <c r="CN1" s="249"/>
      <c r="CP1" s="232" t="s">
        <v>43</v>
      </c>
      <c r="CQ1" s="232"/>
      <c r="CR1" s="232"/>
      <c r="CS1" s="232"/>
      <c r="CU1" s="233" t="s">
        <v>38</v>
      </c>
      <c r="CV1" s="233"/>
      <c r="CW1" s="233"/>
      <c r="CX1" s="233"/>
      <c r="CZ1" s="250" t="s">
        <v>113</v>
      </c>
      <c r="DA1" s="250"/>
      <c r="DB1" s="250"/>
      <c r="DC1" s="250"/>
      <c r="DE1" s="231" t="s">
        <v>227</v>
      </c>
      <c r="DF1" s="231"/>
      <c r="DG1" s="231"/>
      <c r="DH1" s="231"/>
      <c r="DJ1" s="231" t="s">
        <v>239</v>
      </c>
      <c r="DK1" s="231"/>
      <c r="DL1" s="231"/>
      <c r="DM1" s="231"/>
      <c r="DO1" s="231" t="s">
        <v>263</v>
      </c>
      <c r="DP1" s="231"/>
      <c r="DQ1" s="231"/>
      <c r="DR1" s="231"/>
    </row>
    <row r="2" spans="1:122" x14ac:dyDescent="0.25">
      <c r="A2" s="87" t="s">
        <v>54</v>
      </c>
    </row>
    <row r="3" spans="1:122" x14ac:dyDescent="0.25">
      <c r="B3" s="5" t="s">
        <v>36</v>
      </c>
      <c r="C3" s="5" t="s">
        <v>47</v>
      </c>
      <c r="D3" s="8" t="s">
        <v>49</v>
      </c>
      <c r="E3" s="5" t="s">
        <v>37</v>
      </c>
      <c r="G3" s="31">
        <v>80</v>
      </c>
      <c r="H3" s="31" t="s">
        <v>46</v>
      </c>
      <c r="I3" s="31" t="s">
        <v>49</v>
      </c>
      <c r="J3" s="31" t="s">
        <v>37</v>
      </c>
      <c r="AF3" s="7">
        <v>45</v>
      </c>
      <c r="AG3" s="7" t="s">
        <v>47</v>
      </c>
      <c r="AH3" s="7" t="s">
        <v>50</v>
      </c>
      <c r="AI3" s="7" t="s">
        <v>37</v>
      </c>
      <c r="AK3" s="22">
        <v>60</v>
      </c>
      <c r="AL3" s="22" t="s">
        <v>46</v>
      </c>
      <c r="AM3" s="22" t="s">
        <v>49</v>
      </c>
      <c r="AN3" s="22" t="s">
        <v>37</v>
      </c>
      <c r="AS3" s="22" t="s">
        <v>37</v>
      </c>
      <c r="AU3" s="30">
        <v>52</v>
      </c>
      <c r="AV3" s="30" t="s">
        <v>45</v>
      </c>
      <c r="AW3" s="30" t="s">
        <v>49</v>
      </c>
      <c r="AX3" s="30" t="s">
        <v>37</v>
      </c>
      <c r="CP3" s="5">
        <v>112.5</v>
      </c>
      <c r="CQ3" s="5" t="s">
        <v>45</v>
      </c>
      <c r="CR3" s="5" t="s">
        <v>49</v>
      </c>
      <c r="CS3" s="5" t="s">
        <v>37</v>
      </c>
      <c r="CU3" s="6">
        <v>100</v>
      </c>
      <c r="CV3" s="6" t="s">
        <v>48</v>
      </c>
      <c r="CW3" s="6" t="s">
        <v>49</v>
      </c>
    </row>
    <row r="4" spans="1:122" x14ac:dyDescent="0.25">
      <c r="B4" s="5">
        <v>97.5</v>
      </c>
      <c r="C4" s="5" t="s">
        <v>47</v>
      </c>
      <c r="D4" s="8" t="s">
        <v>50</v>
      </c>
      <c r="E4" s="5" t="s">
        <v>37</v>
      </c>
      <c r="G4" s="31">
        <v>85</v>
      </c>
      <c r="H4" s="31" t="s">
        <v>46</v>
      </c>
      <c r="I4" s="31" t="s">
        <v>50</v>
      </c>
      <c r="J4" s="31" t="s">
        <v>37</v>
      </c>
      <c r="AF4" s="7">
        <v>47.5</v>
      </c>
      <c r="AG4" s="7" t="s">
        <v>47</v>
      </c>
      <c r="AH4" s="7" t="s">
        <v>51</v>
      </c>
      <c r="AI4" s="7" t="s">
        <v>37</v>
      </c>
      <c r="AK4" s="22">
        <v>65</v>
      </c>
      <c r="AL4" s="22" t="s">
        <v>46</v>
      </c>
      <c r="AM4" s="22" t="s">
        <v>50</v>
      </c>
      <c r="AN4" s="22" t="s">
        <v>41</v>
      </c>
      <c r="AS4" s="22" t="s">
        <v>41</v>
      </c>
      <c r="AU4" s="30">
        <v>57.5</v>
      </c>
      <c r="AV4" s="30" t="s">
        <v>45</v>
      </c>
      <c r="AW4" s="30" t="s">
        <v>50</v>
      </c>
      <c r="AX4" s="30" t="s">
        <v>37</v>
      </c>
      <c r="CP4" s="5">
        <v>120</v>
      </c>
      <c r="CQ4" s="5" t="s">
        <v>45</v>
      </c>
      <c r="CR4" s="5" t="s">
        <v>50</v>
      </c>
      <c r="CS4" s="5" t="s">
        <v>37</v>
      </c>
      <c r="CU4" s="6">
        <v>110</v>
      </c>
      <c r="CV4" s="6" t="s">
        <v>48</v>
      </c>
      <c r="CW4" s="6" t="s">
        <v>50</v>
      </c>
    </row>
    <row r="5" spans="1:122" x14ac:dyDescent="0.25">
      <c r="B5" s="5">
        <v>102.5</v>
      </c>
      <c r="C5" s="5" t="s">
        <v>47</v>
      </c>
      <c r="D5" s="8" t="s">
        <v>51</v>
      </c>
      <c r="E5" s="5" t="s">
        <v>37</v>
      </c>
      <c r="G5" s="31">
        <v>90</v>
      </c>
      <c r="H5" s="31" t="s">
        <v>46</v>
      </c>
      <c r="I5" s="31" t="s">
        <v>51</v>
      </c>
      <c r="J5" s="31" t="s">
        <v>37</v>
      </c>
      <c r="AF5" s="7">
        <v>50</v>
      </c>
      <c r="AG5" s="7" t="s">
        <v>45</v>
      </c>
      <c r="AH5" s="9" t="s">
        <v>52</v>
      </c>
      <c r="AI5" s="7" t="s">
        <v>37</v>
      </c>
      <c r="AK5" s="22">
        <v>65</v>
      </c>
      <c r="AL5" s="22" t="s">
        <v>46</v>
      </c>
      <c r="AM5" s="22" t="s">
        <v>51</v>
      </c>
      <c r="AN5" s="22" t="s">
        <v>42</v>
      </c>
      <c r="AS5" s="22" t="s">
        <v>42</v>
      </c>
      <c r="AU5" s="30">
        <v>62.5</v>
      </c>
      <c r="AV5" s="30" t="s">
        <v>45</v>
      </c>
      <c r="AW5" s="30" t="s">
        <v>51</v>
      </c>
      <c r="AX5" s="30" t="s">
        <v>37</v>
      </c>
      <c r="CP5" s="5">
        <v>130</v>
      </c>
      <c r="CQ5" s="5" t="s">
        <v>45</v>
      </c>
      <c r="CR5" s="5" t="s">
        <v>51</v>
      </c>
      <c r="CS5" s="5" t="s">
        <v>37</v>
      </c>
      <c r="CU5" s="6">
        <v>115</v>
      </c>
      <c r="CV5" s="6" t="s">
        <v>48</v>
      </c>
      <c r="CW5" s="6" t="s">
        <v>51</v>
      </c>
    </row>
    <row r="6" spans="1:122" x14ac:dyDescent="0.25">
      <c r="AK6" s="22">
        <v>62.5</v>
      </c>
      <c r="AL6" s="22" t="s">
        <v>46</v>
      </c>
      <c r="AM6" s="22" t="s">
        <v>51</v>
      </c>
      <c r="AN6" s="22" t="s">
        <v>42</v>
      </c>
      <c r="AS6" s="22" t="s">
        <v>42</v>
      </c>
    </row>
    <row r="7" spans="1:122" x14ac:dyDescent="0.25">
      <c r="A7" s="10" t="s">
        <v>69</v>
      </c>
    </row>
    <row r="8" spans="1:122" x14ac:dyDescent="0.25">
      <c r="B8" s="5">
        <v>100</v>
      </c>
      <c r="C8" s="5" t="s">
        <v>47</v>
      </c>
      <c r="D8" s="8" t="s">
        <v>50</v>
      </c>
      <c r="E8" s="5" t="s">
        <v>41</v>
      </c>
      <c r="G8" s="31">
        <v>85</v>
      </c>
      <c r="H8" s="31" t="s">
        <v>46</v>
      </c>
      <c r="I8" s="31" t="s">
        <v>49</v>
      </c>
      <c r="J8" s="31" t="s">
        <v>37</v>
      </c>
      <c r="L8" s="70">
        <v>90</v>
      </c>
      <c r="M8" s="70" t="s">
        <v>45</v>
      </c>
      <c r="N8" s="70" t="s">
        <v>49</v>
      </c>
      <c r="O8" s="70" t="s">
        <v>37</v>
      </c>
      <c r="AF8" s="7">
        <v>42.5</v>
      </c>
      <c r="AG8" s="7" t="s">
        <v>45</v>
      </c>
      <c r="AH8" s="9" t="s">
        <v>49</v>
      </c>
      <c r="AI8" s="7" t="s">
        <v>37</v>
      </c>
      <c r="AK8" s="22">
        <v>62.5</v>
      </c>
      <c r="AL8" s="22" t="s">
        <v>46</v>
      </c>
      <c r="AM8" s="22" t="s">
        <v>49</v>
      </c>
      <c r="AN8" s="22" t="s">
        <v>41</v>
      </c>
      <c r="AS8" s="22" t="s">
        <v>41</v>
      </c>
      <c r="AU8" s="30">
        <v>55</v>
      </c>
      <c r="AV8" s="30" t="s">
        <v>45</v>
      </c>
      <c r="AW8" s="30" t="s">
        <v>49</v>
      </c>
      <c r="AX8" s="30" t="s">
        <v>37</v>
      </c>
      <c r="BF8" s="69">
        <v>60</v>
      </c>
      <c r="BG8" s="69" t="s">
        <v>47</v>
      </c>
      <c r="BH8" s="69" t="s">
        <v>50</v>
      </c>
      <c r="BI8" s="69" t="s">
        <v>41</v>
      </c>
      <c r="CP8" s="5">
        <v>115</v>
      </c>
      <c r="CQ8" s="5" t="s">
        <v>45</v>
      </c>
      <c r="CR8" s="5" t="s">
        <v>49</v>
      </c>
      <c r="CS8" s="5" t="s">
        <v>41</v>
      </c>
      <c r="CU8" s="6">
        <v>105</v>
      </c>
      <c r="CV8" s="6" t="s">
        <v>48</v>
      </c>
      <c r="CW8" s="6" t="s">
        <v>49</v>
      </c>
      <c r="CX8" s="6" t="s">
        <v>37</v>
      </c>
    </row>
    <row r="9" spans="1:122" x14ac:dyDescent="0.25">
      <c r="B9" s="5">
        <v>102.5</v>
      </c>
      <c r="C9" s="5" t="s">
        <v>47</v>
      </c>
      <c r="D9" s="8" t="s">
        <v>51</v>
      </c>
      <c r="E9" s="5" t="s">
        <v>41</v>
      </c>
      <c r="G9" s="31">
        <v>90</v>
      </c>
      <c r="H9" s="31" t="s">
        <v>46</v>
      </c>
      <c r="I9" s="31" t="s">
        <v>50</v>
      </c>
      <c r="J9" s="31" t="s">
        <v>41</v>
      </c>
      <c r="L9" s="70">
        <v>100</v>
      </c>
      <c r="M9" s="70" t="s">
        <v>45</v>
      </c>
      <c r="N9" s="70" t="s">
        <v>50</v>
      </c>
      <c r="O9" s="70" t="s">
        <v>37</v>
      </c>
      <c r="AF9" s="7">
        <v>45</v>
      </c>
      <c r="AG9" s="7" t="s">
        <v>45</v>
      </c>
      <c r="AH9" s="7" t="s">
        <v>50</v>
      </c>
      <c r="AI9" s="7" t="s">
        <v>37</v>
      </c>
      <c r="AK9" s="22">
        <v>65</v>
      </c>
      <c r="AL9" s="22" t="s">
        <v>46</v>
      </c>
      <c r="AM9" s="22" t="s">
        <v>50</v>
      </c>
      <c r="AN9" s="22" t="s">
        <v>41</v>
      </c>
      <c r="AS9" s="22" t="s">
        <v>41</v>
      </c>
      <c r="AU9" s="30">
        <v>60</v>
      </c>
      <c r="AV9" s="30" t="s">
        <v>45</v>
      </c>
      <c r="AW9" s="30" t="s">
        <v>50</v>
      </c>
      <c r="AX9" s="30" t="s">
        <v>41</v>
      </c>
      <c r="BF9" s="69">
        <v>65</v>
      </c>
      <c r="BG9" s="69" t="s">
        <v>47</v>
      </c>
      <c r="BH9" s="69" t="s">
        <v>51</v>
      </c>
      <c r="BI9" s="69" t="s">
        <v>41</v>
      </c>
      <c r="CP9" s="5">
        <v>122.5</v>
      </c>
      <c r="CQ9" s="5" t="s">
        <v>45</v>
      </c>
      <c r="CR9" s="5" t="s">
        <v>50</v>
      </c>
      <c r="CS9" s="8" t="s">
        <v>37</v>
      </c>
      <c r="CU9" s="6">
        <v>115</v>
      </c>
      <c r="CV9" s="6" t="s">
        <v>48</v>
      </c>
      <c r="CW9" s="6" t="s">
        <v>50</v>
      </c>
      <c r="CX9" s="6" t="s">
        <v>37</v>
      </c>
    </row>
    <row r="10" spans="1:122" x14ac:dyDescent="0.25">
      <c r="B10" s="5">
        <v>102.5</v>
      </c>
      <c r="C10" s="5" t="s">
        <v>47</v>
      </c>
      <c r="D10" s="5" t="s">
        <v>52</v>
      </c>
      <c r="E10" s="5" t="s">
        <v>41</v>
      </c>
      <c r="G10" s="31">
        <v>95</v>
      </c>
      <c r="H10" s="31" t="s">
        <v>46</v>
      </c>
      <c r="I10" s="31" t="s">
        <v>51</v>
      </c>
      <c r="J10" s="31" t="s">
        <v>42</v>
      </c>
      <c r="L10" s="70">
        <v>110</v>
      </c>
      <c r="M10" s="70" t="s">
        <v>45</v>
      </c>
      <c r="N10" s="70" t="s">
        <v>51</v>
      </c>
      <c r="O10" s="70" t="s">
        <v>41</v>
      </c>
      <c r="AF10" s="7">
        <v>48.5</v>
      </c>
      <c r="AG10" s="7" t="s">
        <v>45</v>
      </c>
      <c r="AH10" s="7" t="s">
        <v>51</v>
      </c>
      <c r="AI10" s="7" t="s">
        <v>37</v>
      </c>
      <c r="AK10" s="22">
        <v>67.5</v>
      </c>
      <c r="AL10" s="22" t="s">
        <v>46</v>
      </c>
      <c r="AM10" s="22" t="s">
        <v>51</v>
      </c>
      <c r="AN10" s="22" t="s">
        <v>41</v>
      </c>
      <c r="AS10" s="22" t="s">
        <v>41</v>
      </c>
      <c r="AU10" s="30">
        <v>62.5</v>
      </c>
      <c r="AV10" s="30" t="s">
        <v>45</v>
      </c>
      <c r="AW10" s="30" t="s">
        <v>51</v>
      </c>
      <c r="AX10" s="30" t="s">
        <v>41</v>
      </c>
      <c r="BC10" s="71"/>
      <c r="BF10" s="69">
        <v>70</v>
      </c>
      <c r="BG10" s="69" t="s">
        <v>47</v>
      </c>
      <c r="BH10" s="69" t="s">
        <v>52</v>
      </c>
      <c r="BI10" s="71" t="s">
        <v>62</v>
      </c>
      <c r="CP10" s="5">
        <v>135</v>
      </c>
      <c r="CQ10" s="5" t="s">
        <v>45</v>
      </c>
      <c r="CR10" s="5" t="s">
        <v>51</v>
      </c>
      <c r="CS10" s="5" t="s">
        <v>41</v>
      </c>
      <c r="CU10" s="6">
        <v>120</v>
      </c>
      <c r="CV10" s="6" t="s">
        <v>48</v>
      </c>
      <c r="CW10" s="6" t="s">
        <v>51</v>
      </c>
      <c r="CX10" s="6" t="s">
        <v>37</v>
      </c>
    </row>
    <row r="11" spans="1:122" x14ac:dyDescent="0.25">
      <c r="B11" s="5">
        <v>102.5</v>
      </c>
      <c r="C11" s="5" t="s">
        <v>47</v>
      </c>
      <c r="D11" s="5" t="s">
        <v>52</v>
      </c>
      <c r="E11" s="5" t="s">
        <v>41</v>
      </c>
      <c r="G11" s="31">
        <v>90</v>
      </c>
      <c r="H11" s="31" t="s">
        <v>46</v>
      </c>
      <c r="I11" s="31" t="s">
        <v>51</v>
      </c>
      <c r="J11" s="31" t="s">
        <v>42</v>
      </c>
      <c r="L11" s="70">
        <v>110</v>
      </c>
      <c r="M11" s="70" t="s">
        <v>45</v>
      </c>
      <c r="N11" s="70" t="s">
        <v>51</v>
      </c>
      <c r="O11" s="70" t="s">
        <v>42</v>
      </c>
      <c r="AF11" s="7">
        <v>48.5</v>
      </c>
      <c r="AG11" s="7" t="s">
        <v>45</v>
      </c>
      <c r="AH11" s="7" t="s">
        <v>51</v>
      </c>
      <c r="AI11" s="7" t="s">
        <v>41</v>
      </c>
      <c r="AK11" s="22">
        <v>67.5</v>
      </c>
      <c r="AL11" s="22" t="s">
        <v>46</v>
      </c>
      <c r="AM11" s="22" t="s">
        <v>51</v>
      </c>
      <c r="AN11" s="22" t="s">
        <v>41</v>
      </c>
      <c r="AS11" s="22" t="s">
        <v>41</v>
      </c>
      <c r="AU11" s="30">
        <v>62.5</v>
      </c>
      <c r="AV11" s="30" t="s">
        <v>45</v>
      </c>
      <c r="AW11" s="30" t="s">
        <v>51</v>
      </c>
      <c r="AX11" s="30" t="s">
        <v>42</v>
      </c>
      <c r="BF11" s="69">
        <v>65</v>
      </c>
      <c r="BG11" s="69" t="s">
        <v>47</v>
      </c>
      <c r="BH11" s="69" t="s">
        <v>52</v>
      </c>
      <c r="BI11" s="69" t="s">
        <v>41</v>
      </c>
      <c r="CP11" s="5">
        <v>135</v>
      </c>
      <c r="CQ11" s="5" t="s">
        <v>45</v>
      </c>
      <c r="CR11" s="5" t="s">
        <v>51</v>
      </c>
      <c r="CS11" s="5" t="s">
        <v>41</v>
      </c>
      <c r="CU11" s="6">
        <v>120</v>
      </c>
      <c r="CV11" s="6" t="s">
        <v>48</v>
      </c>
      <c r="CW11" s="6" t="s">
        <v>51</v>
      </c>
      <c r="CX11" s="6" t="s">
        <v>41</v>
      </c>
    </row>
    <row r="12" spans="1:122" x14ac:dyDescent="0.25">
      <c r="L12" s="70">
        <v>107.5</v>
      </c>
      <c r="M12" s="70" t="s">
        <v>45</v>
      </c>
      <c r="N12" s="70" t="s">
        <v>51</v>
      </c>
      <c r="O12" s="70" t="s">
        <v>42</v>
      </c>
      <c r="AF12" s="7">
        <v>48.5</v>
      </c>
      <c r="AG12" s="7" t="s">
        <v>45</v>
      </c>
      <c r="AH12" s="7" t="s">
        <v>51</v>
      </c>
      <c r="AI12" s="7" t="s">
        <v>42</v>
      </c>
      <c r="AK12" s="22">
        <v>67.5</v>
      </c>
      <c r="AL12" s="22" t="s">
        <v>46</v>
      </c>
      <c r="AM12" s="22" t="s">
        <v>51</v>
      </c>
      <c r="AN12" s="22" t="s">
        <v>41</v>
      </c>
      <c r="AS12" s="22" t="s">
        <v>41</v>
      </c>
      <c r="AU12" s="30">
        <v>60</v>
      </c>
      <c r="AV12" s="30" t="s">
        <v>45</v>
      </c>
      <c r="AW12" s="30" t="s">
        <v>51</v>
      </c>
      <c r="AX12" s="30" t="s">
        <v>42</v>
      </c>
      <c r="CP12" s="5">
        <v>135</v>
      </c>
      <c r="CQ12" s="5" t="s">
        <v>45</v>
      </c>
      <c r="CR12" s="5" t="s">
        <v>51</v>
      </c>
    </row>
    <row r="13" spans="1:122" x14ac:dyDescent="0.25">
      <c r="AF13" s="7">
        <v>47.5</v>
      </c>
      <c r="AG13" s="7" t="s">
        <v>45</v>
      </c>
      <c r="AH13" s="7" t="s">
        <v>51</v>
      </c>
      <c r="AI13" s="7" t="s">
        <v>42</v>
      </c>
      <c r="AU13" s="30">
        <v>57.5</v>
      </c>
      <c r="AV13" s="30" t="s">
        <v>45</v>
      </c>
      <c r="AW13" s="30" t="s">
        <v>51</v>
      </c>
    </row>
    <row r="14" spans="1:122" x14ac:dyDescent="0.25">
      <c r="A14" s="10" t="s">
        <v>88</v>
      </c>
    </row>
    <row r="15" spans="1:122" x14ac:dyDescent="0.25">
      <c r="B15" s="5">
        <v>97.5</v>
      </c>
      <c r="C15" s="5" t="s">
        <v>47</v>
      </c>
      <c r="D15" s="5" t="s">
        <v>50</v>
      </c>
      <c r="E15" s="5" t="s">
        <v>41</v>
      </c>
      <c r="G15" s="31">
        <v>87.5</v>
      </c>
      <c r="H15" s="31" t="s">
        <v>46</v>
      </c>
      <c r="I15" s="31" t="s">
        <v>50</v>
      </c>
      <c r="J15" s="31" t="s">
        <v>37</v>
      </c>
      <c r="L15" s="70">
        <v>92.5</v>
      </c>
      <c r="M15" s="70" t="s">
        <v>45</v>
      </c>
      <c r="N15" s="70" t="s">
        <v>49</v>
      </c>
      <c r="O15" s="70" t="s">
        <v>37</v>
      </c>
      <c r="AF15" s="7">
        <v>43.5</v>
      </c>
      <c r="AG15" s="7" t="s">
        <v>45</v>
      </c>
      <c r="AH15" s="7" t="s">
        <v>49</v>
      </c>
      <c r="AI15" s="7" t="s">
        <v>41</v>
      </c>
      <c r="AK15" s="22">
        <v>62.5</v>
      </c>
      <c r="AL15" s="22" t="s">
        <v>46</v>
      </c>
      <c r="AM15" s="22" t="s">
        <v>49</v>
      </c>
      <c r="AN15" s="22" t="s">
        <v>37</v>
      </c>
      <c r="AS15" s="22" t="s">
        <v>37</v>
      </c>
      <c r="AU15" s="30">
        <v>55</v>
      </c>
      <c r="AV15" s="30" t="s">
        <v>45</v>
      </c>
      <c r="AW15" s="30" t="s">
        <v>49</v>
      </c>
      <c r="AX15" s="30" t="s">
        <v>37</v>
      </c>
      <c r="BF15" s="69">
        <v>60</v>
      </c>
      <c r="BG15" s="69" t="s">
        <v>47</v>
      </c>
      <c r="BH15" s="69" t="s">
        <v>50</v>
      </c>
      <c r="BI15" s="69" t="s">
        <v>37</v>
      </c>
      <c r="CP15" s="5">
        <v>115</v>
      </c>
      <c r="CQ15" s="5" t="s">
        <v>45</v>
      </c>
      <c r="CR15" s="5" t="s">
        <v>49</v>
      </c>
      <c r="CS15" s="5" t="s">
        <v>37</v>
      </c>
      <c r="CU15" s="6">
        <v>110</v>
      </c>
      <c r="CV15" s="6" t="s">
        <v>48</v>
      </c>
      <c r="CW15" s="6" t="s">
        <v>50</v>
      </c>
      <c r="CX15" s="6" t="s">
        <v>37</v>
      </c>
    </row>
    <row r="16" spans="1:122" x14ac:dyDescent="0.25">
      <c r="B16" s="5">
        <v>100</v>
      </c>
      <c r="C16" s="5" t="s">
        <v>47</v>
      </c>
      <c r="D16" s="8" t="s">
        <v>51</v>
      </c>
      <c r="E16" s="5" t="s">
        <v>37</v>
      </c>
      <c r="G16" s="31">
        <v>92.5</v>
      </c>
      <c r="H16" s="31" t="s">
        <v>46</v>
      </c>
      <c r="I16" s="31" t="s">
        <v>51</v>
      </c>
      <c r="J16" s="31" t="s">
        <v>37</v>
      </c>
      <c r="L16" s="70">
        <v>102.5</v>
      </c>
      <c r="M16" s="70" t="s">
        <v>45</v>
      </c>
      <c r="N16" s="70" t="s">
        <v>50</v>
      </c>
      <c r="O16" s="70" t="s">
        <v>37</v>
      </c>
      <c r="AF16" s="7">
        <v>46</v>
      </c>
      <c r="AG16" s="7" t="s">
        <v>45</v>
      </c>
      <c r="AH16" s="7" t="s">
        <v>50</v>
      </c>
      <c r="AI16" s="7" t="s">
        <v>37</v>
      </c>
      <c r="AK16" s="22">
        <v>65</v>
      </c>
      <c r="AL16" s="22" t="s">
        <v>46</v>
      </c>
      <c r="AM16" s="22" t="s">
        <v>50</v>
      </c>
      <c r="AN16" s="22" t="s">
        <v>37</v>
      </c>
      <c r="AS16" s="22" t="s">
        <v>37</v>
      </c>
      <c r="AU16" s="30">
        <v>60</v>
      </c>
      <c r="AV16" s="30" t="s">
        <v>45</v>
      </c>
      <c r="AW16" s="30" t="s">
        <v>50</v>
      </c>
      <c r="AX16" s="30" t="s">
        <v>37</v>
      </c>
      <c r="BF16" s="69">
        <v>65</v>
      </c>
      <c r="BG16" s="69" t="s">
        <v>47</v>
      </c>
      <c r="BH16" s="69" t="s">
        <v>51</v>
      </c>
      <c r="BI16" s="69" t="s">
        <v>41</v>
      </c>
      <c r="CP16" s="5">
        <v>125</v>
      </c>
      <c r="CQ16" s="5" t="s">
        <v>45</v>
      </c>
      <c r="CR16" s="5" t="s">
        <v>50</v>
      </c>
      <c r="CS16" s="5" t="s">
        <v>37</v>
      </c>
      <c r="CU16" s="6">
        <v>120</v>
      </c>
      <c r="CV16" s="6" t="s">
        <v>48</v>
      </c>
      <c r="CW16" s="6" t="s">
        <v>51</v>
      </c>
      <c r="CX16" s="6" t="s">
        <v>37</v>
      </c>
    </row>
    <row r="17" spans="1:102" x14ac:dyDescent="0.25">
      <c r="B17" s="5">
        <v>102.5</v>
      </c>
      <c r="C17" s="5" t="s">
        <v>47</v>
      </c>
      <c r="D17" s="5" t="s">
        <v>52</v>
      </c>
      <c r="E17" s="5" t="s">
        <v>37</v>
      </c>
      <c r="G17" s="31">
        <v>95</v>
      </c>
      <c r="H17" s="31" t="s">
        <v>46</v>
      </c>
      <c r="I17" s="31" t="s">
        <v>52</v>
      </c>
      <c r="J17" s="31" t="s">
        <v>37</v>
      </c>
      <c r="L17" s="70">
        <v>110</v>
      </c>
      <c r="M17" s="70" t="s">
        <v>45</v>
      </c>
      <c r="N17" s="70" t="s">
        <v>51</v>
      </c>
      <c r="O17" s="70" t="s">
        <v>37</v>
      </c>
      <c r="AF17" s="7">
        <v>48.5</v>
      </c>
      <c r="AG17" s="7" t="s">
        <v>45</v>
      </c>
      <c r="AH17" s="7" t="s">
        <v>51</v>
      </c>
      <c r="AI17" s="7" t="s">
        <v>37</v>
      </c>
      <c r="AK17" s="22">
        <v>67.5</v>
      </c>
      <c r="AL17" s="22" t="s">
        <v>46</v>
      </c>
      <c r="AM17" s="22" t="s">
        <v>51</v>
      </c>
      <c r="AN17" s="22" t="s">
        <v>37</v>
      </c>
      <c r="AS17" s="22" t="s">
        <v>37</v>
      </c>
      <c r="AU17" s="30">
        <v>65</v>
      </c>
      <c r="AV17" s="30" t="s">
        <v>45</v>
      </c>
      <c r="AW17" s="30" t="s">
        <v>51</v>
      </c>
      <c r="AX17" s="30" t="s">
        <v>42</v>
      </c>
      <c r="BF17" s="69">
        <v>70</v>
      </c>
      <c r="BG17" s="69" t="s">
        <v>47</v>
      </c>
      <c r="BH17" s="69" t="s">
        <v>52</v>
      </c>
      <c r="BI17" s="69" t="s">
        <v>42</v>
      </c>
      <c r="CP17" s="5">
        <v>137.5</v>
      </c>
      <c r="CQ17" s="5" t="s">
        <v>45</v>
      </c>
      <c r="CR17" s="5" t="s">
        <v>51</v>
      </c>
      <c r="CS17" s="5" t="s">
        <v>41</v>
      </c>
      <c r="CU17" s="6">
        <v>125</v>
      </c>
      <c r="CV17" s="6" t="s">
        <v>48</v>
      </c>
      <c r="CW17" s="6" t="s">
        <v>52</v>
      </c>
      <c r="CX17" s="6" t="s">
        <v>41</v>
      </c>
    </row>
    <row r="18" spans="1:102" x14ac:dyDescent="0.25">
      <c r="B18" s="5">
        <v>102.5</v>
      </c>
      <c r="C18" s="5" t="s">
        <v>47</v>
      </c>
      <c r="D18" s="5" t="s">
        <v>52</v>
      </c>
      <c r="E18" s="5" t="s">
        <v>41</v>
      </c>
      <c r="G18" s="31">
        <v>95</v>
      </c>
      <c r="H18" s="31" t="s">
        <v>46</v>
      </c>
      <c r="I18" s="31" t="s">
        <v>52</v>
      </c>
      <c r="J18" s="31" t="s">
        <v>41</v>
      </c>
      <c r="L18" s="70">
        <v>110</v>
      </c>
      <c r="M18" s="70" t="s">
        <v>45</v>
      </c>
      <c r="N18" s="70" t="s">
        <v>51</v>
      </c>
      <c r="O18" s="70" t="s">
        <v>37</v>
      </c>
      <c r="AF18" s="7">
        <v>48.5</v>
      </c>
      <c r="AG18" s="7" t="s">
        <v>45</v>
      </c>
      <c r="AH18" s="7" t="s">
        <v>51</v>
      </c>
      <c r="AI18" s="7" t="s">
        <v>42</v>
      </c>
      <c r="AK18" s="22">
        <v>67.5</v>
      </c>
      <c r="AL18" s="22" t="s">
        <v>46</v>
      </c>
      <c r="AM18" s="22" t="s">
        <v>51</v>
      </c>
      <c r="AN18" s="22" t="s">
        <v>37</v>
      </c>
      <c r="AS18" s="22" t="s">
        <v>37</v>
      </c>
      <c r="AU18" s="30">
        <v>62.5</v>
      </c>
      <c r="AV18" s="30" t="s">
        <v>45</v>
      </c>
      <c r="AW18" s="30" t="s">
        <v>51</v>
      </c>
      <c r="AX18" s="30" t="s">
        <v>41</v>
      </c>
      <c r="BF18" s="69">
        <v>67.5</v>
      </c>
      <c r="BG18" s="69" t="s">
        <v>47</v>
      </c>
      <c r="BH18" s="69" t="s">
        <v>52</v>
      </c>
      <c r="BI18" s="69" t="s">
        <v>42</v>
      </c>
      <c r="CP18" s="5">
        <v>137.5</v>
      </c>
      <c r="CQ18" s="5" t="s">
        <v>45</v>
      </c>
      <c r="CR18" s="5" t="s">
        <v>51</v>
      </c>
      <c r="CS18" s="5" t="s">
        <v>41</v>
      </c>
      <c r="CU18" s="6">
        <v>125</v>
      </c>
      <c r="CV18" s="6" t="s">
        <v>48</v>
      </c>
      <c r="CW18" s="6" t="s">
        <v>52</v>
      </c>
      <c r="CX18" s="6" t="s">
        <v>41</v>
      </c>
    </row>
    <row r="19" spans="1:102" x14ac:dyDescent="0.25">
      <c r="L19" s="70">
        <v>110</v>
      </c>
      <c r="M19" s="70" t="s">
        <v>45</v>
      </c>
      <c r="N19" s="70" t="s">
        <v>51</v>
      </c>
      <c r="O19" s="70" t="s">
        <v>37</v>
      </c>
      <c r="AF19" s="7">
        <v>48.5</v>
      </c>
      <c r="AG19" s="7" t="s">
        <v>45</v>
      </c>
      <c r="AH19" s="7" t="s">
        <v>51</v>
      </c>
      <c r="AI19" s="7" t="s">
        <v>42</v>
      </c>
      <c r="AK19" s="22">
        <v>67.5</v>
      </c>
      <c r="AL19" s="22" t="s">
        <v>46</v>
      </c>
      <c r="AM19" s="22" t="s">
        <v>51</v>
      </c>
      <c r="AN19" s="22" t="s">
        <v>37</v>
      </c>
      <c r="AS19" s="22" t="s">
        <v>37</v>
      </c>
      <c r="AU19" s="30">
        <v>62.5</v>
      </c>
      <c r="AV19" s="30" t="s">
        <v>45</v>
      </c>
      <c r="AW19" s="30" t="s">
        <v>51</v>
      </c>
      <c r="AX19" s="30" t="s">
        <v>41</v>
      </c>
      <c r="CP19" s="5">
        <v>135</v>
      </c>
      <c r="CQ19" s="5" t="s">
        <v>45</v>
      </c>
      <c r="CR19" s="5" t="s">
        <v>51</v>
      </c>
      <c r="CS19" s="5" t="s">
        <v>41</v>
      </c>
    </row>
    <row r="20" spans="1:102" x14ac:dyDescent="0.25">
      <c r="AF20" s="7">
        <v>48.5</v>
      </c>
      <c r="AG20" s="7" t="s">
        <v>45</v>
      </c>
      <c r="AH20" s="7" t="s">
        <v>51</v>
      </c>
      <c r="AI20" s="7" t="s">
        <v>42</v>
      </c>
      <c r="AU20" s="30">
        <v>62.5</v>
      </c>
      <c r="AV20" s="30" t="s">
        <v>45</v>
      </c>
      <c r="AW20" s="30" t="s">
        <v>51</v>
      </c>
      <c r="AX20" s="30" t="s">
        <v>41</v>
      </c>
    </row>
    <row r="21" spans="1:102" x14ac:dyDescent="0.25">
      <c r="A21" s="10" t="s">
        <v>92</v>
      </c>
    </row>
    <row r="22" spans="1:102" x14ac:dyDescent="0.25">
      <c r="B22" s="5">
        <v>97.5</v>
      </c>
      <c r="C22" s="5" t="s">
        <v>47</v>
      </c>
      <c r="D22" s="5" t="s">
        <v>50</v>
      </c>
      <c r="E22" s="5" t="s">
        <v>41</v>
      </c>
      <c r="G22" s="31">
        <v>87.5</v>
      </c>
      <c r="H22" s="31" t="s">
        <v>46</v>
      </c>
      <c r="I22" s="31" t="s">
        <v>49</v>
      </c>
      <c r="L22" s="70">
        <v>95</v>
      </c>
      <c r="M22" s="70" t="s">
        <v>45</v>
      </c>
      <c r="N22" s="70" t="s">
        <v>49</v>
      </c>
      <c r="O22" s="70" t="s">
        <v>37</v>
      </c>
      <c r="AF22" s="7">
        <v>43.5</v>
      </c>
      <c r="AG22" s="7" t="s">
        <v>45</v>
      </c>
      <c r="AH22" s="7" t="s">
        <v>49</v>
      </c>
      <c r="AI22" s="7" t="s">
        <v>37</v>
      </c>
      <c r="AK22" s="22">
        <v>65</v>
      </c>
      <c r="AL22" s="22" t="s">
        <v>46</v>
      </c>
      <c r="AM22" s="22" t="s">
        <v>49</v>
      </c>
      <c r="AN22" s="22" t="s">
        <v>41</v>
      </c>
      <c r="AS22" s="22" t="s">
        <v>41</v>
      </c>
      <c r="AU22" s="30">
        <v>57.5</v>
      </c>
      <c r="AV22" s="30" t="s">
        <v>45</v>
      </c>
      <c r="AW22" s="30" t="s">
        <v>49</v>
      </c>
      <c r="AX22" s="30" t="s">
        <v>37</v>
      </c>
      <c r="BF22" s="69">
        <v>62.5</v>
      </c>
      <c r="BG22" s="69" t="s">
        <v>47</v>
      </c>
      <c r="BH22" s="69" t="s">
        <v>50</v>
      </c>
      <c r="BI22" s="69" t="s">
        <v>41</v>
      </c>
      <c r="CP22" s="5">
        <v>115</v>
      </c>
      <c r="CQ22" s="5" t="s">
        <v>45</v>
      </c>
      <c r="CR22" s="5" t="s">
        <v>49</v>
      </c>
      <c r="CS22" s="5" t="s">
        <v>37</v>
      </c>
      <c r="CU22" s="6">
        <v>112.5</v>
      </c>
      <c r="CV22" s="6" t="s">
        <v>48</v>
      </c>
      <c r="CW22" s="6" t="s">
        <v>50</v>
      </c>
      <c r="CX22" s="6" t="s">
        <v>37</v>
      </c>
    </row>
    <row r="23" spans="1:102" x14ac:dyDescent="0.25">
      <c r="B23" s="5">
        <v>100</v>
      </c>
      <c r="C23" s="5" t="s">
        <v>47</v>
      </c>
      <c r="D23" s="5" t="s">
        <v>51</v>
      </c>
      <c r="E23" s="5" t="s">
        <v>41</v>
      </c>
      <c r="G23" s="31">
        <v>92.5</v>
      </c>
      <c r="H23" s="31" t="s">
        <v>46</v>
      </c>
      <c r="I23" s="31" t="s">
        <v>50</v>
      </c>
      <c r="L23" s="70">
        <v>105</v>
      </c>
      <c r="M23" s="70" t="s">
        <v>45</v>
      </c>
      <c r="N23" s="70" t="s">
        <v>50</v>
      </c>
      <c r="O23" s="70" t="s">
        <v>37</v>
      </c>
      <c r="AF23" s="7">
        <v>46</v>
      </c>
      <c r="AG23" s="7" t="s">
        <v>45</v>
      </c>
      <c r="AH23" s="7" t="s">
        <v>50</v>
      </c>
      <c r="AI23" s="7" t="s">
        <v>37</v>
      </c>
      <c r="AK23" s="22">
        <v>67.5</v>
      </c>
      <c r="AL23" s="22" t="s">
        <v>46</v>
      </c>
      <c r="AM23" s="22" t="s">
        <v>50</v>
      </c>
      <c r="AN23" s="22" t="s">
        <v>41</v>
      </c>
      <c r="AS23" s="22" t="s">
        <v>41</v>
      </c>
      <c r="AU23" s="30">
        <v>62.5</v>
      </c>
      <c r="AV23" s="30" t="s">
        <v>45</v>
      </c>
      <c r="AW23" s="30" t="s">
        <v>50</v>
      </c>
      <c r="AX23" s="30" t="s">
        <v>41</v>
      </c>
      <c r="BF23" s="69">
        <v>65</v>
      </c>
      <c r="BG23" s="69" t="s">
        <v>47</v>
      </c>
      <c r="BH23" s="69" t="s">
        <v>51</v>
      </c>
      <c r="BI23" s="69" t="s">
        <v>37</v>
      </c>
      <c r="CP23" s="5">
        <v>125</v>
      </c>
      <c r="CQ23" s="5" t="s">
        <v>45</v>
      </c>
      <c r="CR23" s="5" t="s">
        <v>50</v>
      </c>
      <c r="CS23" s="5" t="s">
        <v>37</v>
      </c>
      <c r="CU23" s="6">
        <v>122.5</v>
      </c>
      <c r="CV23" s="6" t="s">
        <v>48</v>
      </c>
      <c r="CW23" s="6" t="s">
        <v>51</v>
      </c>
      <c r="CX23" s="6" t="s">
        <v>41</v>
      </c>
    </row>
    <row r="24" spans="1:102" x14ac:dyDescent="0.25">
      <c r="B24" s="5">
        <v>100</v>
      </c>
      <c r="C24" s="5" t="s">
        <v>47</v>
      </c>
      <c r="D24" s="5" t="s">
        <v>52</v>
      </c>
      <c r="E24" s="5" t="s">
        <v>41</v>
      </c>
      <c r="G24" s="31">
        <v>95</v>
      </c>
      <c r="H24" s="31" t="s">
        <v>46</v>
      </c>
      <c r="I24" s="31" t="s">
        <v>51</v>
      </c>
      <c r="L24" s="70">
        <v>112.5</v>
      </c>
      <c r="M24" s="70" t="s">
        <v>45</v>
      </c>
      <c r="N24" s="70" t="s">
        <v>51</v>
      </c>
      <c r="O24" s="70" t="s">
        <v>42</v>
      </c>
      <c r="AF24" s="7">
        <v>48.5</v>
      </c>
      <c r="AG24" s="7" t="s">
        <v>45</v>
      </c>
      <c r="AH24" s="7" t="s">
        <v>51</v>
      </c>
      <c r="AI24" s="7" t="s">
        <v>37</v>
      </c>
      <c r="AK24" s="22">
        <v>68.5</v>
      </c>
      <c r="AL24" s="22" t="s">
        <v>46</v>
      </c>
      <c r="AM24" s="22" t="s">
        <v>51</v>
      </c>
      <c r="AN24" s="22" t="s">
        <v>41</v>
      </c>
      <c r="AS24" s="22" t="s">
        <v>41</v>
      </c>
      <c r="AU24" s="30">
        <v>62.5</v>
      </c>
      <c r="AV24" s="30" t="s">
        <v>45</v>
      </c>
      <c r="AW24" s="30" t="s">
        <v>51</v>
      </c>
      <c r="AX24" s="30" t="s">
        <v>41</v>
      </c>
      <c r="BF24" s="69">
        <v>67.5</v>
      </c>
      <c r="BG24" s="69" t="s">
        <v>47</v>
      </c>
      <c r="BH24" s="69" t="s">
        <v>52</v>
      </c>
      <c r="BI24" s="69" t="s">
        <v>42</v>
      </c>
      <c r="CP24" s="5">
        <v>137.5</v>
      </c>
      <c r="CQ24" s="5" t="s">
        <v>45</v>
      </c>
      <c r="CR24" s="5" t="s">
        <v>51</v>
      </c>
      <c r="CS24" s="5" t="s">
        <v>41</v>
      </c>
      <c r="CU24" s="6">
        <v>125</v>
      </c>
      <c r="CV24" s="6" t="s">
        <v>48</v>
      </c>
      <c r="CW24" s="6" t="s">
        <v>52</v>
      </c>
      <c r="CX24" s="6" t="s">
        <v>41</v>
      </c>
    </row>
    <row r="25" spans="1:102" x14ac:dyDescent="0.25">
      <c r="B25" s="5">
        <v>100</v>
      </c>
      <c r="C25" s="5" t="s">
        <v>47</v>
      </c>
      <c r="D25" s="5" t="s">
        <v>52</v>
      </c>
      <c r="E25" s="5" t="s">
        <v>41</v>
      </c>
      <c r="G25" s="31">
        <v>95</v>
      </c>
      <c r="H25" s="31" t="s">
        <v>46</v>
      </c>
      <c r="I25" s="31" t="s">
        <v>51</v>
      </c>
      <c r="L25" s="70">
        <v>111</v>
      </c>
      <c r="M25" s="70" t="s">
        <v>45</v>
      </c>
      <c r="N25" s="70" t="s">
        <v>51</v>
      </c>
      <c r="O25" s="70" t="s">
        <v>41</v>
      </c>
      <c r="AF25" s="7">
        <v>48.5</v>
      </c>
      <c r="AG25" s="7" t="s">
        <v>45</v>
      </c>
      <c r="AH25" s="7" t="s">
        <v>51</v>
      </c>
      <c r="AI25" s="7" t="s">
        <v>41</v>
      </c>
      <c r="AK25" s="22">
        <v>68.5</v>
      </c>
      <c r="AL25" s="22" t="s">
        <v>46</v>
      </c>
      <c r="AM25" s="22" t="s">
        <v>51</v>
      </c>
      <c r="AN25" s="22" t="s">
        <v>41</v>
      </c>
      <c r="AS25" s="22" t="s">
        <v>41</v>
      </c>
      <c r="AU25" s="30">
        <v>62.5</v>
      </c>
      <c r="AV25" s="30" t="s">
        <v>45</v>
      </c>
      <c r="AW25" s="30" t="s">
        <v>51</v>
      </c>
      <c r="AX25" s="30" t="s">
        <v>41</v>
      </c>
      <c r="BF25" s="69">
        <v>65</v>
      </c>
      <c r="BG25" s="69" t="s">
        <v>47</v>
      </c>
      <c r="BH25" s="69" t="s">
        <v>52</v>
      </c>
      <c r="BI25" s="69" t="s">
        <v>41</v>
      </c>
      <c r="CP25" s="5">
        <v>137.5</v>
      </c>
      <c r="CQ25" s="5" t="s">
        <v>45</v>
      </c>
      <c r="CR25" s="5" t="s">
        <v>51</v>
      </c>
      <c r="CS25" s="5" t="s">
        <v>41</v>
      </c>
      <c r="CU25" s="6">
        <v>125</v>
      </c>
      <c r="CV25" s="6" t="s">
        <v>48</v>
      </c>
      <c r="CW25" s="6" t="s">
        <v>52</v>
      </c>
      <c r="CX25" s="6" t="s">
        <v>41</v>
      </c>
    </row>
    <row r="26" spans="1:102" x14ac:dyDescent="0.25">
      <c r="B26" s="5">
        <v>100</v>
      </c>
      <c r="C26" s="5" t="s">
        <v>47</v>
      </c>
      <c r="D26" s="5" t="s">
        <v>52</v>
      </c>
      <c r="E26" s="5" t="s">
        <v>41</v>
      </c>
      <c r="L26" s="70">
        <v>111</v>
      </c>
      <c r="M26" s="70" t="s">
        <v>45</v>
      </c>
      <c r="N26" s="70" t="s">
        <v>51</v>
      </c>
      <c r="O26" s="70" t="s">
        <v>42</v>
      </c>
      <c r="AF26" s="7">
        <v>48.5</v>
      </c>
      <c r="AG26" s="7" t="s">
        <v>45</v>
      </c>
      <c r="AH26" s="7" t="s">
        <v>51</v>
      </c>
      <c r="AI26" s="7" t="s">
        <v>41</v>
      </c>
      <c r="AK26" s="22">
        <v>68.5</v>
      </c>
      <c r="AL26" s="22" t="s">
        <v>46</v>
      </c>
      <c r="AM26" s="22" t="s">
        <v>51</v>
      </c>
      <c r="AN26" s="22" t="s">
        <v>41</v>
      </c>
      <c r="AS26" s="22" t="s">
        <v>41</v>
      </c>
      <c r="AU26" s="30">
        <v>62.5</v>
      </c>
      <c r="AV26" s="30" t="s">
        <v>45</v>
      </c>
      <c r="AW26" s="30" t="s">
        <v>51</v>
      </c>
      <c r="AX26" s="30" t="s">
        <v>41</v>
      </c>
      <c r="BF26" s="69">
        <v>65</v>
      </c>
      <c r="BG26" s="69" t="s">
        <v>47</v>
      </c>
      <c r="BH26" s="69" t="s">
        <v>52</v>
      </c>
      <c r="BI26" s="69" t="s">
        <v>37</v>
      </c>
      <c r="CP26" s="5">
        <v>137.5</v>
      </c>
      <c r="CQ26" s="5" t="s">
        <v>45</v>
      </c>
      <c r="CR26" s="5" t="s">
        <v>51</v>
      </c>
      <c r="CS26" s="5" t="s">
        <v>41</v>
      </c>
    </row>
    <row r="27" spans="1:102" x14ac:dyDescent="0.25">
      <c r="L27" s="70">
        <v>110</v>
      </c>
      <c r="M27" s="70" t="s">
        <v>45</v>
      </c>
      <c r="N27" s="70" t="s">
        <v>51</v>
      </c>
      <c r="O27" s="70" t="s">
        <v>41</v>
      </c>
      <c r="AF27" s="7">
        <v>48.5</v>
      </c>
      <c r="AG27" s="7" t="s">
        <v>45</v>
      </c>
      <c r="AH27" s="7" t="s">
        <v>51</v>
      </c>
      <c r="AI27" s="7" t="s">
        <v>41</v>
      </c>
      <c r="AK27" s="22">
        <v>67.5</v>
      </c>
      <c r="AL27" s="22" t="s">
        <v>46</v>
      </c>
      <c r="AM27" s="22" t="s">
        <v>51</v>
      </c>
      <c r="AN27" s="22" t="s">
        <v>41</v>
      </c>
      <c r="AS27" s="22" t="s">
        <v>41</v>
      </c>
      <c r="AU27" s="30">
        <v>62.5</v>
      </c>
      <c r="AV27" s="30" t="s">
        <v>45</v>
      </c>
      <c r="AW27" s="30" t="s">
        <v>51</v>
      </c>
      <c r="AX27" s="30" t="s">
        <v>41</v>
      </c>
    </row>
    <row r="28" spans="1:102" x14ac:dyDescent="0.25">
      <c r="AU28" s="30">
        <v>62.5</v>
      </c>
      <c r="AV28" s="30" t="s">
        <v>45</v>
      </c>
      <c r="AW28" s="30" t="s">
        <v>51</v>
      </c>
      <c r="AX28" s="30" t="s">
        <v>41</v>
      </c>
    </row>
    <row r="29" spans="1:102" x14ac:dyDescent="0.25">
      <c r="A29" s="10" t="s">
        <v>92</v>
      </c>
    </row>
    <row r="30" spans="1:102" x14ac:dyDescent="0.25">
      <c r="B30" s="5">
        <v>90</v>
      </c>
      <c r="C30" s="5" t="s">
        <v>47</v>
      </c>
      <c r="D30" s="5" t="s">
        <v>50</v>
      </c>
      <c r="E30" s="5" t="s">
        <v>41</v>
      </c>
      <c r="G30" s="31">
        <v>80</v>
      </c>
      <c r="H30" s="31" t="s">
        <v>46</v>
      </c>
      <c r="I30" s="31" t="s">
        <v>49</v>
      </c>
      <c r="J30" s="31" t="s">
        <v>41</v>
      </c>
      <c r="L30" s="70">
        <v>90</v>
      </c>
      <c r="M30" s="70" t="s">
        <v>45</v>
      </c>
      <c r="N30" s="70" t="s">
        <v>49</v>
      </c>
      <c r="O30" s="70" t="s">
        <v>37</v>
      </c>
      <c r="AF30" s="7">
        <v>40</v>
      </c>
      <c r="AG30" s="7" t="s">
        <v>45</v>
      </c>
      <c r="AH30" s="7" t="s">
        <v>49</v>
      </c>
      <c r="AI30" s="7" t="s">
        <v>41</v>
      </c>
      <c r="AK30" s="22">
        <v>60</v>
      </c>
      <c r="AL30" s="22" t="s">
        <v>46</v>
      </c>
      <c r="AM30" s="22" t="s">
        <v>49</v>
      </c>
      <c r="AN30" s="22" t="s">
        <v>42</v>
      </c>
      <c r="AS30" s="22" t="s">
        <v>42</v>
      </c>
      <c r="AU30" s="30">
        <v>52.5</v>
      </c>
      <c r="AV30" s="30" t="s">
        <v>45</v>
      </c>
      <c r="AW30" s="30" t="s">
        <v>49</v>
      </c>
      <c r="AX30" s="30" t="s">
        <v>37</v>
      </c>
      <c r="BF30" s="69">
        <v>55</v>
      </c>
      <c r="BG30" s="69" t="s">
        <v>47</v>
      </c>
      <c r="BH30" s="69" t="s">
        <v>50</v>
      </c>
      <c r="BI30" s="69" t="s">
        <v>42</v>
      </c>
      <c r="CP30" s="5">
        <v>110</v>
      </c>
      <c r="CQ30" s="5" t="s">
        <v>45</v>
      </c>
      <c r="CR30" s="5" t="s">
        <v>49</v>
      </c>
      <c r="CS30" s="5" t="s">
        <v>37</v>
      </c>
      <c r="CU30" s="6">
        <v>110</v>
      </c>
      <c r="CV30" s="6" t="s">
        <v>48</v>
      </c>
      <c r="CW30" s="6" t="s">
        <v>50</v>
      </c>
      <c r="CX30" s="6" t="s">
        <v>37</v>
      </c>
    </row>
    <row r="31" spans="1:102" x14ac:dyDescent="0.25">
      <c r="B31" s="5">
        <v>92.5</v>
      </c>
      <c r="C31" s="5" t="s">
        <v>47</v>
      </c>
      <c r="D31" s="5" t="s">
        <v>51</v>
      </c>
      <c r="E31" s="5" t="s">
        <v>41</v>
      </c>
      <c r="G31" s="31">
        <v>85</v>
      </c>
      <c r="H31" s="31" t="s">
        <v>46</v>
      </c>
      <c r="I31" s="31" t="s">
        <v>50</v>
      </c>
      <c r="J31" s="31" t="s">
        <v>42</v>
      </c>
      <c r="L31" s="70">
        <v>100</v>
      </c>
      <c r="M31" s="70" t="s">
        <v>45</v>
      </c>
      <c r="N31" s="70" t="s">
        <v>50</v>
      </c>
      <c r="O31" s="70" t="s">
        <v>41</v>
      </c>
      <c r="AF31" s="7">
        <v>41.5</v>
      </c>
      <c r="AG31" s="7" t="s">
        <v>45</v>
      </c>
      <c r="AH31" s="7" t="s">
        <v>50</v>
      </c>
      <c r="AI31" s="7" t="s">
        <v>41</v>
      </c>
      <c r="AK31" s="22">
        <v>55</v>
      </c>
      <c r="AL31" s="22" t="s">
        <v>46</v>
      </c>
      <c r="AM31" s="22" t="s">
        <v>50</v>
      </c>
      <c r="AN31" s="22" t="s">
        <v>37</v>
      </c>
      <c r="AS31" s="22" t="s">
        <v>37</v>
      </c>
      <c r="AU31" s="30">
        <v>55</v>
      </c>
      <c r="AV31" s="30" t="s">
        <v>45</v>
      </c>
      <c r="AW31" s="30" t="s">
        <v>50</v>
      </c>
      <c r="AX31" s="30" t="s">
        <v>37</v>
      </c>
      <c r="BF31" s="69">
        <v>55</v>
      </c>
      <c r="BG31" s="69" t="s">
        <v>47</v>
      </c>
      <c r="BH31" s="69" t="s">
        <v>51</v>
      </c>
      <c r="BI31" s="69" t="s">
        <v>41</v>
      </c>
      <c r="CP31" s="5">
        <v>120</v>
      </c>
      <c r="CQ31" s="5" t="s">
        <v>45</v>
      </c>
      <c r="CR31" s="5" t="s">
        <v>50</v>
      </c>
      <c r="CS31" s="5" t="s">
        <v>37</v>
      </c>
      <c r="CU31" s="6">
        <v>117.5</v>
      </c>
      <c r="CV31" s="6" t="s">
        <v>48</v>
      </c>
      <c r="CW31" s="6" t="s">
        <v>51</v>
      </c>
      <c r="CX31" s="6" t="s">
        <v>41</v>
      </c>
    </row>
    <row r="32" spans="1:102" x14ac:dyDescent="0.25">
      <c r="B32" s="5">
        <v>92.5</v>
      </c>
      <c r="C32" s="5" t="s">
        <v>47</v>
      </c>
      <c r="D32" s="5" t="s">
        <v>52</v>
      </c>
      <c r="E32" s="5" t="s">
        <v>41</v>
      </c>
      <c r="G32" s="31">
        <v>82.5</v>
      </c>
      <c r="H32" s="31" t="s">
        <v>46</v>
      </c>
      <c r="I32" s="31" t="s">
        <v>51</v>
      </c>
      <c r="J32" s="31" t="s">
        <v>41</v>
      </c>
      <c r="L32" s="70">
        <v>105</v>
      </c>
      <c r="M32" s="70" t="s">
        <v>45</v>
      </c>
      <c r="N32" s="70" t="s">
        <v>51</v>
      </c>
      <c r="O32" s="70" t="s">
        <v>41</v>
      </c>
      <c r="AF32" s="7">
        <v>42.5</v>
      </c>
      <c r="AG32" s="7" t="s">
        <v>45</v>
      </c>
      <c r="AH32" s="7" t="s">
        <v>51</v>
      </c>
      <c r="AI32" s="7" t="s">
        <v>37</v>
      </c>
      <c r="AK32" s="22">
        <v>57.5</v>
      </c>
      <c r="AL32" s="22" t="s">
        <v>46</v>
      </c>
      <c r="AM32" s="22" t="s">
        <v>51</v>
      </c>
      <c r="AN32" s="22" t="s">
        <v>41</v>
      </c>
      <c r="AS32" s="22" t="s">
        <v>41</v>
      </c>
      <c r="AU32" s="30">
        <v>57.5</v>
      </c>
      <c r="AV32" s="30" t="s">
        <v>45</v>
      </c>
      <c r="AW32" s="30" t="s">
        <v>51</v>
      </c>
      <c r="AX32" s="30" t="s">
        <v>37</v>
      </c>
      <c r="BF32" s="69">
        <v>57.5</v>
      </c>
      <c r="BG32" s="69" t="s">
        <v>47</v>
      </c>
      <c r="BH32" s="69" t="s">
        <v>52</v>
      </c>
      <c r="BI32" s="69" t="s">
        <v>37</v>
      </c>
      <c r="CP32" s="5">
        <v>130</v>
      </c>
      <c r="CQ32" s="5" t="s">
        <v>45</v>
      </c>
      <c r="CR32" s="5" t="s">
        <v>51</v>
      </c>
      <c r="CS32" s="5" t="s">
        <v>37</v>
      </c>
      <c r="CU32" s="6">
        <v>120</v>
      </c>
      <c r="CV32" s="6" t="s">
        <v>48</v>
      </c>
      <c r="CW32" s="6" t="s">
        <v>52</v>
      </c>
      <c r="CX32" s="6" t="s">
        <v>41</v>
      </c>
    </row>
    <row r="33" spans="1:107" x14ac:dyDescent="0.25">
      <c r="B33" s="5">
        <v>92.5</v>
      </c>
      <c r="C33" s="5" t="s">
        <v>47</v>
      </c>
      <c r="D33" s="5" t="s">
        <v>52</v>
      </c>
      <c r="E33" s="5" t="s">
        <v>41</v>
      </c>
      <c r="G33" s="31">
        <v>82.5</v>
      </c>
      <c r="H33" s="31" t="s">
        <v>46</v>
      </c>
      <c r="I33" s="31" t="s">
        <v>51</v>
      </c>
      <c r="L33" s="70">
        <v>105</v>
      </c>
      <c r="M33" s="70" t="s">
        <v>45</v>
      </c>
      <c r="N33" s="70" t="s">
        <v>51</v>
      </c>
      <c r="O33" s="70" t="s">
        <v>42</v>
      </c>
      <c r="AF33" s="7">
        <v>42.5</v>
      </c>
      <c r="AG33" s="7" t="s">
        <v>45</v>
      </c>
      <c r="AH33" s="7" t="s">
        <v>51</v>
      </c>
      <c r="AI33" s="7" t="s">
        <v>37</v>
      </c>
      <c r="AK33" s="22">
        <v>57.5</v>
      </c>
      <c r="AL33" s="22" t="s">
        <v>46</v>
      </c>
      <c r="AM33" s="22" t="s">
        <v>51</v>
      </c>
      <c r="AN33" s="22" t="s">
        <v>41</v>
      </c>
      <c r="AS33" s="22" t="s">
        <v>41</v>
      </c>
      <c r="AU33" s="30">
        <v>57.5</v>
      </c>
      <c r="AV33" s="30" t="s">
        <v>45</v>
      </c>
      <c r="AW33" s="30" t="s">
        <v>51</v>
      </c>
      <c r="AX33" s="30" t="s">
        <v>37</v>
      </c>
      <c r="BF33" s="69">
        <v>58.5</v>
      </c>
      <c r="BG33" s="69" t="s">
        <v>47</v>
      </c>
      <c r="BH33" s="69" t="s">
        <v>52</v>
      </c>
      <c r="BI33" s="69" t="s">
        <v>41</v>
      </c>
      <c r="CP33" s="5">
        <v>130</v>
      </c>
      <c r="CQ33" s="5" t="s">
        <v>45</v>
      </c>
      <c r="CR33" s="5" t="s">
        <v>51</v>
      </c>
      <c r="CS33" s="5" t="s">
        <v>41</v>
      </c>
      <c r="CU33" s="6">
        <v>120</v>
      </c>
      <c r="CV33" s="6" t="s">
        <v>48</v>
      </c>
      <c r="CW33" s="6" t="s">
        <v>52</v>
      </c>
      <c r="CX33" s="6" t="s">
        <v>41</v>
      </c>
    </row>
    <row r="34" spans="1:107" x14ac:dyDescent="0.25">
      <c r="B34" s="5">
        <v>92.5</v>
      </c>
      <c r="C34" s="5" t="s">
        <v>47</v>
      </c>
      <c r="D34" s="5" t="s">
        <v>52</v>
      </c>
      <c r="E34" s="5" t="s">
        <v>41</v>
      </c>
      <c r="L34" s="70">
        <v>100</v>
      </c>
      <c r="M34" s="70" t="s">
        <v>45</v>
      </c>
      <c r="N34" s="70" t="s">
        <v>51</v>
      </c>
      <c r="O34" s="53" t="s">
        <v>62</v>
      </c>
      <c r="Q34" s="75"/>
      <c r="R34" s="75"/>
      <c r="S34" s="75"/>
      <c r="T34" s="75"/>
      <c r="V34" s="79"/>
      <c r="W34" s="79"/>
      <c r="X34" s="79"/>
      <c r="Y34" s="79"/>
      <c r="AA34" s="79"/>
      <c r="AB34" s="79"/>
      <c r="AC34" s="79"/>
      <c r="AD34" s="79"/>
      <c r="AF34" s="7">
        <v>42.5</v>
      </c>
      <c r="AG34" s="7" t="s">
        <v>45</v>
      </c>
      <c r="AH34" s="7" t="s">
        <v>51</v>
      </c>
      <c r="AI34" s="7" t="s">
        <v>37</v>
      </c>
      <c r="AK34" s="22">
        <v>57.5</v>
      </c>
      <c r="AL34" s="22" t="s">
        <v>46</v>
      </c>
      <c r="AM34" s="22" t="s">
        <v>51</v>
      </c>
      <c r="AN34" s="22" t="s">
        <v>41</v>
      </c>
      <c r="AS34" s="22" t="s">
        <v>41</v>
      </c>
      <c r="AU34" s="30">
        <v>57.5</v>
      </c>
      <c r="AV34" s="30" t="s">
        <v>45</v>
      </c>
      <c r="AW34" s="30" t="s">
        <v>51</v>
      </c>
      <c r="AX34" s="30" t="s">
        <v>37</v>
      </c>
      <c r="BF34" s="69">
        <v>58.5</v>
      </c>
      <c r="BG34" s="69" t="s">
        <v>47</v>
      </c>
      <c r="BH34" s="69" t="s">
        <v>52</v>
      </c>
      <c r="BI34" s="69" t="s">
        <v>37</v>
      </c>
      <c r="CP34" s="5">
        <v>130</v>
      </c>
      <c r="CQ34" s="5" t="s">
        <v>45</v>
      </c>
      <c r="CR34" s="5" t="s">
        <v>51</v>
      </c>
      <c r="CS34" s="5" t="s">
        <v>41</v>
      </c>
    </row>
    <row r="35" spans="1:107" x14ac:dyDescent="0.25">
      <c r="L35" s="70">
        <v>90</v>
      </c>
      <c r="M35" s="70" t="s">
        <v>45</v>
      </c>
      <c r="N35" s="70" t="s">
        <v>51</v>
      </c>
      <c r="O35" s="70" t="s">
        <v>41</v>
      </c>
      <c r="AF35" s="7">
        <v>42.5</v>
      </c>
      <c r="AG35" s="7" t="s">
        <v>45</v>
      </c>
      <c r="AH35" s="7" t="s">
        <v>51</v>
      </c>
      <c r="AI35" s="7" t="s">
        <v>37</v>
      </c>
      <c r="AK35" s="22">
        <v>57.5</v>
      </c>
      <c r="AL35" s="22" t="s">
        <v>46</v>
      </c>
      <c r="AM35" s="22" t="s">
        <v>51</v>
      </c>
      <c r="AN35" s="22" t="s">
        <v>41</v>
      </c>
      <c r="AS35" s="22" t="s">
        <v>41</v>
      </c>
      <c r="AU35" s="30">
        <v>57.5</v>
      </c>
      <c r="AV35" s="30" t="s">
        <v>45</v>
      </c>
      <c r="AW35" s="30" t="s">
        <v>51</v>
      </c>
      <c r="AX35" s="30" t="s">
        <v>41</v>
      </c>
    </row>
    <row r="36" spans="1:107" x14ac:dyDescent="0.25">
      <c r="AU36" s="30">
        <v>57.5</v>
      </c>
      <c r="AV36" s="30" t="s">
        <v>45</v>
      </c>
      <c r="AW36" s="30" t="s">
        <v>51</v>
      </c>
      <c r="AX36" s="30" t="s">
        <v>41</v>
      </c>
    </row>
    <row r="37" spans="1:107" x14ac:dyDescent="0.25">
      <c r="A37" s="10" t="s">
        <v>114</v>
      </c>
    </row>
    <row r="38" spans="1:107" x14ac:dyDescent="0.25">
      <c r="L38" s="70">
        <v>90</v>
      </c>
      <c r="M38" s="70" t="s">
        <v>47</v>
      </c>
      <c r="N38" s="70" t="s">
        <v>49</v>
      </c>
      <c r="O38" s="70" t="s">
        <v>37</v>
      </c>
      <c r="Q38" s="74">
        <v>90</v>
      </c>
      <c r="R38" s="74" t="s">
        <v>47</v>
      </c>
      <c r="S38" s="74" t="s">
        <v>50</v>
      </c>
      <c r="T38" s="74" t="s">
        <v>41</v>
      </c>
      <c r="V38" s="78">
        <v>80</v>
      </c>
      <c r="W38" s="78" t="s">
        <v>122</v>
      </c>
      <c r="X38" s="78" t="s">
        <v>49</v>
      </c>
      <c r="Y38" s="78" t="s">
        <v>41</v>
      </c>
      <c r="AF38" s="7">
        <v>40</v>
      </c>
      <c r="AG38" s="7" t="s">
        <v>47</v>
      </c>
      <c r="AH38" s="7" t="s">
        <v>49</v>
      </c>
      <c r="AI38" s="7" t="s">
        <v>41</v>
      </c>
      <c r="AK38" s="22">
        <v>55</v>
      </c>
      <c r="AL38" s="22" t="s">
        <v>46</v>
      </c>
      <c r="AM38" s="22" t="s">
        <v>49</v>
      </c>
      <c r="AN38" s="22" t="s">
        <v>37</v>
      </c>
      <c r="AS38" s="22" t="s">
        <v>37</v>
      </c>
      <c r="AU38" s="30">
        <v>55</v>
      </c>
      <c r="AV38" s="30" t="s">
        <v>47</v>
      </c>
      <c r="AW38" s="30" t="s">
        <v>49</v>
      </c>
      <c r="AX38" s="30" t="s">
        <v>41</v>
      </c>
      <c r="BK38" s="72">
        <v>55</v>
      </c>
      <c r="BL38" s="72" t="s">
        <v>47</v>
      </c>
      <c r="BM38" s="72" t="s">
        <v>50</v>
      </c>
      <c r="BN38" s="72" t="s">
        <v>37</v>
      </c>
      <c r="CP38" s="5">
        <v>112.5</v>
      </c>
      <c r="CQ38" s="5" t="s">
        <v>47</v>
      </c>
      <c r="CR38" s="5" t="s">
        <v>49</v>
      </c>
      <c r="CS38" s="5" t="s">
        <v>41</v>
      </c>
      <c r="CZ38" s="20">
        <v>90</v>
      </c>
      <c r="DA38" s="20" t="s">
        <v>47</v>
      </c>
      <c r="DB38" s="20" t="s">
        <v>50</v>
      </c>
      <c r="DC38" s="20" t="s">
        <v>41</v>
      </c>
    </row>
    <row r="39" spans="1:107" x14ac:dyDescent="0.25">
      <c r="L39" s="70">
        <v>100</v>
      </c>
      <c r="M39" s="70" t="s">
        <v>47</v>
      </c>
      <c r="N39" s="70" t="s">
        <v>50</v>
      </c>
      <c r="O39" s="70" t="s">
        <v>37</v>
      </c>
      <c r="Q39" s="74">
        <v>95</v>
      </c>
      <c r="R39" s="74" t="s">
        <v>47</v>
      </c>
      <c r="S39" s="74" t="s">
        <v>51</v>
      </c>
      <c r="T39" s="74" t="s">
        <v>41</v>
      </c>
      <c r="V39" s="78">
        <v>85</v>
      </c>
      <c r="W39" s="78" t="s">
        <v>122</v>
      </c>
      <c r="X39" s="78" t="s">
        <v>50</v>
      </c>
      <c r="Y39" s="78" t="s">
        <v>37</v>
      </c>
      <c r="AF39" s="7">
        <v>42.5</v>
      </c>
      <c r="AG39" s="7" t="s">
        <v>47</v>
      </c>
      <c r="AH39" s="7" t="s">
        <v>50</v>
      </c>
      <c r="AI39" s="7" t="s">
        <v>41</v>
      </c>
      <c r="AK39" s="22">
        <v>57.5</v>
      </c>
      <c r="AL39" s="22" t="s">
        <v>46</v>
      </c>
      <c r="AM39" s="22" t="s">
        <v>50</v>
      </c>
      <c r="AN39" s="22" t="s">
        <v>37</v>
      </c>
      <c r="AS39" s="22" t="s">
        <v>37</v>
      </c>
      <c r="AU39" s="30">
        <v>57.5</v>
      </c>
      <c r="AV39" s="30" t="s">
        <v>47</v>
      </c>
      <c r="AW39" s="30" t="s">
        <v>50</v>
      </c>
      <c r="AX39" s="30" t="s">
        <v>41</v>
      </c>
      <c r="BK39" s="72">
        <v>57.5</v>
      </c>
      <c r="BL39" s="72" t="s">
        <v>47</v>
      </c>
      <c r="BM39" s="72" t="s">
        <v>51</v>
      </c>
      <c r="BN39" s="72" t="s">
        <v>41</v>
      </c>
      <c r="CP39" s="5">
        <v>122.5</v>
      </c>
      <c r="CQ39" s="5" t="s">
        <v>47</v>
      </c>
      <c r="CR39" s="5" t="s">
        <v>50</v>
      </c>
      <c r="CS39" s="5" t="s">
        <v>37</v>
      </c>
      <c r="CZ39" s="20">
        <v>95</v>
      </c>
      <c r="DA39" s="20" t="s">
        <v>47</v>
      </c>
      <c r="DB39" s="20" t="s">
        <v>51</v>
      </c>
      <c r="DC39" s="20" t="s">
        <v>41</v>
      </c>
    </row>
    <row r="40" spans="1:107" x14ac:dyDescent="0.25">
      <c r="L40" s="70">
        <v>105</v>
      </c>
      <c r="M40" s="70" t="s">
        <v>47</v>
      </c>
      <c r="N40" s="70" t="s">
        <v>51</v>
      </c>
      <c r="O40" s="70" t="s">
        <v>41</v>
      </c>
      <c r="Q40" s="74">
        <v>97.5</v>
      </c>
      <c r="R40" s="74" t="s">
        <v>47</v>
      </c>
      <c r="S40" s="74" t="s">
        <v>52</v>
      </c>
      <c r="T40" s="74" t="s">
        <v>41</v>
      </c>
      <c r="V40" s="78">
        <v>90</v>
      </c>
      <c r="W40" s="78" t="s">
        <v>122</v>
      </c>
      <c r="X40" s="78" t="s">
        <v>51</v>
      </c>
      <c r="Y40" s="78" t="s">
        <v>41</v>
      </c>
      <c r="AF40" s="7">
        <v>43.5</v>
      </c>
      <c r="AG40" s="7" t="s">
        <v>47</v>
      </c>
      <c r="AH40" s="7" t="s">
        <v>51</v>
      </c>
      <c r="AI40" s="7" t="s">
        <v>37</v>
      </c>
      <c r="AK40" s="22">
        <v>58.5</v>
      </c>
      <c r="AL40" s="22" t="s">
        <v>46</v>
      </c>
      <c r="AM40" s="22" t="s">
        <v>51</v>
      </c>
      <c r="AN40" s="22" t="s">
        <v>37</v>
      </c>
      <c r="AS40" s="22" t="s">
        <v>37</v>
      </c>
      <c r="AU40" s="30">
        <v>60</v>
      </c>
      <c r="AV40" s="30" t="s">
        <v>47</v>
      </c>
      <c r="AW40" s="30" t="s">
        <v>51</v>
      </c>
      <c r="AX40" s="30" t="s">
        <v>41</v>
      </c>
      <c r="BK40" s="72">
        <v>58.5</v>
      </c>
      <c r="BL40" s="72" t="s">
        <v>47</v>
      </c>
      <c r="BM40" s="72" t="s">
        <v>52</v>
      </c>
      <c r="BN40" s="72" t="s">
        <v>37</v>
      </c>
      <c r="CP40" s="5">
        <v>132.5</v>
      </c>
      <c r="CQ40" s="5" t="s">
        <v>47</v>
      </c>
      <c r="CR40" s="5" t="s">
        <v>51</v>
      </c>
      <c r="CS40" s="5" t="s">
        <v>41</v>
      </c>
      <c r="CZ40" s="20">
        <v>100</v>
      </c>
      <c r="DA40" s="20" t="s">
        <v>47</v>
      </c>
      <c r="DB40" s="20" t="s">
        <v>52</v>
      </c>
      <c r="DC40" s="20" t="s">
        <v>37</v>
      </c>
    </row>
    <row r="41" spans="1:107" x14ac:dyDescent="0.25">
      <c r="L41" s="70">
        <v>105</v>
      </c>
      <c r="M41" s="70" t="s">
        <v>47</v>
      </c>
      <c r="N41" s="70" t="s">
        <v>51</v>
      </c>
      <c r="O41" s="70" t="s">
        <v>41</v>
      </c>
      <c r="Q41" s="74">
        <v>97.5</v>
      </c>
      <c r="R41" s="74" t="s">
        <v>47</v>
      </c>
      <c r="S41" s="74" t="s">
        <v>52</v>
      </c>
      <c r="T41" s="74" t="s">
        <v>41</v>
      </c>
      <c r="V41" s="78">
        <v>92.5</v>
      </c>
      <c r="W41" s="78" t="s">
        <v>122</v>
      </c>
      <c r="X41" s="78" t="s">
        <v>52</v>
      </c>
      <c r="Y41" s="78" t="s">
        <v>41</v>
      </c>
      <c r="AF41" s="7">
        <v>43.5</v>
      </c>
      <c r="AG41" s="7" t="s">
        <v>47</v>
      </c>
      <c r="AH41" s="7" t="s">
        <v>51</v>
      </c>
      <c r="AI41" s="7" t="s">
        <v>37</v>
      </c>
      <c r="AK41" s="22">
        <v>58.5</v>
      </c>
      <c r="AL41" s="22" t="s">
        <v>46</v>
      </c>
      <c r="AM41" s="22" t="s">
        <v>51</v>
      </c>
      <c r="AN41" s="22" t="s">
        <v>37</v>
      </c>
      <c r="AS41" s="22" t="s">
        <v>37</v>
      </c>
      <c r="AU41" s="30">
        <v>60</v>
      </c>
      <c r="AV41" s="30" t="s">
        <v>47</v>
      </c>
      <c r="AW41" s="30" t="s">
        <v>51</v>
      </c>
      <c r="AX41" s="30" t="s">
        <v>42</v>
      </c>
      <c r="BK41" s="72">
        <v>58.5</v>
      </c>
      <c r="BL41" s="72" t="s">
        <v>47</v>
      </c>
      <c r="BM41" s="72" t="s">
        <v>52</v>
      </c>
      <c r="BN41" s="72" t="s">
        <v>42</v>
      </c>
      <c r="CP41" s="5">
        <v>132.5</v>
      </c>
      <c r="CQ41" s="5" t="s">
        <v>47</v>
      </c>
      <c r="CR41" s="5" t="s">
        <v>51</v>
      </c>
      <c r="CS41" s="5" t="s">
        <v>41</v>
      </c>
      <c r="CZ41" s="20">
        <v>100</v>
      </c>
      <c r="DA41" s="20" t="s">
        <v>47</v>
      </c>
      <c r="DB41" s="20" t="s">
        <v>52</v>
      </c>
      <c r="DC41" s="20" t="s">
        <v>37</v>
      </c>
    </row>
    <row r="42" spans="1:107" x14ac:dyDescent="0.25">
      <c r="L42" s="70">
        <v>105</v>
      </c>
      <c r="M42" s="70" t="s">
        <v>47</v>
      </c>
      <c r="N42" s="70" t="s">
        <v>51</v>
      </c>
      <c r="O42" s="70" t="s">
        <v>41</v>
      </c>
      <c r="V42" s="78">
        <v>92.5</v>
      </c>
      <c r="W42" s="78" t="s">
        <v>122</v>
      </c>
      <c r="X42" s="78" t="s">
        <v>52</v>
      </c>
      <c r="Y42" s="78" t="s">
        <v>41</v>
      </c>
      <c r="AF42" s="7">
        <v>43.5</v>
      </c>
      <c r="AG42" s="7" t="s">
        <v>47</v>
      </c>
      <c r="AH42" s="7" t="s">
        <v>51</v>
      </c>
      <c r="AI42" s="7" t="s">
        <v>37</v>
      </c>
      <c r="AK42" s="22">
        <v>58.5</v>
      </c>
      <c r="AL42" s="22" t="s">
        <v>46</v>
      </c>
      <c r="AM42" s="22" t="s">
        <v>51</v>
      </c>
      <c r="AN42" s="22" t="s">
        <v>37</v>
      </c>
      <c r="AS42" s="22" t="s">
        <v>37</v>
      </c>
      <c r="AU42" s="30">
        <v>57.5</v>
      </c>
      <c r="AV42" s="30" t="s">
        <v>47</v>
      </c>
      <c r="AW42" s="30" t="s">
        <v>51</v>
      </c>
      <c r="AX42" s="30" t="s">
        <v>41</v>
      </c>
      <c r="CP42" s="5">
        <v>132.5</v>
      </c>
      <c r="CQ42" s="5" t="s">
        <v>47</v>
      </c>
      <c r="CR42" s="5" t="s">
        <v>51</v>
      </c>
      <c r="CS42" s="5" t="s">
        <v>41</v>
      </c>
    </row>
    <row r="43" spans="1:107" x14ac:dyDescent="0.25">
      <c r="AF43" s="7">
        <v>43.5</v>
      </c>
      <c r="AG43" s="7" t="s">
        <v>47</v>
      </c>
      <c r="AH43" s="7" t="s">
        <v>51</v>
      </c>
      <c r="AI43" s="7" t="s">
        <v>37</v>
      </c>
      <c r="AK43" s="22">
        <v>58.5</v>
      </c>
      <c r="AL43" s="22" t="s">
        <v>46</v>
      </c>
      <c r="AM43" s="22" t="s">
        <v>51</v>
      </c>
      <c r="AN43" s="22" t="s">
        <v>37</v>
      </c>
      <c r="AS43" s="22" t="s">
        <v>37</v>
      </c>
      <c r="AU43" s="30">
        <v>57.5</v>
      </c>
      <c r="AV43" s="30" t="s">
        <v>47</v>
      </c>
      <c r="AW43" s="30" t="s">
        <v>51</v>
      </c>
      <c r="AX43" s="30" t="s">
        <v>41</v>
      </c>
    </row>
    <row r="44" spans="1:107" x14ac:dyDescent="0.25">
      <c r="AF44" s="7">
        <v>43.5</v>
      </c>
      <c r="AG44" s="7" t="s">
        <v>47</v>
      </c>
      <c r="AH44" s="7" t="s">
        <v>51</v>
      </c>
      <c r="AI44" s="7" t="s">
        <v>37</v>
      </c>
      <c r="AK44" s="22">
        <v>58.5</v>
      </c>
      <c r="AL44" s="22" t="s">
        <v>46</v>
      </c>
      <c r="AM44" s="22" t="s">
        <v>51</v>
      </c>
      <c r="AN44" s="22" t="s">
        <v>37</v>
      </c>
      <c r="AS44" s="22" t="s">
        <v>37</v>
      </c>
      <c r="AU44" s="30">
        <v>57.5</v>
      </c>
      <c r="AV44" s="30" t="s">
        <v>47</v>
      </c>
      <c r="AW44" s="30" t="s">
        <v>51</v>
      </c>
      <c r="AX44" s="30" t="s">
        <v>41</v>
      </c>
    </row>
    <row r="45" spans="1:107" x14ac:dyDescent="0.25">
      <c r="A45" s="10" t="s">
        <v>123</v>
      </c>
    </row>
    <row r="46" spans="1:107" x14ac:dyDescent="0.25">
      <c r="L46" s="70">
        <v>110</v>
      </c>
      <c r="M46" s="70" t="s">
        <v>124</v>
      </c>
      <c r="N46" s="70" t="s">
        <v>51</v>
      </c>
      <c r="O46" s="70" t="s">
        <v>37</v>
      </c>
      <c r="Q46" s="74">
        <v>95</v>
      </c>
      <c r="R46" s="74" t="s">
        <v>125</v>
      </c>
      <c r="S46" s="74" t="s">
        <v>50</v>
      </c>
      <c r="T46" s="74" t="s">
        <v>37</v>
      </c>
      <c r="V46" s="78">
        <v>80</v>
      </c>
      <c r="W46" s="78" t="s">
        <v>122</v>
      </c>
      <c r="X46" s="78" t="s">
        <v>49</v>
      </c>
      <c r="Y46" s="78" t="s">
        <v>37</v>
      </c>
      <c r="AF46" s="7">
        <v>47.5</v>
      </c>
      <c r="AG46" s="7" t="s">
        <v>124</v>
      </c>
      <c r="AH46" s="7" t="s">
        <v>50</v>
      </c>
      <c r="AI46" s="7" t="s">
        <v>37</v>
      </c>
      <c r="AK46" s="22">
        <v>57.5</v>
      </c>
      <c r="AL46" s="22" t="s">
        <v>122</v>
      </c>
      <c r="AM46" s="22" t="s">
        <v>49</v>
      </c>
      <c r="AN46" s="22" t="s">
        <v>41</v>
      </c>
      <c r="AS46" s="22" t="s">
        <v>41</v>
      </c>
      <c r="AU46" s="30">
        <v>63.5</v>
      </c>
      <c r="AV46" s="30" t="s">
        <v>124</v>
      </c>
      <c r="AW46" s="30" t="s">
        <v>51</v>
      </c>
      <c r="AX46" s="30" t="s">
        <v>37</v>
      </c>
      <c r="BK46" s="72">
        <v>57.5</v>
      </c>
      <c r="BL46" s="72" t="s">
        <v>125</v>
      </c>
      <c r="BM46" s="76" t="s">
        <v>50</v>
      </c>
      <c r="BN46" s="72" t="s">
        <v>41</v>
      </c>
      <c r="CP46" s="5">
        <v>137.5</v>
      </c>
      <c r="CQ46" s="5" t="s">
        <v>124</v>
      </c>
      <c r="CR46" s="8" t="s">
        <v>51</v>
      </c>
      <c r="CS46" s="5" t="s">
        <v>37</v>
      </c>
      <c r="CZ46" s="20">
        <v>90</v>
      </c>
      <c r="DA46" s="77" t="s">
        <v>47</v>
      </c>
      <c r="DB46" s="77" t="s">
        <v>50</v>
      </c>
      <c r="DC46" s="20" t="s">
        <v>41</v>
      </c>
    </row>
    <row r="47" spans="1:107" x14ac:dyDescent="0.25">
      <c r="L47" s="70">
        <v>105</v>
      </c>
      <c r="M47" s="70" t="s">
        <v>47</v>
      </c>
      <c r="N47" s="70" t="s">
        <v>51</v>
      </c>
      <c r="O47" s="70" t="s">
        <v>37</v>
      </c>
      <c r="Q47" s="74">
        <v>100</v>
      </c>
      <c r="R47" s="74" t="s">
        <v>125</v>
      </c>
      <c r="S47" s="74" t="s">
        <v>51</v>
      </c>
      <c r="T47" s="74" t="s">
        <v>41</v>
      </c>
      <c r="V47" s="78">
        <v>85</v>
      </c>
      <c r="W47" s="78" t="s">
        <v>122</v>
      </c>
      <c r="X47" s="78" t="s">
        <v>50</v>
      </c>
      <c r="Y47" s="78" t="s">
        <v>37</v>
      </c>
      <c r="AF47" s="7">
        <v>45</v>
      </c>
      <c r="AG47" s="7" t="s">
        <v>47</v>
      </c>
      <c r="AH47" s="7" t="s">
        <v>51</v>
      </c>
      <c r="AI47" s="7" t="s">
        <v>37</v>
      </c>
      <c r="AK47" s="22">
        <v>60</v>
      </c>
      <c r="AL47" s="22" t="s">
        <v>122</v>
      </c>
      <c r="AM47" s="22" t="s">
        <v>50</v>
      </c>
      <c r="AN47" s="22" t="s">
        <v>37</v>
      </c>
      <c r="AS47" s="22" t="s">
        <v>37</v>
      </c>
      <c r="AU47" s="30">
        <v>58.5</v>
      </c>
      <c r="AV47" s="30" t="s">
        <v>47</v>
      </c>
      <c r="AW47" s="30" t="s">
        <v>51</v>
      </c>
      <c r="AX47" s="30" t="s">
        <v>37</v>
      </c>
      <c r="BK47" s="72">
        <v>60</v>
      </c>
      <c r="BL47" s="76" t="s">
        <v>125</v>
      </c>
      <c r="BM47" s="76" t="s">
        <v>51</v>
      </c>
      <c r="BN47" s="72" t="s">
        <v>41</v>
      </c>
      <c r="CP47" s="5">
        <v>132.5</v>
      </c>
      <c r="CQ47" s="5" t="s">
        <v>47</v>
      </c>
      <c r="CR47" s="8" t="s">
        <v>51</v>
      </c>
      <c r="CS47" s="5" t="s">
        <v>41</v>
      </c>
      <c r="CZ47" s="20">
        <v>95</v>
      </c>
      <c r="DA47" s="77" t="s">
        <v>47</v>
      </c>
      <c r="DB47" s="77" t="s">
        <v>51</v>
      </c>
      <c r="DC47" s="20" t="s">
        <v>41</v>
      </c>
    </row>
    <row r="48" spans="1:107" x14ac:dyDescent="0.25">
      <c r="L48" s="70">
        <v>105</v>
      </c>
      <c r="M48" s="70" t="s">
        <v>47</v>
      </c>
      <c r="N48" s="70" t="s">
        <v>51</v>
      </c>
      <c r="O48" s="70" t="s">
        <v>37</v>
      </c>
      <c r="Q48" s="74">
        <v>102.5</v>
      </c>
      <c r="R48" s="74" t="s">
        <v>125</v>
      </c>
      <c r="S48" s="74" t="s">
        <v>52</v>
      </c>
      <c r="T48" s="74" t="s">
        <v>41</v>
      </c>
      <c r="V48" s="78">
        <v>90</v>
      </c>
      <c r="W48" s="78" t="s">
        <v>122</v>
      </c>
      <c r="X48" s="78" t="s">
        <v>51</v>
      </c>
      <c r="Y48" s="78" t="s">
        <v>37</v>
      </c>
      <c r="AF48" s="7">
        <v>45</v>
      </c>
      <c r="AG48" s="7" t="s">
        <v>47</v>
      </c>
      <c r="AH48" s="7" t="s">
        <v>51</v>
      </c>
      <c r="AI48" s="7" t="s">
        <v>37</v>
      </c>
      <c r="AK48" s="22">
        <v>62.5</v>
      </c>
      <c r="AL48" s="22" t="s">
        <v>122</v>
      </c>
      <c r="AM48" s="22" t="s">
        <v>51</v>
      </c>
      <c r="AN48" s="22" t="s">
        <v>37</v>
      </c>
      <c r="AS48" s="22" t="s">
        <v>37</v>
      </c>
      <c r="AU48" s="30">
        <v>58.5</v>
      </c>
      <c r="AV48" s="30" t="s">
        <v>47</v>
      </c>
      <c r="AW48" s="30" t="s">
        <v>51</v>
      </c>
      <c r="AX48" s="30" t="s">
        <v>37</v>
      </c>
      <c r="BK48" s="72">
        <v>61</v>
      </c>
      <c r="BL48" s="76" t="s">
        <v>125</v>
      </c>
      <c r="BM48" s="76" t="s">
        <v>52</v>
      </c>
      <c r="BN48" s="72" t="s">
        <v>37</v>
      </c>
      <c r="CP48" s="5">
        <v>132.5</v>
      </c>
      <c r="CQ48" s="5" t="s">
        <v>47</v>
      </c>
      <c r="CR48" s="8" t="s">
        <v>51</v>
      </c>
      <c r="CS48" s="5" t="s">
        <v>41</v>
      </c>
      <c r="CZ48" s="20">
        <v>102.5</v>
      </c>
      <c r="DA48" s="77" t="s">
        <v>47</v>
      </c>
      <c r="DB48" s="77" t="s">
        <v>52</v>
      </c>
      <c r="DC48" s="20" t="s">
        <v>37</v>
      </c>
    </row>
    <row r="49" spans="1:107" x14ac:dyDescent="0.25">
      <c r="L49" s="70">
        <v>105</v>
      </c>
      <c r="M49" s="70" t="s">
        <v>47</v>
      </c>
      <c r="N49" s="53" t="s">
        <v>51</v>
      </c>
      <c r="O49" s="70" t="s">
        <v>37</v>
      </c>
      <c r="Q49" s="74">
        <v>102.5</v>
      </c>
      <c r="R49" s="74" t="s">
        <v>125</v>
      </c>
      <c r="S49" s="74" t="s">
        <v>52</v>
      </c>
      <c r="T49" s="74" t="s">
        <v>41</v>
      </c>
      <c r="V49" s="78">
        <v>90</v>
      </c>
      <c r="W49" s="78" t="s">
        <v>122</v>
      </c>
      <c r="X49" s="78" t="s">
        <v>51</v>
      </c>
      <c r="Y49" s="78" t="s">
        <v>37</v>
      </c>
      <c r="AF49" s="7">
        <v>45</v>
      </c>
      <c r="AG49" s="7" t="s">
        <v>47</v>
      </c>
      <c r="AH49" s="7" t="s">
        <v>51</v>
      </c>
      <c r="AI49" s="7" t="s">
        <v>37</v>
      </c>
      <c r="AK49" s="22">
        <v>62.5</v>
      </c>
      <c r="AL49" s="22" t="s">
        <v>122</v>
      </c>
      <c r="AM49" s="22" t="s">
        <v>51</v>
      </c>
      <c r="AN49" s="22" t="s">
        <v>37</v>
      </c>
      <c r="AS49" s="22" t="s">
        <v>37</v>
      </c>
      <c r="AU49" s="30">
        <v>58.5</v>
      </c>
      <c r="AV49" s="30" t="s">
        <v>47</v>
      </c>
      <c r="AW49" s="30" t="s">
        <v>51</v>
      </c>
      <c r="AX49" s="30" t="s">
        <v>37</v>
      </c>
      <c r="BK49" s="72">
        <v>62.5</v>
      </c>
      <c r="BL49" s="76" t="s">
        <v>125</v>
      </c>
      <c r="BM49" s="76" t="s">
        <v>52</v>
      </c>
      <c r="BN49" s="72" t="s">
        <v>41</v>
      </c>
      <c r="CP49" s="5">
        <v>132.5</v>
      </c>
      <c r="CQ49" s="5" t="s">
        <v>47</v>
      </c>
      <c r="CR49" s="8" t="s">
        <v>51</v>
      </c>
      <c r="CS49" s="5" t="s">
        <v>41</v>
      </c>
      <c r="CZ49" s="77">
        <v>102.5</v>
      </c>
      <c r="DA49" s="77" t="s">
        <v>47</v>
      </c>
      <c r="DB49" s="77" t="s">
        <v>52</v>
      </c>
      <c r="DC49" s="20" t="s">
        <v>37</v>
      </c>
    </row>
    <row r="50" spans="1:107" x14ac:dyDescent="0.25">
      <c r="Q50" s="74">
        <v>102.5</v>
      </c>
      <c r="R50" s="74" t="s">
        <v>125</v>
      </c>
      <c r="S50" s="74" t="s">
        <v>52</v>
      </c>
      <c r="V50" s="78">
        <v>90</v>
      </c>
      <c r="W50" s="78" t="s">
        <v>122</v>
      </c>
      <c r="X50" s="78" t="s">
        <v>51</v>
      </c>
      <c r="Y50" s="78" t="s">
        <v>37</v>
      </c>
      <c r="AF50" s="7">
        <v>45</v>
      </c>
      <c r="AG50" s="7" t="s">
        <v>47</v>
      </c>
      <c r="AH50" s="7" t="s">
        <v>51</v>
      </c>
      <c r="AI50" s="7" t="s">
        <v>37</v>
      </c>
      <c r="AK50" s="22">
        <v>62.5</v>
      </c>
      <c r="AL50" s="22" t="s">
        <v>122</v>
      </c>
      <c r="AM50" s="22" t="s">
        <v>51</v>
      </c>
      <c r="AN50" s="22" t="s">
        <v>37</v>
      </c>
      <c r="AS50" s="22" t="s">
        <v>37</v>
      </c>
      <c r="AU50" s="30">
        <v>58.5</v>
      </c>
      <c r="AV50" s="30" t="s">
        <v>47</v>
      </c>
      <c r="AW50" s="30" t="s">
        <v>51</v>
      </c>
      <c r="AX50" s="30" t="s">
        <v>37</v>
      </c>
      <c r="BK50" s="76">
        <v>62.5</v>
      </c>
      <c r="BL50" s="76" t="s">
        <v>125</v>
      </c>
      <c r="BM50" s="76" t="s">
        <v>52</v>
      </c>
      <c r="BN50" s="72" t="s">
        <v>42</v>
      </c>
      <c r="CR50" s="8"/>
    </row>
    <row r="51" spans="1:107" x14ac:dyDescent="0.25">
      <c r="V51" s="78">
        <v>90</v>
      </c>
      <c r="W51" s="78" t="s">
        <v>122</v>
      </c>
      <c r="X51" s="78" t="s">
        <v>51</v>
      </c>
      <c r="Y51" s="78" t="s">
        <v>37</v>
      </c>
      <c r="AK51" s="22">
        <v>62.5</v>
      </c>
      <c r="AL51" s="22" t="s">
        <v>122</v>
      </c>
      <c r="AM51" s="22" t="s">
        <v>51</v>
      </c>
      <c r="AN51" s="22" t="s">
        <v>37</v>
      </c>
      <c r="AS51" s="22" t="s">
        <v>37</v>
      </c>
    </row>
    <row r="52" spans="1:107" x14ac:dyDescent="0.25">
      <c r="A52" s="10" t="s">
        <v>190</v>
      </c>
      <c r="DB52" s="90"/>
    </row>
    <row r="53" spans="1:107" x14ac:dyDescent="0.25">
      <c r="L53" s="70">
        <v>112.5</v>
      </c>
      <c r="M53" s="70" t="s">
        <v>124</v>
      </c>
      <c r="N53" s="70" t="s">
        <v>51</v>
      </c>
      <c r="O53" s="70" t="s">
        <v>41</v>
      </c>
      <c r="Q53" s="74">
        <v>95</v>
      </c>
      <c r="R53" s="74" t="s">
        <v>125</v>
      </c>
      <c r="S53" s="74" t="s">
        <v>50</v>
      </c>
      <c r="T53" s="74" t="s">
        <v>37</v>
      </c>
      <c r="V53" s="78">
        <v>82.5</v>
      </c>
      <c r="W53" s="78" t="s">
        <v>122</v>
      </c>
      <c r="X53" s="79" t="s">
        <v>49</v>
      </c>
      <c r="Y53" s="78" t="s">
        <v>37</v>
      </c>
      <c r="AF53" s="7">
        <v>51</v>
      </c>
      <c r="AG53" s="7" t="s">
        <v>124</v>
      </c>
      <c r="AH53" s="7" t="s">
        <v>51</v>
      </c>
      <c r="AI53" s="7" t="s">
        <v>41</v>
      </c>
      <c r="AK53" s="22">
        <v>57.5</v>
      </c>
      <c r="AL53" s="22" t="s">
        <v>122</v>
      </c>
      <c r="AM53" s="22" t="s">
        <v>49</v>
      </c>
      <c r="AN53" s="22" t="s">
        <v>37</v>
      </c>
      <c r="AS53" s="22" t="s">
        <v>37</v>
      </c>
      <c r="AU53" s="30">
        <v>66</v>
      </c>
      <c r="AV53" s="30" t="s">
        <v>124</v>
      </c>
      <c r="AW53" s="30" t="s">
        <v>51</v>
      </c>
      <c r="AX53" s="30" t="s">
        <v>37</v>
      </c>
      <c r="CK53" s="97">
        <v>58.5</v>
      </c>
      <c r="CL53" s="97" t="s">
        <v>125</v>
      </c>
      <c r="CM53" s="97" t="s">
        <v>50</v>
      </c>
      <c r="CN53" s="97" t="s">
        <v>37</v>
      </c>
      <c r="CP53" s="5">
        <v>146</v>
      </c>
      <c r="CQ53" s="5" t="s">
        <v>124</v>
      </c>
      <c r="CR53" s="8" t="s">
        <v>51</v>
      </c>
      <c r="CS53" s="5" t="s">
        <v>37</v>
      </c>
      <c r="CZ53" s="98">
        <v>100</v>
      </c>
      <c r="DA53" s="98" t="s">
        <v>125</v>
      </c>
      <c r="DB53" s="98" t="s">
        <v>50</v>
      </c>
      <c r="DC53" s="98" t="s">
        <v>37</v>
      </c>
    </row>
    <row r="54" spans="1:107" x14ac:dyDescent="0.25">
      <c r="L54" s="70">
        <v>107.5</v>
      </c>
      <c r="M54" s="70" t="s">
        <v>125</v>
      </c>
      <c r="N54" s="70" t="s">
        <v>51</v>
      </c>
      <c r="O54" s="70" t="s">
        <v>37</v>
      </c>
      <c r="Q54" s="74">
        <v>100</v>
      </c>
      <c r="R54" s="74" t="s">
        <v>125</v>
      </c>
      <c r="S54" s="74" t="s">
        <v>51</v>
      </c>
      <c r="T54" s="74" t="s">
        <v>41</v>
      </c>
      <c r="V54" s="78">
        <v>87.5</v>
      </c>
      <c r="W54" s="78" t="s">
        <v>122</v>
      </c>
      <c r="X54" s="78" t="s">
        <v>50</v>
      </c>
      <c r="Y54" s="78" t="s">
        <v>37</v>
      </c>
      <c r="AF54" s="7">
        <v>45</v>
      </c>
      <c r="AG54" s="7" t="s">
        <v>47</v>
      </c>
      <c r="AH54" s="7" t="s">
        <v>52</v>
      </c>
      <c r="AI54" s="7" t="s">
        <v>37</v>
      </c>
      <c r="AK54" s="22">
        <v>62.5</v>
      </c>
      <c r="AL54" s="22" t="s">
        <v>122</v>
      </c>
      <c r="AM54" s="22" t="s">
        <v>50</v>
      </c>
      <c r="AN54" s="22" t="s">
        <v>37</v>
      </c>
      <c r="AS54" s="22" t="s">
        <v>37</v>
      </c>
      <c r="AU54" s="30">
        <v>61</v>
      </c>
      <c r="AV54" s="30" t="s">
        <v>125</v>
      </c>
      <c r="AW54" s="30" t="s">
        <v>51</v>
      </c>
      <c r="AX54" s="30" t="s">
        <v>37</v>
      </c>
      <c r="CK54" s="97">
        <v>60</v>
      </c>
      <c r="CL54" s="97" t="s">
        <v>125</v>
      </c>
      <c r="CM54" s="97" t="s">
        <v>51</v>
      </c>
      <c r="CN54" s="97" t="s">
        <v>37</v>
      </c>
      <c r="CP54" s="5">
        <v>135</v>
      </c>
      <c r="CQ54" s="5" t="s">
        <v>125</v>
      </c>
      <c r="CR54" s="8" t="s">
        <v>51</v>
      </c>
      <c r="CS54" s="5" t="s">
        <v>37</v>
      </c>
      <c r="CZ54" s="98">
        <v>105</v>
      </c>
      <c r="DA54" s="98" t="s">
        <v>125</v>
      </c>
      <c r="DB54" s="98" t="s">
        <v>51</v>
      </c>
      <c r="DC54" s="98" t="s">
        <v>37</v>
      </c>
    </row>
    <row r="55" spans="1:107" x14ac:dyDescent="0.25">
      <c r="L55" s="70">
        <v>107.5</v>
      </c>
      <c r="M55" s="70" t="s">
        <v>125</v>
      </c>
      <c r="N55" s="70" t="s">
        <v>51</v>
      </c>
      <c r="O55" s="70" t="s">
        <v>41</v>
      </c>
      <c r="Q55" s="74">
        <v>102.5</v>
      </c>
      <c r="R55" s="74" t="s">
        <v>125</v>
      </c>
      <c r="S55" s="74" t="s">
        <v>52</v>
      </c>
      <c r="T55" s="74" t="s">
        <v>37</v>
      </c>
      <c r="V55" s="78">
        <v>92.5</v>
      </c>
      <c r="W55" s="78" t="s">
        <v>122</v>
      </c>
      <c r="X55" s="78" t="s">
        <v>51</v>
      </c>
      <c r="Y55" s="78" t="s">
        <v>37</v>
      </c>
      <c r="AF55" s="7">
        <v>46</v>
      </c>
      <c r="AG55" s="7" t="s">
        <v>47</v>
      </c>
      <c r="AH55" s="7" t="s">
        <v>52</v>
      </c>
      <c r="AI55" s="7" t="s">
        <v>37</v>
      </c>
      <c r="AK55" s="22">
        <v>67.5</v>
      </c>
      <c r="AL55" s="22" t="s">
        <v>122</v>
      </c>
      <c r="AM55" s="22" t="s">
        <v>51</v>
      </c>
      <c r="AN55" s="22" t="s">
        <v>37</v>
      </c>
      <c r="AS55" s="22" t="s">
        <v>37</v>
      </c>
      <c r="AU55" s="30">
        <v>61</v>
      </c>
      <c r="AV55" s="30" t="s">
        <v>125</v>
      </c>
      <c r="AW55" s="30" t="s">
        <v>51</v>
      </c>
      <c r="AX55" s="30" t="s">
        <v>37</v>
      </c>
      <c r="CK55" s="97">
        <v>63.5</v>
      </c>
      <c r="CL55" s="97" t="s">
        <v>125</v>
      </c>
      <c r="CM55" s="97" t="s">
        <v>52</v>
      </c>
      <c r="CN55" s="97" t="s">
        <v>41</v>
      </c>
      <c r="CP55" s="5">
        <v>135</v>
      </c>
      <c r="CQ55" s="5" t="s">
        <v>125</v>
      </c>
      <c r="CR55" s="8" t="s">
        <v>51</v>
      </c>
      <c r="CS55" s="5" t="s">
        <v>37</v>
      </c>
      <c r="CZ55" s="98">
        <v>110</v>
      </c>
      <c r="DA55" s="98" t="s">
        <v>125</v>
      </c>
      <c r="DB55" s="98" t="s">
        <v>52</v>
      </c>
      <c r="DC55" s="98" t="s">
        <v>37</v>
      </c>
    </row>
    <row r="56" spans="1:107" x14ac:dyDescent="0.25">
      <c r="L56" s="70">
        <v>107.5</v>
      </c>
      <c r="M56" s="70" t="s">
        <v>125</v>
      </c>
      <c r="N56" s="70" t="s">
        <v>51</v>
      </c>
      <c r="O56" s="70" t="s">
        <v>41</v>
      </c>
      <c r="Q56" s="74">
        <v>102.5</v>
      </c>
      <c r="R56" s="74" t="s">
        <v>125</v>
      </c>
      <c r="S56" s="74" t="s">
        <v>52</v>
      </c>
      <c r="T56" s="74" t="s">
        <v>37</v>
      </c>
      <c r="V56" s="78">
        <v>92.5</v>
      </c>
      <c r="W56" s="78" t="s">
        <v>122</v>
      </c>
      <c r="X56" s="78" t="s">
        <v>51</v>
      </c>
      <c r="Y56" s="78" t="s">
        <v>37</v>
      </c>
      <c r="AF56" s="7">
        <v>47.5</v>
      </c>
      <c r="AG56" s="7" t="s">
        <v>47</v>
      </c>
      <c r="AH56" s="7" t="s">
        <v>52</v>
      </c>
      <c r="AI56" s="7" t="s">
        <v>41</v>
      </c>
      <c r="AK56" s="22">
        <v>67.5</v>
      </c>
      <c r="AL56" s="22" t="s">
        <v>122</v>
      </c>
      <c r="AM56" s="22" t="s">
        <v>51</v>
      </c>
      <c r="AN56" s="22" t="s">
        <v>37</v>
      </c>
      <c r="AS56" s="22" t="s">
        <v>37</v>
      </c>
      <c r="AU56" s="30">
        <v>61</v>
      </c>
      <c r="AV56" s="30" t="s">
        <v>125</v>
      </c>
      <c r="AW56" s="30" t="s">
        <v>51</v>
      </c>
      <c r="AX56" s="30" t="s">
        <v>37</v>
      </c>
      <c r="CK56" s="97">
        <v>63.5</v>
      </c>
      <c r="CL56" s="97" t="s">
        <v>125</v>
      </c>
      <c r="CM56" s="97" t="s">
        <v>52</v>
      </c>
      <c r="CN56" s="97" t="s">
        <v>41</v>
      </c>
      <c r="CP56" s="5">
        <v>135</v>
      </c>
      <c r="CQ56" s="5" t="s">
        <v>125</v>
      </c>
      <c r="CR56" s="8" t="s">
        <v>51</v>
      </c>
      <c r="CS56" s="5" t="s">
        <v>37</v>
      </c>
      <c r="CZ56" s="98">
        <v>110</v>
      </c>
      <c r="DA56" s="98" t="s">
        <v>125</v>
      </c>
      <c r="DB56" s="98" t="s">
        <v>52</v>
      </c>
      <c r="DC56" s="98" t="s">
        <v>37</v>
      </c>
    </row>
    <row r="57" spans="1:107" x14ac:dyDescent="0.25">
      <c r="L57" s="70">
        <v>107.5</v>
      </c>
      <c r="M57" s="70" t="s">
        <v>125</v>
      </c>
      <c r="N57" s="70" t="s">
        <v>51</v>
      </c>
      <c r="O57" s="70" t="s">
        <v>41</v>
      </c>
      <c r="Q57" s="74">
        <v>102.5</v>
      </c>
      <c r="R57" s="74" t="s">
        <v>125</v>
      </c>
      <c r="S57" s="74" t="s">
        <v>52</v>
      </c>
      <c r="T57" s="74" t="s">
        <v>37</v>
      </c>
      <c r="V57" s="78">
        <v>92.5</v>
      </c>
      <c r="W57" s="78" t="s">
        <v>122</v>
      </c>
      <c r="X57" s="78" t="s">
        <v>51</v>
      </c>
      <c r="Y57" s="78" t="s">
        <v>37</v>
      </c>
      <c r="AF57" s="7">
        <v>47.5</v>
      </c>
      <c r="AG57" s="7" t="s">
        <v>47</v>
      </c>
      <c r="AH57" s="7" t="s">
        <v>52</v>
      </c>
      <c r="AI57" s="7" t="s">
        <v>37</v>
      </c>
      <c r="AK57" s="22">
        <v>67.5</v>
      </c>
      <c r="AL57" s="22" t="s">
        <v>122</v>
      </c>
      <c r="AM57" s="22" t="s">
        <v>51</v>
      </c>
      <c r="AN57" s="22" t="s">
        <v>37</v>
      </c>
      <c r="AS57" s="22" t="s">
        <v>37</v>
      </c>
      <c r="AU57" s="30">
        <v>61</v>
      </c>
      <c r="AV57" s="30" t="s">
        <v>125</v>
      </c>
      <c r="AW57" s="30" t="s">
        <v>51</v>
      </c>
      <c r="AX57" s="30" t="s">
        <v>37</v>
      </c>
      <c r="CK57" s="97">
        <v>63.5</v>
      </c>
      <c r="CL57" s="97" t="s">
        <v>125</v>
      </c>
      <c r="CM57" s="97" t="s">
        <v>52</v>
      </c>
      <c r="CN57" s="97" t="s">
        <v>41</v>
      </c>
      <c r="CP57" s="5">
        <v>135</v>
      </c>
      <c r="CQ57" s="5" t="s">
        <v>125</v>
      </c>
      <c r="CR57" s="8" t="s">
        <v>51</v>
      </c>
    </row>
    <row r="58" spans="1:107" x14ac:dyDescent="0.25">
      <c r="V58" s="78">
        <v>92.5</v>
      </c>
      <c r="W58" s="78" t="s">
        <v>122</v>
      </c>
      <c r="X58" s="78" t="s">
        <v>51</v>
      </c>
      <c r="Y58" s="78" t="s">
        <v>41</v>
      </c>
      <c r="AK58" s="22">
        <v>67.5</v>
      </c>
      <c r="AL58" s="22" t="s">
        <v>122</v>
      </c>
      <c r="AM58" s="22" t="s">
        <v>51</v>
      </c>
      <c r="AN58" s="22" t="s">
        <v>37</v>
      </c>
      <c r="AS58" s="22" t="s">
        <v>37</v>
      </c>
    </row>
    <row r="59" spans="1:107" x14ac:dyDescent="0.25">
      <c r="A59" s="10" t="s">
        <v>203</v>
      </c>
    </row>
    <row r="60" spans="1:107" x14ac:dyDescent="0.25">
      <c r="L60" s="70">
        <v>115</v>
      </c>
      <c r="M60" s="70" t="s">
        <v>124</v>
      </c>
      <c r="N60" s="70" t="s">
        <v>51</v>
      </c>
      <c r="O60" s="70" t="s">
        <v>37</v>
      </c>
      <c r="Q60" s="74">
        <v>97.5</v>
      </c>
      <c r="R60" s="74" t="s">
        <v>47</v>
      </c>
      <c r="S60" s="74" t="s">
        <v>50</v>
      </c>
      <c r="T60" s="74" t="s">
        <v>42</v>
      </c>
      <c r="V60" s="78">
        <v>85</v>
      </c>
      <c r="W60" s="78" t="s">
        <v>122</v>
      </c>
      <c r="X60" s="79" t="s">
        <v>49</v>
      </c>
      <c r="Y60" s="78" t="s">
        <v>37</v>
      </c>
      <c r="AF60" s="7">
        <v>52.5</v>
      </c>
      <c r="AG60" s="7" t="s">
        <v>124</v>
      </c>
      <c r="AH60" s="7" t="s">
        <v>51</v>
      </c>
      <c r="AI60" s="7" t="s">
        <v>41</v>
      </c>
      <c r="AK60" s="22">
        <v>60</v>
      </c>
      <c r="AL60" s="22" t="s">
        <v>122</v>
      </c>
      <c r="AM60" s="22" t="s">
        <v>49</v>
      </c>
      <c r="AN60" s="22" t="s">
        <v>37</v>
      </c>
      <c r="AS60" s="22" t="s">
        <v>37</v>
      </c>
      <c r="AU60" s="30">
        <v>68.5</v>
      </c>
      <c r="AV60" s="30" t="s">
        <v>124</v>
      </c>
      <c r="AW60" s="30" t="s">
        <v>51</v>
      </c>
      <c r="AX60" s="30" t="s">
        <v>37</v>
      </c>
      <c r="BK60" s="72">
        <v>62.5</v>
      </c>
      <c r="BL60" s="72" t="s">
        <v>125</v>
      </c>
      <c r="BM60" s="99" t="s">
        <v>50</v>
      </c>
      <c r="BN60" s="99" t="s">
        <v>42</v>
      </c>
      <c r="CP60" s="5">
        <v>147.5</v>
      </c>
      <c r="CQ60" s="5" t="s">
        <v>124</v>
      </c>
      <c r="CR60" s="8" t="s">
        <v>51</v>
      </c>
      <c r="CS60" s="5" t="s">
        <v>41</v>
      </c>
      <c r="CZ60" s="20">
        <v>102.5</v>
      </c>
      <c r="DA60" s="100" t="s">
        <v>125</v>
      </c>
      <c r="DB60" s="100" t="s">
        <v>50</v>
      </c>
      <c r="DC60" s="20" t="s">
        <v>37</v>
      </c>
    </row>
    <row r="61" spans="1:107" x14ac:dyDescent="0.25">
      <c r="L61" s="70">
        <v>110</v>
      </c>
      <c r="M61" s="70" t="s">
        <v>125</v>
      </c>
      <c r="N61" s="70" t="s">
        <v>51</v>
      </c>
      <c r="O61" s="70" t="s">
        <v>37</v>
      </c>
      <c r="Q61" s="74">
        <v>97.5</v>
      </c>
      <c r="R61" s="74" t="s">
        <v>47</v>
      </c>
      <c r="S61" s="74" t="s">
        <v>51</v>
      </c>
      <c r="T61" s="74" t="s">
        <v>41</v>
      </c>
      <c r="V61" s="78">
        <v>90</v>
      </c>
      <c r="W61" s="78" t="s">
        <v>122</v>
      </c>
      <c r="X61" s="78" t="s">
        <v>50</v>
      </c>
      <c r="Y61" s="78" t="s">
        <v>37</v>
      </c>
      <c r="AF61" s="7">
        <v>50</v>
      </c>
      <c r="AG61" s="7" t="s">
        <v>125</v>
      </c>
      <c r="AH61" s="7" t="s">
        <v>52</v>
      </c>
      <c r="AI61" s="7" t="s">
        <v>37</v>
      </c>
      <c r="AK61" s="22">
        <v>65</v>
      </c>
      <c r="AL61" s="22" t="s">
        <v>122</v>
      </c>
      <c r="AM61" s="22" t="s">
        <v>50</v>
      </c>
      <c r="AN61" s="22" t="s">
        <v>37</v>
      </c>
      <c r="AS61" s="22" t="s">
        <v>37</v>
      </c>
      <c r="AU61" s="30">
        <v>63.5</v>
      </c>
      <c r="AV61" s="30" t="s">
        <v>125</v>
      </c>
      <c r="AW61" s="30" t="s">
        <v>52</v>
      </c>
      <c r="AX61" s="30" t="s">
        <v>37</v>
      </c>
      <c r="BK61" s="99">
        <v>62.5</v>
      </c>
      <c r="BL61" s="99" t="s">
        <v>125</v>
      </c>
      <c r="BM61" s="99" t="s">
        <v>51</v>
      </c>
      <c r="BN61" s="72" t="s">
        <v>41</v>
      </c>
      <c r="CP61" s="5">
        <v>141</v>
      </c>
      <c r="CQ61" s="5" t="s">
        <v>125</v>
      </c>
      <c r="CR61" s="5" t="s">
        <v>52</v>
      </c>
      <c r="CS61" s="5" t="s">
        <v>37</v>
      </c>
      <c r="CZ61" s="20">
        <v>107.5</v>
      </c>
      <c r="DA61" s="100" t="s">
        <v>125</v>
      </c>
      <c r="DB61" s="100" t="s">
        <v>51</v>
      </c>
      <c r="DC61" s="20" t="s">
        <v>41</v>
      </c>
    </row>
    <row r="62" spans="1:107" x14ac:dyDescent="0.25">
      <c r="L62" s="70">
        <v>110</v>
      </c>
      <c r="M62" s="70" t="s">
        <v>125</v>
      </c>
      <c r="N62" s="70" t="s">
        <v>51</v>
      </c>
      <c r="O62" s="70" t="s">
        <v>37</v>
      </c>
      <c r="Q62" s="74">
        <v>98.5</v>
      </c>
      <c r="R62" s="74" t="s">
        <v>47</v>
      </c>
      <c r="S62" s="74" t="s">
        <v>52</v>
      </c>
      <c r="T62" s="74" t="s">
        <v>41</v>
      </c>
      <c r="V62" s="78">
        <v>95</v>
      </c>
      <c r="W62" s="78" t="s">
        <v>122</v>
      </c>
      <c r="X62" s="78" t="s">
        <v>51</v>
      </c>
      <c r="AK62" s="22">
        <v>70</v>
      </c>
      <c r="AL62" s="22" t="s">
        <v>122</v>
      </c>
      <c r="AM62" s="22" t="s">
        <v>51</v>
      </c>
      <c r="AN62" s="22" t="s">
        <v>41</v>
      </c>
      <c r="AS62" s="22" t="s">
        <v>41</v>
      </c>
      <c r="BK62" s="99">
        <v>63.5</v>
      </c>
      <c r="BL62" s="99" t="s">
        <v>125</v>
      </c>
      <c r="BM62" s="99" t="s">
        <v>52</v>
      </c>
      <c r="BN62" s="72" t="s">
        <v>42</v>
      </c>
      <c r="CZ62" s="20">
        <v>112.5</v>
      </c>
      <c r="DA62" s="100" t="s">
        <v>125</v>
      </c>
      <c r="DB62" s="100" t="s">
        <v>52</v>
      </c>
      <c r="DC62" s="20" t="s">
        <v>37</v>
      </c>
    </row>
    <row r="63" spans="1:107" x14ac:dyDescent="0.25">
      <c r="V63" s="78">
        <v>95</v>
      </c>
      <c r="W63" s="78" t="s">
        <v>122</v>
      </c>
      <c r="X63" s="78" t="s">
        <v>51</v>
      </c>
      <c r="AK63" s="22">
        <v>70</v>
      </c>
      <c r="AL63" s="22" t="s">
        <v>122</v>
      </c>
      <c r="AM63" s="22" t="s">
        <v>51</v>
      </c>
      <c r="AN63" s="22" t="s">
        <v>41</v>
      </c>
      <c r="AS63" s="22" t="s">
        <v>41</v>
      </c>
    </row>
    <row r="64" spans="1:107" x14ac:dyDescent="0.25">
      <c r="A64" s="10" t="s">
        <v>204</v>
      </c>
    </row>
    <row r="65" spans="1:102" x14ac:dyDescent="0.25">
      <c r="B65" s="5">
        <v>90</v>
      </c>
      <c r="C65" s="5" t="s">
        <v>47</v>
      </c>
      <c r="D65" s="5" t="s">
        <v>50</v>
      </c>
      <c r="E65" s="5" t="s">
        <v>37</v>
      </c>
      <c r="G65" s="31">
        <v>80</v>
      </c>
      <c r="H65" s="31" t="s">
        <v>46</v>
      </c>
      <c r="I65" s="31" t="s">
        <v>49</v>
      </c>
      <c r="J65" s="31" t="s">
        <v>37</v>
      </c>
      <c r="L65" s="70">
        <v>95</v>
      </c>
      <c r="M65" s="53" t="s">
        <v>45</v>
      </c>
      <c r="N65" s="53" t="s">
        <v>49</v>
      </c>
      <c r="O65" s="70" t="s">
        <v>37</v>
      </c>
      <c r="AF65" s="7">
        <v>42.5</v>
      </c>
      <c r="AG65" s="7" t="s">
        <v>45</v>
      </c>
      <c r="AH65" s="7" t="s">
        <v>49</v>
      </c>
      <c r="AI65" s="7" t="s">
        <v>41</v>
      </c>
      <c r="AK65" s="22">
        <v>60</v>
      </c>
      <c r="AL65" s="22" t="s">
        <v>46</v>
      </c>
      <c r="AM65" s="22" t="s">
        <v>49</v>
      </c>
      <c r="AN65" s="22" t="s">
        <v>37</v>
      </c>
      <c r="AS65" s="22" t="s">
        <v>37</v>
      </c>
      <c r="AU65" s="30">
        <v>55</v>
      </c>
      <c r="AV65" s="30" t="s">
        <v>45</v>
      </c>
      <c r="AW65" s="30" t="s">
        <v>49</v>
      </c>
      <c r="AX65" s="30" t="s">
        <v>37</v>
      </c>
      <c r="BF65" s="69">
        <v>60</v>
      </c>
      <c r="BG65" s="69" t="s">
        <v>47</v>
      </c>
      <c r="BH65" s="69" t="s">
        <v>50</v>
      </c>
      <c r="BI65" s="69" t="s">
        <v>37</v>
      </c>
      <c r="CP65" s="5">
        <v>120</v>
      </c>
      <c r="CQ65" s="5" t="s">
        <v>45</v>
      </c>
      <c r="CR65" s="5" t="s">
        <v>49</v>
      </c>
      <c r="CS65" s="5" t="s">
        <v>37</v>
      </c>
      <c r="CU65" s="6">
        <v>110</v>
      </c>
      <c r="CV65" s="6" t="s">
        <v>48</v>
      </c>
      <c r="CW65" s="6" t="s">
        <v>49</v>
      </c>
      <c r="CX65" s="6" t="s">
        <v>37</v>
      </c>
    </row>
    <row r="66" spans="1:102" x14ac:dyDescent="0.25">
      <c r="B66" s="5">
        <v>95</v>
      </c>
      <c r="C66" s="5" t="s">
        <v>47</v>
      </c>
      <c r="D66" s="5" t="s">
        <v>51</v>
      </c>
      <c r="E66" s="5" t="s">
        <v>37</v>
      </c>
      <c r="G66" s="31">
        <v>82.5</v>
      </c>
      <c r="H66" s="31" t="s">
        <v>46</v>
      </c>
      <c r="I66" s="31" t="s">
        <v>50</v>
      </c>
      <c r="J66" s="31" t="s">
        <v>37</v>
      </c>
      <c r="L66" s="70">
        <v>100</v>
      </c>
      <c r="M66" s="53" t="s">
        <v>45</v>
      </c>
      <c r="N66" s="70" t="s">
        <v>50</v>
      </c>
      <c r="O66" s="70" t="s">
        <v>37</v>
      </c>
      <c r="AF66" s="7">
        <v>43.5</v>
      </c>
      <c r="AG66" s="7" t="s">
        <v>45</v>
      </c>
      <c r="AH66" s="7" t="s">
        <v>50</v>
      </c>
      <c r="AI66" s="7" t="s">
        <v>37</v>
      </c>
      <c r="AK66" s="22">
        <v>62.5</v>
      </c>
      <c r="AL66" s="22" t="s">
        <v>46</v>
      </c>
      <c r="AM66" s="22" t="s">
        <v>50</v>
      </c>
      <c r="AN66" s="22" t="s">
        <v>37</v>
      </c>
      <c r="AS66" s="22" t="s">
        <v>37</v>
      </c>
      <c r="AU66" s="30">
        <v>57.5</v>
      </c>
      <c r="AV66" s="30" t="s">
        <v>45</v>
      </c>
      <c r="AW66" s="30" t="s">
        <v>50</v>
      </c>
      <c r="AX66" s="30" t="s">
        <v>37</v>
      </c>
      <c r="BF66" s="69">
        <v>62.5</v>
      </c>
      <c r="BG66" s="69" t="s">
        <v>47</v>
      </c>
      <c r="BH66" s="69" t="s">
        <v>51</v>
      </c>
      <c r="BI66" s="69" t="s">
        <v>37</v>
      </c>
      <c r="CP66" s="5">
        <v>125</v>
      </c>
      <c r="CQ66" s="5" t="s">
        <v>45</v>
      </c>
      <c r="CR66" s="5" t="s">
        <v>50</v>
      </c>
      <c r="CS66" s="5" t="s">
        <v>37</v>
      </c>
      <c r="CU66" s="6">
        <v>115</v>
      </c>
      <c r="CV66" s="6" t="s">
        <v>48</v>
      </c>
      <c r="CW66" s="6" t="s">
        <v>50</v>
      </c>
      <c r="CX66" s="6" t="s">
        <v>37</v>
      </c>
    </row>
    <row r="67" spans="1:102" x14ac:dyDescent="0.25">
      <c r="B67" s="5">
        <v>97.5</v>
      </c>
      <c r="C67" s="5" t="s">
        <v>47</v>
      </c>
      <c r="D67" s="5" t="s">
        <v>52</v>
      </c>
      <c r="E67" s="5" t="s">
        <v>37</v>
      </c>
      <c r="G67" s="31">
        <v>85</v>
      </c>
      <c r="H67" s="31" t="s">
        <v>46</v>
      </c>
      <c r="I67" s="31" t="s">
        <v>51</v>
      </c>
      <c r="J67" s="31" t="s">
        <v>37</v>
      </c>
      <c r="L67" s="70">
        <v>105</v>
      </c>
      <c r="M67" s="53" t="s">
        <v>45</v>
      </c>
      <c r="N67" s="70" t="s">
        <v>51</v>
      </c>
      <c r="O67" s="70" t="s">
        <v>37</v>
      </c>
      <c r="AF67" s="7">
        <v>45</v>
      </c>
      <c r="AG67" s="7" t="s">
        <v>45</v>
      </c>
      <c r="AH67" s="7" t="s">
        <v>51</v>
      </c>
      <c r="AI67" s="7" t="s">
        <v>37</v>
      </c>
      <c r="AK67" s="22">
        <v>65</v>
      </c>
      <c r="AL67" s="22" t="s">
        <v>46</v>
      </c>
      <c r="AM67" s="22" t="s">
        <v>51</v>
      </c>
      <c r="AN67" s="22" t="s">
        <v>42</v>
      </c>
      <c r="AS67" s="22" t="s">
        <v>42</v>
      </c>
      <c r="AU67" s="30">
        <v>60</v>
      </c>
      <c r="AV67" s="30" t="s">
        <v>45</v>
      </c>
      <c r="AW67" s="30" t="s">
        <v>51</v>
      </c>
      <c r="AX67" s="30" t="s">
        <v>41</v>
      </c>
      <c r="BF67" s="69">
        <v>63.5</v>
      </c>
      <c r="BG67" s="69" t="s">
        <v>47</v>
      </c>
      <c r="BH67" s="69" t="s">
        <v>52</v>
      </c>
      <c r="BI67" s="69" t="s">
        <v>37</v>
      </c>
      <c r="CP67" s="5">
        <v>130</v>
      </c>
      <c r="CQ67" s="5" t="s">
        <v>45</v>
      </c>
      <c r="CR67" s="8" t="s">
        <v>51</v>
      </c>
      <c r="CS67" s="5" t="s">
        <v>42</v>
      </c>
      <c r="CU67" s="6">
        <v>120</v>
      </c>
      <c r="CV67" s="6" t="s">
        <v>48</v>
      </c>
      <c r="CW67" s="6" t="s">
        <v>51</v>
      </c>
      <c r="CX67" s="6" t="s">
        <v>37</v>
      </c>
    </row>
    <row r="68" spans="1:102" x14ac:dyDescent="0.25">
      <c r="B68" s="5">
        <v>97.5</v>
      </c>
      <c r="C68" s="5" t="s">
        <v>47</v>
      </c>
      <c r="D68" s="5" t="s">
        <v>52</v>
      </c>
      <c r="E68" s="5" t="s">
        <v>41</v>
      </c>
      <c r="G68" s="31">
        <v>85</v>
      </c>
      <c r="H68" s="31" t="s">
        <v>46</v>
      </c>
      <c r="I68" s="31" t="s">
        <v>51</v>
      </c>
      <c r="L68" s="70">
        <v>105</v>
      </c>
      <c r="M68" s="53" t="s">
        <v>45</v>
      </c>
      <c r="N68" s="70" t="s">
        <v>51</v>
      </c>
      <c r="O68" s="70" t="s">
        <v>41</v>
      </c>
      <c r="AF68" s="7">
        <v>46</v>
      </c>
      <c r="AG68" s="7" t="s">
        <v>45</v>
      </c>
      <c r="AH68" s="7" t="s">
        <v>51</v>
      </c>
      <c r="AI68" s="7" t="s">
        <v>37</v>
      </c>
      <c r="AK68" s="22">
        <v>62.5</v>
      </c>
      <c r="AL68" s="22" t="s">
        <v>46</v>
      </c>
      <c r="AM68" s="22" t="s">
        <v>51</v>
      </c>
      <c r="AN68" s="22" t="s">
        <v>37</v>
      </c>
      <c r="AS68" s="22" t="s">
        <v>37</v>
      </c>
      <c r="AU68" s="30">
        <v>60</v>
      </c>
      <c r="AV68" s="30" t="s">
        <v>45</v>
      </c>
      <c r="AW68" s="30" t="s">
        <v>51</v>
      </c>
      <c r="AX68" s="30" t="s">
        <v>41</v>
      </c>
      <c r="BF68" s="69">
        <v>63.5</v>
      </c>
      <c r="BG68" s="69" t="s">
        <v>47</v>
      </c>
      <c r="BH68" s="69" t="s">
        <v>52</v>
      </c>
      <c r="BI68" s="69" t="s">
        <v>41</v>
      </c>
      <c r="CP68" s="5">
        <v>128.5</v>
      </c>
      <c r="CQ68" s="5" t="s">
        <v>45</v>
      </c>
      <c r="CR68" s="8" t="s">
        <v>51</v>
      </c>
      <c r="CS68" s="5" t="s">
        <v>41</v>
      </c>
      <c r="CU68" s="6">
        <v>120</v>
      </c>
      <c r="CV68" s="6" t="s">
        <v>48</v>
      </c>
      <c r="CW68" s="6" t="s">
        <v>51</v>
      </c>
      <c r="CX68" s="6" t="s">
        <v>41</v>
      </c>
    </row>
    <row r="69" spans="1:102" x14ac:dyDescent="0.25">
      <c r="L69" s="70">
        <v>105</v>
      </c>
      <c r="M69" s="53" t="s">
        <v>45</v>
      </c>
      <c r="N69" s="70" t="s">
        <v>51</v>
      </c>
      <c r="O69" s="70" t="s">
        <v>37</v>
      </c>
      <c r="AF69" s="7">
        <v>46</v>
      </c>
      <c r="AG69" s="7" t="s">
        <v>45</v>
      </c>
      <c r="AH69" s="7" t="s">
        <v>51</v>
      </c>
      <c r="AI69" s="7" t="s">
        <v>42</v>
      </c>
      <c r="AK69" s="22">
        <v>62.5</v>
      </c>
      <c r="AL69" s="22" t="s">
        <v>46</v>
      </c>
      <c r="AM69" s="22" t="s">
        <v>51</v>
      </c>
      <c r="AN69" s="22" t="s">
        <v>37</v>
      </c>
      <c r="AS69" s="22" t="s">
        <v>37</v>
      </c>
      <c r="AU69" s="30">
        <v>60</v>
      </c>
      <c r="AV69" s="30" t="s">
        <v>45</v>
      </c>
      <c r="AW69" s="30" t="s">
        <v>51</v>
      </c>
      <c r="AX69" s="30" t="s">
        <v>41</v>
      </c>
      <c r="CP69" s="5">
        <v>128.5</v>
      </c>
      <c r="CQ69" s="5" t="s">
        <v>45</v>
      </c>
      <c r="CR69" s="8" t="s">
        <v>51</v>
      </c>
    </row>
    <row r="70" spans="1:102" x14ac:dyDescent="0.25">
      <c r="AF70" s="7">
        <v>45</v>
      </c>
      <c r="AG70" s="7" t="s">
        <v>45</v>
      </c>
      <c r="AH70" s="7" t="s">
        <v>51</v>
      </c>
      <c r="AI70" s="7" t="s">
        <v>42</v>
      </c>
      <c r="AU70" s="30">
        <v>60</v>
      </c>
      <c r="AV70" s="30" t="s">
        <v>45</v>
      </c>
      <c r="AW70" s="30" t="s">
        <v>51</v>
      </c>
      <c r="AX70" s="30" t="s">
        <v>41</v>
      </c>
    </row>
    <row r="71" spans="1:102" x14ac:dyDescent="0.25">
      <c r="A71" s="10" t="s">
        <v>88</v>
      </c>
      <c r="M71" s="53"/>
      <c r="N71" s="53"/>
    </row>
    <row r="72" spans="1:102" x14ac:dyDescent="0.25">
      <c r="B72" s="5">
        <v>92.5</v>
      </c>
      <c r="C72" s="5" t="s">
        <v>47</v>
      </c>
      <c r="D72" s="5" t="s">
        <v>50</v>
      </c>
      <c r="E72" s="5" t="s">
        <v>41</v>
      </c>
      <c r="G72" s="31">
        <v>82.5</v>
      </c>
      <c r="H72" s="31" t="s">
        <v>46</v>
      </c>
      <c r="I72" s="31" t="s">
        <v>49</v>
      </c>
      <c r="J72" s="31" t="s">
        <v>37</v>
      </c>
      <c r="L72" s="70">
        <v>97.5</v>
      </c>
      <c r="M72" s="53" t="s">
        <v>45</v>
      </c>
      <c r="N72" s="53" t="s">
        <v>49</v>
      </c>
      <c r="O72" s="70" t="s">
        <v>37</v>
      </c>
      <c r="AF72" s="7">
        <v>42.5</v>
      </c>
      <c r="AG72" s="7" t="s">
        <v>45</v>
      </c>
      <c r="AH72" s="7" t="s">
        <v>49</v>
      </c>
      <c r="AI72" s="7" t="s">
        <v>37</v>
      </c>
      <c r="AK72" s="22">
        <v>60</v>
      </c>
      <c r="AL72" s="22" t="s">
        <v>46</v>
      </c>
      <c r="AM72" s="22" t="s">
        <v>49</v>
      </c>
      <c r="AN72" s="22" t="s">
        <v>41</v>
      </c>
      <c r="AS72" s="22" t="s">
        <v>41</v>
      </c>
      <c r="AU72" s="30">
        <v>55</v>
      </c>
      <c r="AV72" s="30" t="s">
        <v>45</v>
      </c>
      <c r="AW72" s="30" t="s">
        <v>49</v>
      </c>
      <c r="AX72" s="30" t="s">
        <v>37</v>
      </c>
      <c r="BF72" s="69">
        <v>61</v>
      </c>
      <c r="BG72" s="69" t="s">
        <v>47</v>
      </c>
      <c r="BH72" s="69" t="s">
        <v>50</v>
      </c>
      <c r="BI72" s="69" t="s">
        <v>37</v>
      </c>
      <c r="CP72" s="5">
        <v>120</v>
      </c>
      <c r="CQ72" s="5" t="s">
        <v>45</v>
      </c>
      <c r="CR72" s="5" t="s">
        <v>49</v>
      </c>
      <c r="CS72" s="5" t="s">
        <v>37</v>
      </c>
      <c r="CU72" s="6">
        <v>112.5</v>
      </c>
      <c r="CV72" s="6" t="s">
        <v>48</v>
      </c>
      <c r="CW72" s="6" t="s">
        <v>50</v>
      </c>
      <c r="CX72" s="6" t="s">
        <v>37</v>
      </c>
    </row>
    <row r="73" spans="1:102" x14ac:dyDescent="0.25">
      <c r="B73" s="5">
        <v>97.5</v>
      </c>
      <c r="C73" s="5" t="s">
        <v>47</v>
      </c>
      <c r="D73" s="5" t="s">
        <v>51</v>
      </c>
      <c r="E73" s="5" t="s">
        <v>41</v>
      </c>
      <c r="G73" s="31">
        <v>85</v>
      </c>
      <c r="H73" s="31" t="s">
        <v>46</v>
      </c>
      <c r="I73" s="31" t="s">
        <v>50</v>
      </c>
      <c r="J73" s="31" t="s">
        <v>37</v>
      </c>
      <c r="L73" s="70">
        <v>101</v>
      </c>
      <c r="M73" s="70" t="s">
        <v>45</v>
      </c>
      <c r="N73" s="70" t="s">
        <v>50</v>
      </c>
      <c r="O73" s="70" t="s">
        <v>37</v>
      </c>
      <c r="AF73" s="7">
        <v>43.5</v>
      </c>
      <c r="AG73" s="7" t="s">
        <v>45</v>
      </c>
      <c r="AH73" s="7" t="s">
        <v>50</v>
      </c>
      <c r="AI73" s="7" t="s">
        <v>37</v>
      </c>
      <c r="AK73" s="22">
        <v>62.5</v>
      </c>
      <c r="AL73" s="22" t="s">
        <v>46</v>
      </c>
      <c r="AM73" s="22" t="s">
        <v>50</v>
      </c>
      <c r="AN73" s="22" t="s">
        <v>41</v>
      </c>
      <c r="AS73" s="22" t="s">
        <v>41</v>
      </c>
      <c r="AU73" s="30">
        <v>57.5</v>
      </c>
      <c r="AV73" s="30" t="s">
        <v>45</v>
      </c>
      <c r="AW73" s="30" t="s">
        <v>50</v>
      </c>
      <c r="AX73" s="30" t="s">
        <v>37</v>
      </c>
      <c r="BF73" s="69">
        <v>63.5</v>
      </c>
      <c r="BG73" s="69" t="s">
        <v>47</v>
      </c>
      <c r="BH73" s="69" t="s">
        <v>51</v>
      </c>
      <c r="BI73" s="69" t="s">
        <v>37</v>
      </c>
      <c r="CP73" s="5">
        <v>125</v>
      </c>
      <c r="CQ73" s="5" t="s">
        <v>45</v>
      </c>
      <c r="CR73" s="5" t="s">
        <v>50</v>
      </c>
      <c r="CS73" s="5" t="s">
        <v>37</v>
      </c>
      <c r="CU73" s="6">
        <v>117.5</v>
      </c>
      <c r="CV73" s="6" t="s">
        <v>48</v>
      </c>
      <c r="CW73" s="6" t="s">
        <v>51</v>
      </c>
      <c r="CX73" s="6" t="s">
        <v>37</v>
      </c>
    </row>
    <row r="74" spans="1:102" x14ac:dyDescent="0.25">
      <c r="B74" s="5">
        <v>100</v>
      </c>
      <c r="C74" s="5" t="s">
        <v>47</v>
      </c>
      <c r="D74" s="5" t="s">
        <v>52</v>
      </c>
      <c r="E74" s="5" t="s">
        <v>41</v>
      </c>
      <c r="G74" s="31">
        <v>87.5</v>
      </c>
      <c r="H74" s="31" t="s">
        <v>46</v>
      </c>
      <c r="I74" s="31" t="s">
        <v>51</v>
      </c>
      <c r="L74" s="70">
        <v>106</v>
      </c>
      <c r="M74" s="70" t="s">
        <v>45</v>
      </c>
      <c r="N74" s="70" t="s">
        <v>51</v>
      </c>
      <c r="O74" s="70" t="s">
        <v>37</v>
      </c>
      <c r="AF74" s="7">
        <v>46</v>
      </c>
      <c r="AG74" s="7" t="s">
        <v>45</v>
      </c>
      <c r="AH74" s="7" t="s">
        <v>51</v>
      </c>
      <c r="AI74" s="7" t="s">
        <v>37</v>
      </c>
      <c r="AK74" s="22">
        <v>63.5</v>
      </c>
      <c r="AL74" s="22" t="s">
        <v>46</v>
      </c>
      <c r="AM74" s="22" t="s">
        <v>51</v>
      </c>
      <c r="AN74" s="22" t="s">
        <v>41</v>
      </c>
      <c r="AS74" s="22" t="s">
        <v>41</v>
      </c>
      <c r="AU74" s="30">
        <v>61</v>
      </c>
      <c r="AV74" s="30" t="s">
        <v>45</v>
      </c>
      <c r="AW74" s="30" t="s">
        <v>51</v>
      </c>
      <c r="AX74" s="30" t="s">
        <v>41</v>
      </c>
      <c r="BF74" s="69">
        <v>65</v>
      </c>
      <c r="BG74" s="69" t="s">
        <v>47</v>
      </c>
      <c r="BH74" s="69" t="s">
        <v>52</v>
      </c>
      <c r="BI74" s="69" t="s">
        <v>37</v>
      </c>
      <c r="CP74" s="5">
        <v>130</v>
      </c>
      <c r="CQ74" s="5" t="s">
        <v>45</v>
      </c>
      <c r="CR74" s="8" t="s">
        <v>51</v>
      </c>
      <c r="CS74" s="5" t="s">
        <v>37</v>
      </c>
      <c r="CU74" s="6">
        <v>122.5</v>
      </c>
      <c r="CV74" s="6" t="s">
        <v>48</v>
      </c>
      <c r="CW74" s="6" t="s">
        <v>52</v>
      </c>
      <c r="CX74" s="6" t="s">
        <v>37</v>
      </c>
    </row>
    <row r="75" spans="1:102" x14ac:dyDescent="0.25">
      <c r="B75" s="5">
        <v>100</v>
      </c>
      <c r="C75" s="5" t="s">
        <v>47</v>
      </c>
      <c r="D75" s="5" t="s">
        <v>52</v>
      </c>
      <c r="E75" s="5" t="s">
        <v>41</v>
      </c>
      <c r="G75" s="31">
        <v>87.5</v>
      </c>
      <c r="H75" s="31" t="s">
        <v>46</v>
      </c>
      <c r="I75" s="31" t="s">
        <v>51</v>
      </c>
      <c r="L75" s="70">
        <v>106</v>
      </c>
      <c r="M75" s="70" t="s">
        <v>45</v>
      </c>
      <c r="N75" s="70" t="s">
        <v>51</v>
      </c>
      <c r="O75" s="70" t="s">
        <v>37</v>
      </c>
      <c r="AF75" s="7">
        <v>46</v>
      </c>
      <c r="AG75" s="7" t="s">
        <v>45</v>
      </c>
      <c r="AH75" s="7" t="s">
        <v>51</v>
      </c>
      <c r="AI75" s="7" t="s">
        <v>42</v>
      </c>
      <c r="AK75" s="22">
        <v>63.5</v>
      </c>
      <c r="AL75" s="22" t="s">
        <v>46</v>
      </c>
      <c r="AM75" s="22" t="s">
        <v>51</v>
      </c>
      <c r="AN75" s="22" t="s">
        <v>41</v>
      </c>
      <c r="AS75" s="22" t="s">
        <v>41</v>
      </c>
      <c r="AU75" s="30">
        <v>60</v>
      </c>
      <c r="AV75" s="30" t="s">
        <v>45</v>
      </c>
      <c r="AW75" s="30" t="s">
        <v>51</v>
      </c>
      <c r="AX75" s="30" t="s">
        <v>37</v>
      </c>
      <c r="BF75" s="69">
        <v>65</v>
      </c>
      <c r="BG75" s="69" t="s">
        <v>47</v>
      </c>
      <c r="BH75" s="69" t="s">
        <v>52</v>
      </c>
      <c r="BI75" s="69" t="s">
        <v>37</v>
      </c>
      <c r="CP75" s="5">
        <v>130</v>
      </c>
      <c r="CQ75" s="5" t="s">
        <v>45</v>
      </c>
      <c r="CR75" s="8" t="s">
        <v>51</v>
      </c>
      <c r="CS75" s="5" t="s">
        <v>37</v>
      </c>
      <c r="CU75" s="6">
        <v>122.5</v>
      </c>
      <c r="CV75" s="6" t="s">
        <v>48</v>
      </c>
      <c r="CW75" s="6" t="s">
        <v>52</v>
      </c>
      <c r="CX75" s="6" t="s">
        <v>37</v>
      </c>
    </row>
    <row r="76" spans="1:102" x14ac:dyDescent="0.25">
      <c r="L76" s="70">
        <v>106</v>
      </c>
      <c r="M76" s="70" t="s">
        <v>45</v>
      </c>
      <c r="N76" s="70" t="s">
        <v>51</v>
      </c>
      <c r="O76" s="70" t="s">
        <v>37</v>
      </c>
      <c r="AF76" s="7">
        <v>45</v>
      </c>
      <c r="AG76" s="7" t="s">
        <v>45</v>
      </c>
      <c r="AH76" s="7" t="s">
        <v>51</v>
      </c>
      <c r="AI76" s="7" t="s">
        <v>42</v>
      </c>
      <c r="AK76" s="22">
        <v>63.5</v>
      </c>
      <c r="AL76" s="22" t="s">
        <v>46</v>
      </c>
      <c r="AM76" s="22" t="s">
        <v>51</v>
      </c>
      <c r="AN76" s="22" t="s">
        <v>41</v>
      </c>
      <c r="AS76" s="22" t="s">
        <v>41</v>
      </c>
      <c r="AU76" s="30">
        <v>60</v>
      </c>
      <c r="AV76" s="30" t="s">
        <v>45</v>
      </c>
      <c r="AW76" s="30" t="s">
        <v>51</v>
      </c>
      <c r="AX76" s="30" t="s">
        <v>37</v>
      </c>
      <c r="CP76" s="5">
        <v>130</v>
      </c>
      <c r="CQ76" s="5" t="s">
        <v>45</v>
      </c>
      <c r="CR76" s="8" t="s">
        <v>51</v>
      </c>
    </row>
    <row r="77" spans="1:102" x14ac:dyDescent="0.25">
      <c r="AF77" s="7">
        <v>45</v>
      </c>
      <c r="AG77" s="7" t="s">
        <v>45</v>
      </c>
      <c r="AH77" s="7" t="s">
        <v>51</v>
      </c>
      <c r="AU77" s="30">
        <v>60</v>
      </c>
      <c r="AV77" s="30" t="s">
        <v>45</v>
      </c>
      <c r="AW77" s="30" t="s">
        <v>51</v>
      </c>
      <c r="AX77" s="30" t="s">
        <v>42</v>
      </c>
    </row>
    <row r="78" spans="1:102" x14ac:dyDescent="0.25">
      <c r="A78" s="10" t="s">
        <v>92</v>
      </c>
      <c r="N78" s="53"/>
    </row>
    <row r="79" spans="1:102" x14ac:dyDescent="0.25">
      <c r="B79" s="5">
        <v>92.5</v>
      </c>
      <c r="C79" s="5" t="s">
        <v>47</v>
      </c>
      <c r="D79" s="5" t="s">
        <v>50</v>
      </c>
      <c r="G79" s="31">
        <v>85</v>
      </c>
      <c r="H79" s="31" t="s">
        <v>46</v>
      </c>
      <c r="I79" s="31" t="s">
        <v>49</v>
      </c>
      <c r="J79" s="31" t="s">
        <v>37</v>
      </c>
      <c r="L79" s="70">
        <v>97.5</v>
      </c>
      <c r="M79" s="70" t="s">
        <v>45</v>
      </c>
      <c r="N79" s="53" t="s">
        <v>49</v>
      </c>
      <c r="O79" s="70" t="s">
        <v>37</v>
      </c>
      <c r="AF79" s="7">
        <v>42.5</v>
      </c>
      <c r="AG79" s="7" t="s">
        <v>45</v>
      </c>
      <c r="AH79" s="7" t="s">
        <v>49</v>
      </c>
      <c r="AI79" s="7" t="s">
        <v>37</v>
      </c>
      <c r="AK79" s="22">
        <v>60</v>
      </c>
      <c r="AL79" s="22" t="s">
        <v>46</v>
      </c>
      <c r="AM79" s="22" t="s">
        <v>49</v>
      </c>
      <c r="AN79" s="22" t="s">
        <v>37</v>
      </c>
      <c r="AS79" s="22" t="s">
        <v>37</v>
      </c>
      <c r="AU79" s="30">
        <v>56</v>
      </c>
      <c r="AV79" s="30" t="s">
        <v>45</v>
      </c>
      <c r="AW79" s="30" t="s">
        <v>49</v>
      </c>
      <c r="AX79" s="30" t="s">
        <v>37</v>
      </c>
      <c r="BF79" s="69">
        <v>61</v>
      </c>
      <c r="BG79" s="69" t="s">
        <v>47</v>
      </c>
      <c r="BH79" s="69" t="s">
        <v>50</v>
      </c>
      <c r="CP79" s="5">
        <v>120</v>
      </c>
      <c r="CQ79" s="5" t="s">
        <v>45</v>
      </c>
      <c r="CR79" s="5" t="s">
        <v>49</v>
      </c>
      <c r="CU79" s="6">
        <v>115</v>
      </c>
      <c r="CV79" s="6" t="s">
        <v>48</v>
      </c>
      <c r="CW79" s="6" t="s">
        <v>50</v>
      </c>
    </row>
    <row r="80" spans="1:102" x14ac:dyDescent="0.25">
      <c r="B80" s="5">
        <v>95</v>
      </c>
      <c r="C80" s="5" t="s">
        <v>47</v>
      </c>
      <c r="D80" s="5" t="s">
        <v>51</v>
      </c>
      <c r="G80" s="31">
        <v>87.5</v>
      </c>
      <c r="H80" s="31" t="s">
        <v>46</v>
      </c>
      <c r="I80" s="31" t="s">
        <v>50</v>
      </c>
      <c r="J80" s="31" t="s">
        <v>37</v>
      </c>
      <c r="L80" s="70">
        <v>101</v>
      </c>
      <c r="M80" s="70" t="s">
        <v>45</v>
      </c>
      <c r="N80" s="70" t="s">
        <v>50</v>
      </c>
      <c r="O80" s="70" t="s">
        <v>37</v>
      </c>
      <c r="AF80" s="7">
        <v>43.5</v>
      </c>
      <c r="AG80" s="7" t="s">
        <v>45</v>
      </c>
      <c r="AH80" s="7" t="s">
        <v>50</v>
      </c>
      <c r="AK80" s="22">
        <v>62.5</v>
      </c>
      <c r="AL80" s="22" t="s">
        <v>46</v>
      </c>
      <c r="AM80" s="22" t="s">
        <v>50</v>
      </c>
      <c r="AN80" s="22" t="s">
        <v>37</v>
      </c>
      <c r="AS80" s="22" t="s">
        <v>37</v>
      </c>
      <c r="AU80" s="30">
        <v>58.5</v>
      </c>
      <c r="AV80" s="30" t="s">
        <v>45</v>
      </c>
      <c r="AW80" s="30" t="s">
        <v>50</v>
      </c>
      <c r="BF80" s="69">
        <v>63.5</v>
      </c>
      <c r="BG80" s="69" t="s">
        <v>47</v>
      </c>
      <c r="BH80" s="69" t="s">
        <v>51</v>
      </c>
      <c r="CP80" s="5">
        <v>125</v>
      </c>
      <c r="CQ80" s="5" t="s">
        <v>45</v>
      </c>
      <c r="CR80" s="5" t="s">
        <v>50</v>
      </c>
      <c r="CU80" s="6">
        <v>120</v>
      </c>
      <c r="CV80" s="6" t="s">
        <v>48</v>
      </c>
      <c r="CW80" s="6" t="s">
        <v>51</v>
      </c>
    </row>
    <row r="81" spans="1:107" x14ac:dyDescent="0.25">
      <c r="B81" s="5">
        <v>100</v>
      </c>
      <c r="C81" s="5" t="s">
        <v>47</v>
      </c>
      <c r="D81" s="5" t="s">
        <v>52</v>
      </c>
      <c r="G81" s="31">
        <v>90</v>
      </c>
      <c r="H81" s="31" t="s">
        <v>46</v>
      </c>
      <c r="I81" s="31" t="s">
        <v>51</v>
      </c>
      <c r="J81" s="31" t="s">
        <v>37</v>
      </c>
      <c r="L81" s="70">
        <v>106</v>
      </c>
      <c r="M81" s="70" t="s">
        <v>45</v>
      </c>
      <c r="N81" s="70" t="s">
        <v>51</v>
      </c>
      <c r="O81" s="70" t="s">
        <v>41</v>
      </c>
      <c r="AF81" s="7">
        <v>45</v>
      </c>
      <c r="AG81" s="7" t="s">
        <v>45</v>
      </c>
      <c r="AH81" s="7" t="s">
        <v>51</v>
      </c>
      <c r="AK81" s="22">
        <v>63.5</v>
      </c>
      <c r="AL81" s="22" t="s">
        <v>46</v>
      </c>
      <c r="AM81" s="22" t="s">
        <v>51</v>
      </c>
      <c r="AN81" s="22" t="s">
        <v>37</v>
      </c>
      <c r="AS81" s="22" t="s">
        <v>37</v>
      </c>
      <c r="AU81" s="30">
        <v>60</v>
      </c>
      <c r="AV81" s="30" t="s">
        <v>45</v>
      </c>
      <c r="AW81" s="30" t="s">
        <v>51</v>
      </c>
      <c r="BF81" s="69">
        <v>65</v>
      </c>
      <c r="BG81" s="69" t="s">
        <v>47</v>
      </c>
      <c r="BH81" s="69" t="s">
        <v>52</v>
      </c>
      <c r="CP81" s="5">
        <v>132.5</v>
      </c>
      <c r="CQ81" s="5" t="s">
        <v>45</v>
      </c>
      <c r="CR81" s="8" t="s">
        <v>51</v>
      </c>
      <c r="CS81" s="5" t="s">
        <v>42</v>
      </c>
      <c r="CU81" s="6">
        <v>123.5</v>
      </c>
      <c r="CV81" s="6" t="s">
        <v>48</v>
      </c>
      <c r="CW81" s="6" t="s">
        <v>52</v>
      </c>
    </row>
    <row r="82" spans="1:107" x14ac:dyDescent="0.25">
      <c r="B82" s="5">
        <v>100</v>
      </c>
      <c r="C82" s="5" t="s">
        <v>47</v>
      </c>
      <c r="D82" s="5" t="s">
        <v>52</v>
      </c>
      <c r="G82" s="31">
        <v>90</v>
      </c>
      <c r="H82" s="31" t="s">
        <v>46</v>
      </c>
      <c r="I82" s="31" t="s">
        <v>51</v>
      </c>
      <c r="J82" s="31" t="s">
        <v>37</v>
      </c>
      <c r="L82" s="70">
        <v>106</v>
      </c>
      <c r="M82" s="70" t="s">
        <v>45</v>
      </c>
      <c r="N82" s="70" t="s">
        <v>51</v>
      </c>
      <c r="O82" s="70" t="s">
        <v>41</v>
      </c>
      <c r="AF82" s="7">
        <v>45</v>
      </c>
      <c r="AG82" s="7" t="s">
        <v>45</v>
      </c>
      <c r="AH82" s="7" t="s">
        <v>51</v>
      </c>
      <c r="AK82" s="22">
        <v>63.5</v>
      </c>
      <c r="AL82" s="22" t="s">
        <v>46</v>
      </c>
      <c r="AM82" s="22" t="s">
        <v>51</v>
      </c>
      <c r="AN82" s="22" t="s">
        <v>37</v>
      </c>
      <c r="AS82" s="22" t="s">
        <v>37</v>
      </c>
      <c r="AU82" s="30">
        <v>60</v>
      </c>
      <c r="AV82" s="30" t="s">
        <v>45</v>
      </c>
      <c r="AW82" s="30" t="s">
        <v>51</v>
      </c>
      <c r="BF82" s="69">
        <v>65</v>
      </c>
      <c r="BG82" s="69" t="s">
        <v>47</v>
      </c>
      <c r="BH82" s="69" t="s">
        <v>52</v>
      </c>
      <c r="CP82" s="5">
        <v>130</v>
      </c>
      <c r="CQ82" s="5" t="s">
        <v>45</v>
      </c>
      <c r="CR82" s="8" t="s">
        <v>51</v>
      </c>
      <c r="CS82" s="5" t="s">
        <v>42</v>
      </c>
      <c r="CU82" s="6">
        <v>123.5</v>
      </c>
      <c r="CV82" s="6" t="s">
        <v>48</v>
      </c>
      <c r="CW82" s="6" t="s">
        <v>52</v>
      </c>
    </row>
    <row r="83" spans="1:107" x14ac:dyDescent="0.25">
      <c r="B83" s="5">
        <v>100</v>
      </c>
      <c r="C83" s="5" t="s">
        <v>47</v>
      </c>
      <c r="D83" s="5" t="s">
        <v>52</v>
      </c>
      <c r="L83" s="70">
        <v>106</v>
      </c>
      <c r="M83" s="70" t="s">
        <v>45</v>
      </c>
      <c r="N83" s="70" t="s">
        <v>51</v>
      </c>
      <c r="O83" s="70" t="s">
        <v>42</v>
      </c>
      <c r="AF83" s="7">
        <v>42.5</v>
      </c>
      <c r="AG83" s="7" t="s">
        <v>45</v>
      </c>
      <c r="AH83" s="7" t="s">
        <v>51</v>
      </c>
      <c r="AK83" s="22">
        <v>63.5</v>
      </c>
      <c r="AL83" s="22" t="s">
        <v>46</v>
      </c>
      <c r="AM83" s="22" t="s">
        <v>51</v>
      </c>
      <c r="AN83" s="22" t="s">
        <v>37</v>
      </c>
      <c r="AS83" s="22" t="s">
        <v>37</v>
      </c>
      <c r="AU83" s="30">
        <v>60</v>
      </c>
      <c r="AV83" s="30" t="s">
        <v>45</v>
      </c>
      <c r="AW83" s="30" t="s">
        <v>51</v>
      </c>
      <c r="BF83" s="69">
        <v>65</v>
      </c>
      <c r="BG83" s="69" t="s">
        <v>47</v>
      </c>
      <c r="BH83" s="69" t="s">
        <v>52</v>
      </c>
      <c r="CP83" s="5">
        <v>130</v>
      </c>
      <c r="CQ83" s="5" t="s">
        <v>45</v>
      </c>
      <c r="CR83" s="8" t="s">
        <v>51</v>
      </c>
      <c r="CS83" s="5" t="s">
        <v>42</v>
      </c>
    </row>
    <row r="84" spans="1:107" x14ac:dyDescent="0.25">
      <c r="L84" s="70">
        <v>106</v>
      </c>
      <c r="M84" s="70" t="s">
        <v>45</v>
      </c>
      <c r="N84" s="70" t="s">
        <v>51</v>
      </c>
      <c r="O84" s="53" t="s">
        <v>62</v>
      </c>
      <c r="AF84" s="7">
        <v>43.5</v>
      </c>
      <c r="AG84" s="7" t="s">
        <v>45</v>
      </c>
      <c r="AH84" s="7" t="s">
        <v>51</v>
      </c>
      <c r="AK84" s="22">
        <v>63.5</v>
      </c>
      <c r="AL84" s="22" t="s">
        <v>46</v>
      </c>
      <c r="AM84" s="22" t="s">
        <v>51</v>
      </c>
      <c r="AN84" s="22" t="s">
        <v>37</v>
      </c>
      <c r="AS84" s="22" t="s">
        <v>37</v>
      </c>
      <c r="AU84" s="30">
        <v>60</v>
      </c>
      <c r="AV84" s="30" t="s">
        <v>45</v>
      </c>
      <c r="AW84" s="30" t="s">
        <v>51</v>
      </c>
    </row>
    <row r="85" spans="1:107" x14ac:dyDescent="0.25">
      <c r="AU85" s="30">
        <v>60</v>
      </c>
      <c r="AV85" s="30" t="s">
        <v>45</v>
      </c>
      <c r="AW85" s="30" t="s">
        <v>51</v>
      </c>
    </row>
    <row r="86" spans="1:107" x14ac:dyDescent="0.25">
      <c r="A86" s="10" t="s">
        <v>215</v>
      </c>
    </row>
    <row r="87" spans="1:107" x14ac:dyDescent="0.25">
      <c r="L87" s="70">
        <v>102.5</v>
      </c>
      <c r="M87" s="70" t="s">
        <v>47</v>
      </c>
      <c r="N87" s="53" t="s">
        <v>49</v>
      </c>
      <c r="Q87" s="74">
        <v>95</v>
      </c>
      <c r="R87" s="74" t="s">
        <v>47</v>
      </c>
      <c r="S87" s="74" t="s">
        <v>50</v>
      </c>
      <c r="V87" s="78">
        <v>85</v>
      </c>
      <c r="W87" s="78" t="s">
        <v>122</v>
      </c>
      <c r="X87" s="79" t="s">
        <v>49</v>
      </c>
      <c r="AF87" s="7">
        <v>40</v>
      </c>
      <c r="AG87" s="7" t="s">
        <v>45</v>
      </c>
      <c r="AH87" s="7" t="s">
        <v>49</v>
      </c>
      <c r="AK87" s="22">
        <v>62.5</v>
      </c>
      <c r="AL87" s="22" t="s">
        <v>46</v>
      </c>
      <c r="AM87" s="22" t="s">
        <v>49</v>
      </c>
      <c r="AU87" s="30">
        <v>60</v>
      </c>
      <c r="AV87" s="30" t="s">
        <v>47</v>
      </c>
      <c r="AW87" s="30" t="s">
        <v>49</v>
      </c>
      <c r="BK87" s="72">
        <v>60</v>
      </c>
      <c r="BL87" s="72" t="s">
        <v>47</v>
      </c>
      <c r="BM87" s="72" t="s">
        <v>50</v>
      </c>
      <c r="CP87" s="5">
        <v>125</v>
      </c>
      <c r="CQ87" s="5" t="s">
        <v>47</v>
      </c>
      <c r="CR87" s="5" t="s">
        <v>49</v>
      </c>
      <c r="CS87" s="5" t="s">
        <v>37</v>
      </c>
      <c r="CZ87" s="20">
        <v>95</v>
      </c>
      <c r="DA87" s="20" t="s">
        <v>47</v>
      </c>
      <c r="DB87" s="122" t="s">
        <v>50</v>
      </c>
      <c r="DC87" s="122" t="s">
        <v>37</v>
      </c>
    </row>
    <row r="88" spans="1:107" x14ac:dyDescent="0.25">
      <c r="L88" s="70">
        <v>105</v>
      </c>
      <c r="M88" s="70" t="s">
        <v>47</v>
      </c>
      <c r="N88" s="70" t="s">
        <v>50</v>
      </c>
      <c r="Q88" s="74">
        <v>97.5</v>
      </c>
      <c r="R88" s="74" t="s">
        <v>47</v>
      </c>
      <c r="S88" s="74" t="s">
        <v>51</v>
      </c>
      <c r="V88" s="78">
        <v>92.5</v>
      </c>
      <c r="W88" s="78" t="s">
        <v>122</v>
      </c>
      <c r="X88" s="78" t="s">
        <v>50</v>
      </c>
      <c r="AF88" s="7">
        <v>42.5</v>
      </c>
      <c r="AG88" s="7" t="s">
        <v>45</v>
      </c>
      <c r="AH88" s="7" t="s">
        <v>50</v>
      </c>
      <c r="AK88" s="22">
        <v>65</v>
      </c>
      <c r="AL88" s="22" t="s">
        <v>46</v>
      </c>
      <c r="AM88" s="22" t="s">
        <v>50</v>
      </c>
      <c r="AU88" s="30">
        <v>62.5</v>
      </c>
      <c r="AV88" s="30" t="s">
        <v>47</v>
      </c>
      <c r="AW88" s="30" t="s">
        <v>50</v>
      </c>
      <c r="BK88" s="72">
        <v>61</v>
      </c>
      <c r="BL88" s="72" t="s">
        <v>47</v>
      </c>
      <c r="BM88" s="123" t="s">
        <v>51</v>
      </c>
      <c r="CP88" s="5">
        <v>130</v>
      </c>
      <c r="CQ88" s="5" t="s">
        <v>47</v>
      </c>
      <c r="CR88" s="5" t="s">
        <v>50</v>
      </c>
      <c r="CS88" s="5" t="s">
        <v>37</v>
      </c>
      <c r="CZ88" s="20">
        <v>100</v>
      </c>
      <c r="DA88" s="20" t="s">
        <v>47</v>
      </c>
      <c r="DB88" s="122" t="s">
        <v>51</v>
      </c>
      <c r="DC88" s="122" t="s">
        <v>37</v>
      </c>
    </row>
    <row r="89" spans="1:107" x14ac:dyDescent="0.25">
      <c r="L89" s="70">
        <v>107.5</v>
      </c>
      <c r="M89" s="70" t="s">
        <v>47</v>
      </c>
      <c r="N89" s="70" t="s">
        <v>51</v>
      </c>
      <c r="Q89" s="74">
        <v>98.5</v>
      </c>
      <c r="R89" s="74" t="s">
        <v>47</v>
      </c>
      <c r="S89" s="74" t="s">
        <v>52</v>
      </c>
      <c r="V89" s="78">
        <v>97.5</v>
      </c>
      <c r="W89" s="78" t="s">
        <v>122</v>
      </c>
      <c r="X89" s="78" t="s">
        <v>51</v>
      </c>
      <c r="AF89" s="7">
        <v>45</v>
      </c>
      <c r="AG89" s="7" t="s">
        <v>45</v>
      </c>
      <c r="AH89" s="7" t="s">
        <v>51</v>
      </c>
      <c r="AK89" s="22">
        <v>66</v>
      </c>
      <c r="AL89" s="22" t="s">
        <v>46</v>
      </c>
      <c r="AM89" s="22" t="s">
        <v>51</v>
      </c>
      <c r="AN89" s="22" t="s">
        <v>37</v>
      </c>
      <c r="AS89" s="22" t="s">
        <v>37</v>
      </c>
      <c r="AU89" s="30">
        <v>63.5</v>
      </c>
      <c r="AV89" s="30" t="s">
        <v>47</v>
      </c>
      <c r="AW89" s="30" t="s">
        <v>51</v>
      </c>
      <c r="BK89" s="72">
        <v>62.5</v>
      </c>
      <c r="BL89" s="72" t="s">
        <v>47</v>
      </c>
      <c r="BM89" s="123" t="s">
        <v>52</v>
      </c>
      <c r="CP89" s="5">
        <v>135</v>
      </c>
      <c r="CQ89" s="5" t="s">
        <v>47</v>
      </c>
      <c r="CR89" s="8" t="s">
        <v>51</v>
      </c>
      <c r="CS89" s="5" t="s">
        <v>37</v>
      </c>
      <c r="CZ89" s="20">
        <v>105</v>
      </c>
      <c r="DA89" s="122" t="s">
        <v>47</v>
      </c>
      <c r="DB89" s="122" t="s">
        <v>52</v>
      </c>
      <c r="DC89" s="122" t="s">
        <v>37</v>
      </c>
    </row>
    <row r="90" spans="1:107" x14ac:dyDescent="0.25">
      <c r="L90" s="70">
        <v>107.5</v>
      </c>
      <c r="M90" s="70" t="s">
        <v>47</v>
      </c>
      <c r="N90" s="70" t="s">
        <v>51</v>
      </c>
      <c r="Q90" s="74">
        <v>98.5</v>
      </c>
      <c r="R90" s="74" t="s">
        <v>47</v>
      </c>
      <c r="S90" s="74" t="s">
        <v>52</v>
      </c>
      <c r="T90" s="74" t="s">
        <v>37</v>
      </c>
      <c r="V90" s="78">
        <v>97.5</v>
      </c>
      <c r="W90" s="78" t="s">
        <v>122</v>
      </c>
      <c r="X90" s="78" t="s">
        <v>51</v>
      </c>
      <c r="AF90" s="7">
        <v>46</v>
      </c>
      <c r="AG90" s="7" t="s">
        <v>47</v>
      </c>
      <c r="AH90" s="7" t="s">
        <v>51</v>
      </c>
      <c r="AI90" s="7" t="s">
        <v>37</v>
      </c>
      <c r="AK90" s="22">
        <v>66</v>
      </c>
      <c r="AL90" s="22" t="s">
        <v>46</v>
      </c>
      <c r="AM90" s="22" t="s">
        <v>51</v>
      </c>
      <c r="AU90" s="30">
        <v>62.5</v>
      </c>
      <c r="AV90" s="30" t="s">
        <v>47</v>
      </c>
      <c r="AW90" s="30" t="s">
        <v>51</v>
      </c>
      <c r="BK90" s="123">
        <v>62.5</v>
      </c>
      <c r="BL90" s="123" t="s">
        <v>47</v>
      </c>
      <c r="BM90" s="123" t="s">
        <v>52</v>
      </c>
      <c r="BN90" s="72" t="s">
        <v>42</v>
      </c>
      <c r="CP90" s="5">
        <v>135</v>
      </c>
      <c r="CQ90" s="5" t="s">
        <v>47</v>
      </c>
      <c r="CR90" s="8" t="s">
        <v>51</v>
      </c>
      <c r="CZ90" s="20">
        <v>105</v>
      </c>
      <c r="DA90" s="122" t="s">
        <v>47</v>
      </c>
      <c r="DB90" s="122" t="s">
        <v>52</v>
      </c>
      <c r="DC90" s="122" t="s">
        <v>37</v>
      </c>
    </row>
    <row r="91" spans="1:107" x14ac:dyDescent="0.25">
      <c r="L91" s="70">
        <v>107.5</v>
      </c>
      <c r="M91" s="70" t="s">
        <v>47</v>
      </c>
      <c r="N91" s="70" t="s">
        <v>51</v>
      </c>
      <c r="O91" s="70" t="s">
        <v>42</v>
      </c>
      <c r="AF91" s="7">
        <v>46</v>
      </c>
      <c r="AG91" s="7" t="s">
        <v>47</v>
      </c>
      <c r="AH91" s="7" t="s">
        <v>51</v>
      </c>
      <c r="AI91" s="7" t="s">
        <v>41</v>
      </c>
      <c r="AK91" s="22">
        <v>66</v>
      </c>
      <c r="AL91" s="22" t="s">
        <v>46</v>
      </c>
      <c r="AM91" s="22" t="s">
        <v>51</v>
      </c>
      <c r="AU91" s="30">
        <v>62.5</v>
      </c>
      <c r="AV91" s="30" t="s">
        <v>47</v>
      </c>
      <c r="AW91" s="30" t="s">
        <v>51</v>
      </c>
      <c r="AX91" s="30" t="s">
        <v>41</v>
      </c>
      <c r="CP91" s="5">
        <v>135</v>
      </c>
      <c r="CQ91" s="5" t="s">
        <v>47</v>
      </c>
      <c r="CR91" s="8" t="s">
        <v>51</v>
      </c>
    </row>
    <row r="92" spans="1:107" x14ac:dyDescent="0.25">
      <c r="AF92" s="7">
        <v>46</v>
      </c>
      <c r="AG92" s="7" t="s">
        <v>47</v>
      </c>
      <c r="AH92" s="7" t="s">
        <v>51</v>
      </c>
      <c r="AI92" s="7" t="s">
        <v>41</v>
      </c>
      <c r="AK92" s="22">
        <v>66</v>
      </c>
      <c r="AL92" s="22" t="s">
        <v>46</v>
      </c>
      <c r="AM92" s="22" t="s">
        <v>51</v>
      </c>
      <c r="AU92" s="30">
        <v>62.5</v>
      </c>
      <c r="AV92" s="30" t="s">
        <v>47</v>
      </c>
      <c r="AW92" s="30" t="s">
        <v>51</v>
      </c>
      <c r="AX92" s="30" t="s">
        <v>42</v>
      </c>
    </row>
    <row r="93" spans="1:107" x14ac:dyDescent="0.25">
      <c r="AF93" s="7">
        <v>46</v>
      </c>
      <c r="AG93" s="7" t="s">
        <v>47</v>
      </c>
      <c r="AH93" s="7" t="s">
        <v>51</v>
      </c>
      <c r="AI93" s="7" t="s">
        <v>37</v>
      </c>
      <c r="AU93" s="30">
        <v>60</v>
      </c>
      <c r="AV93" s="30" t="s">
        <v>47</v>
      </c>
      <c r="AW93" s="30" t="s">
        <v>51</v>
      </c>
    </row>
    <row r="94" spans="1:107" x14ac:dyDescent="0.25">
      <c r="A94" s="10" t="s">
        <v>218</v>
      </c>
    </row>
    <row r="95" spans="1:107" x14ac:dyDescent="0.25">
      <c r="L95" s="70">
        <v>120</v>
      </c>
      <c r="M95" s="70" t="s">
        <v>124</v>
      </c>
      <c r="N95" s="70" t="s">
        <v>51</v>
      </c>
      <c r="O95" s="70" t="s">
        <v>37</v>
      </c>
      <c r="Q95" s="74">
        <v>95</v>
      </c>
      <c r="R95" s="74" t="s">
        <v>125</v>
      </c>
      <c r="S95" s="74" t="s">
        <v>50</v>
      </c>
      <c r="V95" s="78">
        <v>85</v>
      </c>
      <c r="W95" s="78" t="s">
        <v>122</v>
      </c>
      <c r="X95" s="79" t="s">
        <v>49</v>
      </c>
      <c r="AF95" s="7">
        <v>51</v>
      </c>
      <c r="AG95" s="7" t="s">
        <v>124</v>
      </c>
      <c r="AH95" s="7" t="s">
        <v>51</v>
      </c>
      <c r="AK95" s="22">
        <v>67.5</v>
      </c>
      <c r="AL95" s="22" t="s">
        <v>122</v>
      </c>
      <c r="AM95" s="22" t="s">
        <v>49</v>
      </c>
      <c r="AU95" s="30">
        <v>70</v>
      </c>
      <c r="AV95" s="30" t="s">
        <v>124</v>
      </c>
      <c r="AW95" s="30" t="s">
        <v>51</v>
      </c>
      <c r="AX95" s="30" t="s">
        <v>37</v>
      </c>
      <c r="BK95" s="72">
        <v>65</v>
      </c>
      <c r="BL95" s="72" t="s">
        <v>125</v>
      </c>
      <c r="BM95" s="128" t="s">
        <v>50</v>
      </c>
      <c r="BN95" s="72" t="s">
        <v>41</v>
      </c>
      <c r="CP95" s="5">
        <v>150</v>
      </c>
      <c r="CQ95" s="5" t="s">
        <v>124</v>
      </c>
      <c r="CR95" s="8" t="s">
        <v>51</v>
      </c>
      <c r="CS95" s="5" t="s">
        <v>37</v>
      </c>
      <c r="CZ95" s="20">
        <v>97.5</v>
      </c>
      <c r="DA95" s="20" t="s">
        <v>47</v>
      </c>
      <c r="DB95" s="129" t="s">
        <v>50</v>
      </c>
    </row>
    <row r="96" spans="1:107" x14ac:dyDescent="0.25">
      <c r="L96" s="70">
        <v>107.5</v>
      </c>
      <c r="M96" s="70" t="s">
        <v>47</v>
      </c>
      <c r="N96" s="70" t="s">
        <v>51</v>
      </c>
      <c r="O96" s="70" t="s">
        <v>37</v>
      </c>
      <c r="Q96" s="74">
        <v>100</v>
      </c>
      <c r="R96" s="74" t="s">
        <v>125</v>
      </c>
      <c r="S96" s="74" t="s">
        <v>51</v>
      </c>
      <c r="V96" s="78">
        <v>90</v>
      </c>
      <c r="W96" s="78" t="s">
        <v>122</v>
      </c>
      <c r="X96" s="78" t="s">
        <v>50</v>
      </c>
      <c r="AF96" s="7">
        <v>47.5</v>
      </c>
      <c r="AG96" s="7" t="s">
        <v>47</v>
      </c>
      <c r="AH96" s="7" t="s">
        <v>51</v>
      </c>
      <c r="AK96" s="22">
        <v>67.5</v>
      </c>
      <c r="AL96" s="22" t="s">
        <v>122</v>
      </c>
      <c r="AM96" s="22" t="s">
        <v>50</v>
      </c>
      <c r="AU96" s="30">
        <v>63.5</v>
      </c>
      <c r="AV96" s="30" t="s">
        <v>47</v>
      </c>
      <c r="AW96" s="30" t="s">
        <v>51</v>
      </c>
      <c r="BK96" s="72">
        <v>67.5</v>
      </c>
      <c r="BL96" s="128" t="s">
        <v>125</v>
      </c>
      <c r="BM96" s="128" t="s">
        <v>51</v>
      </c>
      <c r="CP96" s="5">
        <v>137.5</v>
      </c>
      <c r="CQ96" s="5" t="s">
        <v>47</v>
      </c>
      <c r="CR96" s="8" t="s">
        <v>51</v>
      </c>
      <c r="CZ96" s="20">
        <v>102.5</v>
      </c>
      <c r="DA96" s="129" t="s">
        <v>47</v>
      </c>
      <c r="DB96" s="129" t="s">
        <v>51</v>
      </c>
    </row>
    <row r="97" spans="1:111" x14ac:dyDescent="0.25">
      <c r="L97" s="70">
        <v>107.5</v>
      </c>
      <c r="M97" s="70" t="s">
        <v>47</v>
      </c>
      <c r="N97" s="70" t="s">
        <v>51</v>
      </c>
      <c r="O97" s="70" t="s">
        <v>37</v>
      </c>
      <c r="Q97" s="74">
        <v>102.5</v>
      </c>
      <c r="R97" s="74" t="s">
        <v>125</v>
      </c>
      <c r="S97" s="74" t="s">
        <v>52</v>
      </c>
      <c r="V97" s="78">
        <v>97.5</v>
      </c>
      <c r="W97" s="78" t="s">
        <v>122</v>
      </c>
      <c r="X97" s="78" t="s">
        <v>51</v>
      </c>
      <c r="AF97" s="7">
        <v>47.5</v>
      </c>
      <c r="AG97" s="7" t="s">
        <v>47</v>
      </c>
      <c r="AH97" s="7" t="s">
        <v>51</v>
      </c>
      <c r="AK97" s="22">
        <v>65</v>
      </c>
      <c r="AL97" s="22" t="s">
        <v>122</v>
      </c>
      <c r="AM97" s="22" t="s">
        <v>51</v>
      </c>
      <c r="AU97" s="30">
        <v>63.5</v>
      </c>
      <c r="AV97" s="30" t="s">
        <v>47</v>
      </c>
      <c r="AW97" s="30" t="s">
        <v>51</v>
      </c>
      <c r="BK97" s="72">
        <v>68.5</v>
      </c>
      <c r="BL97" s="128" t="s">
        <v>125</v>
      </c>
      <c r="BM97" s="128" t="s">
        <v>52</v>
      </c>
      <c r="BN97" s="72" t="s">
        <v>42</v>
      </c>
      <c r="CP97" s="5">
        <v>137.5</v>
      </c>
      <c r="CQ97" s="5" t="s">
        <v>47</v>
      </c>
      <c r="CR97" s="8" t="s">
        <v>51</v>
      </c>
      <c r="CZ97" s="20">
        <v>107.5</v>
      </c>
      <c r="DA97" s="129" t="s">
        <v>47</v>
      </c>
      <c r="DB97" s="129" t="s">
        <v>52</v>
      </c>
    </row>
    <row r="98" spans="1:111" x14ac:dyDescent="0.25">
      <c r="L98" s="70">
        <v>107.5</v>
      </c>
      <c r="M98" s="70" t="s">
        <v>47</v>
      </c>
      <c r="N98" s="70" t="s">
        <v>51</v>
      </c>
      <c r="O98" s="70" t="s">
        <v>37</v>
      </c>
      <c r="Q98" s="74">
        <v>102.5</v>
      </c>
      <c r="R98" s="74" t="s">
        <v>125</v>
      </c>
      <c r="S98" s="74" t="s">
        <v>52</v>
      </c>
      <c r="V98" s="78">
        <v>97.5</v>
      </c>
      <c r="W98" s="78" t="s">
        <v>122</v>
      </c>
      <c r="X98" s="78" t="s">
        <v>51</v>
      </c>
      <c r="AF98" s="7">
        <v>47.5</v>
      </c>
      <c r="AG98" s="7" t="s">
        <v>47</v>
      </c>
      <c r="AH98" s="7" t="s">
        <v>51</v>
      </c>
      <c r="AK98" s="22">
        <v>65</v>
      </c>
      <c r="AL98" s="22" t="s">
        <v>122</v>
      </c>
      <c r="AM98" s="22" t="s">
        <v>51</v>
      </c>
      <c r="AU98" s="30">
        <v>63.5</v>
      </c>
      <c r="AV98" s="30" t="s">
        <v>47</v>
      </c>
      <c r="AW98" s="30" t="s">
        <v>51</v>
      </c>
      <c r="BK98" s="72">
        <v>65</v>
      </c>
      <c r="BL98" s="128" t="s">
        <v>125</v>
      </c>
      <c r="BM98" s="128" t="s">
        <v>52</v>
      </c>
      <c r="CP98" s="5">
        <v>137.5</v>
      </c>
      <c r="CQ98" s="5" t="s">
        <v>47</v>
      </c>
      <c r="CR98" s="8" t="s">
        <v>51</v>
      </c>
      <c r="CZ98" s="129">
        <v>107.5</v>
      </c>
      <c r="DA98" s="129" t="s">
        <v>47</v>
      </c>
      <c r="DB98" s="129" t="s">
        <v>52</v>
      </c>
    </row>
    <row r="99" spans="1:111" x14ac:dyDescent="0.25">
      <c r="Q99" s="74">
        <v>102.5</v>
      </c>
      <c r="R99" s="74" t="s">
        <v>125</v>
      </c>
      <c r="S99" s="74" t="s">
        <v>52</v>
      </c>
      <c r="V99" s="78">
        <v>95</v>
      </c>
      <c r="W99" s="78" t="s">
        <v>122</v>
      </c>
      <c r="X99" s="78" t="s">
        <v>51</v>
      </c>
      <c r="AF99" s="7">
        <v>47.5</v>
      </c>
      <c r="AG99" s="7" t="s">
        <v>47</v>
      </c>
      <c r="AH99" s="7" t="s">
        <v>51</v>
      </c>
      <c r="AK99" s="22">
        <v>65</v>
      </c>
      <c r="AL99" s="22" t="s">
        <v>122</v>
      </c>
      <c r="AM99" s="22" t="s">
        <v>51</v>
      </c>
      <c r="AU99" s="30">
        <v>63.5</v>
      </c>
      <c r="AV99" s="30" t="s">
        <v>47</v>
      </c>
      <c r="AW99" s="30" t="s">
        <v>51</v>
      </c>
      <c r="BK99" s="128">
        <v>60</v>
      </c>
      <c r="BL99" s="128" t="s">
        <v>125</v>
      </c>
      <c r="BM99" s="128" t="s">
        <v>52</v>
      </c>
    </row>
    <row r="100" spans="1:111" x14ac:dyDescent="0.25">
      <c r="V100" s="78">
        <v>95</v>
      </c>
      <c r="W100" s="78" t="s">
        <v>122</v>
      </c>
      <c r="X100" s="78" t="s">
        <v>51</v>
      </c>
      <c r="AK100" s="22">
        <v>65</v>
      </c>
      <c r="AL100" s="22" t="s">
        <v>122</v>
      </c>
      <c r="AM100" s="22" t="s">
        <v>51</v>
      </c>
    </row>
    <row r="101" spans="1:111" x14ac:dyDescent="0.25">
      <c r="A101" s="10" t="s">
        <v>223</v>
      </c>
    </row>
    <row r="102" spans="1:111" x14ac:dyDescent="0.25">
      <c r="L102" s="70">
        <v>122.5</v>
      </c>
      <c r="M102" s="70" t="s">
        <v>124</v>
      </c>
      <c r="N102" s="70" t="s">
        <v>51</v>
      </c>
      <c r="O102" s="70" t="s">
        <v>37</v>
      </c>
      <c r="Q102" s="74">
        <v>97.5</v>
      </c>
      <c r="R102" s="74" t="s">
        <v>125</v>
      </c>
      <c r="S102" s="74" t="s">
        <v>50</v>
      </c>
      <c r="V102" s="78">
        <v>85</v>
      </c>
      <c r="W102" s="78" t="s">
        <v>122</v>
      </c>
      <c r="X102" s="79" t="s">
        <v>49</v>
      </c>
      <c r="AF102" s="7">
        <v>52.5</v>
      </c>
      <c r="AG102" s="7" t="s">
        <v>124</v>
      </c>
      <c r="AH102" s="7" t="s">
        <v>51</v>
      </c>
      <c r="AK102" s="22">
        <v>65</v>
      </c>
      <c r="AL102" s="22" t="s">
        <v>122</v>
      </c>
      <c r="AM102" s="22" t="s">
        <v>49</v>
      </c>
      <c r="AU102" s="30">
        <v>72.5</v>
      </c>
      <c r="AV102" s="30" t="s">
        <v>124</v>
      </c>
      <c r="AW102" s="30" t="s">
        <v>51</v>
      </c>
      <c r="CK102" s="93">
        <v>60</v>
      </c>
      <c r="CL102" s="93" t="s">
        <v>125</v>
      </c>
      <c r="CM102" s="130" t="s">
        <v>50</v>
      </c>
      <c r="CP102" s="5">
        <v>152.5</v>
      </c>
      <c r="CQ102" s="5" t="s">
        <v>124</v>
      </c>
      <c r="CR102" s="8" t="s">
        <v>51</v>
      </c>
      <c r="CZ102" s="20">
        <v>102.5</v>
      </c>
      <c r="DA102" s="20" t="s">
        <v>125</v>
      </c>
      <c r="DB102" s="131" t="s">
        <v>50</v>
      </c>
      <c r="DC102" s="20" t="s">
        <v>37</v>
      </c>
    </row>
    <row r="103" spans="1:111" x14ac:dyDescent="0.25">
      <c r="L103" s="70">
        <v>110</v>
      </c>
      <c r="M103" s="70" t="s">
        <v>125</v>
      </c>
      <c r="N103" s="70" t="s">
        <v>51</v>
      </c>
      <c r="Q103" s="74">
        <v>102.5</v>
      </c>
      <c r="R103" s="74" t="s">
        <v>125</v>
      </c>
      <c r="S103" s="74" t="s">
        <v>51</v>
      </c>
      <c r="V103" s="78">
        <v>90</v>
      </c>
      <c r="W103" s="78" t="s">
        <v>122</v>
      </c>
      <c r="X103" s="78" t="s">
        <v>50</v>
      </c>
      <c r="AF103" s="7">
        <v>50</v>
      </c>
      <c r="AG103" s="7" t="s">
        <v>125</v>
      </c>
      <c r="AH103" s="7" t="s">
        <v>52</v>
      </c>
      <c r="AK103" s="22">
        <v>67.5</v>
      </c>
      <c r="AL103" s="22" t="s">
        <v>122</v>
      </c>
      <c r="AM103" s="22" t="s">
        <v>50</v>
      </c>
      <c r="AU103" s="30">
        <v>65</v>
      </c>
      <c r="AV103" s="30" t="s">
        <v>125</v>
      </c>
      <c r="AW103" s="30" t="s">
        <v>52</v>
      </c>
      <c r="CK103" s="93">
        <v>62.5</v>
      </c>
      <c r="CL103" s="93" t="s">
        <v>125</v>
      </c>
      <c r="CM103" s="130" t="s">
        <v>51</v>
      </c>
      <c r="CP103" s="5">
        <v>140</v>
      </c>
      <c r="CQ103" s="5" t="s">
        <v>125</v>
      </c>
      <c r="CR103" s="8" t="s">
        <v>51</v>
      </c>
      <c r="CZ103" s="20">
        <v>107.5</v>
      </c>
      <c r="DA103" s="131" t="s">
        <v>125</v>
      </c>
      <c r="DB103" s="131" t="s">
        <v>51</v>
      </c>
    </row>
    <row r="104" spans="1:111" x14ac:dyDescent="0.25">
      <c r="L104" s="70">
        <v>110</v>
      </c>
      <c r="M104" s="70" t="s">
        <v>125</v>
      </c>
      <c r="N104" s="70" t="s">
        <v>51</v>
      </c>
      <c r="Q104" s="74">
        <v>105</v>
      </c>
      <c r="R104" s="74" t="s">
        <v>125</v>
      </c>
      <c r="S104" s="74" t="s">
        <v>52</v>
      </c>
      <c r="V104" s="78">
        <v>95</v>
      </c>
      <c r="W104" s="78" t="s">
        <v>122</v>
      </c>
      <c r="X104" s="78" t="s">
        <v>51</v>
      </c>
      <c r="AF104" s="7">
        <v>50</v>
      </c>
      <c r="AG104" s="7" t="s">
        <v>125</v>
      </c>
      <c r="AH104" s="7" t="s">
        <v>52</v>
      </c>
      <c r="AK104" s="22">
        <v>70</v>
      </c>
      <c r="AL104" s="22" t="s">
        <v>122</v>
      </c>
      <c r="AM104" s="22" t="s">
        <v>51</v>
      </c>
      <c r="AU104" s="30">
        <v>65</v>
      </c>
      <c r="AV104" s="30" t="s">
        <v>125</v>
      </c>
      <c r="AW104" s="30" t="s">
        <v>52</v>
      </c>
      <c r="CK104" s="93">
        <v>66</v>
      </c>
      <c r="CL104" s="130" t="s">
        <v>125</v>
      </c>
      <c r="CM104" s="130" t="s">
        <v>52</v>
      </c>
      <c r="CP104" s="5">
        <v>140</v>
      </c>
      <c r="CQ104" s="5" t="s">
        <v>125</v>
      </c>
      <c r="CR104" s="8" t="s">
        <v>51</v>
      </c>
      <c r="CZ104" s="20">
        <v>110</v>
      </c>
      <c r="DA104" s="131" t="s">
        <v>125</v>
      </c>
      <c r="DB104" s="131" t="s">
        <v>52</v>
      </c>
    </row>
    <row r="105" spans="1:111" x14ac:dyDescent="0.25">
      <c r="L105" s="70">
        <v>110</v>
      </c>
      <c r="M105" s="70" t="s">
        <v>125</v>
      </c>
      <c r="N105" s="70" t="s">
        <v>51</v>
      </c>
      <c r="Q105" s="74">
        <v>105</v>
      </c>
      <c r="R105" s="74" t="s">
        <v>125</v>
      </c>
      <c r="S105" s="74" t="s">
        <v>52</v>
      </c>
      <c r="V105" s="78">
        <v>95</v>
      </c>
      <c r="W105" s="78" t="s">
        <v>122</v>
      </c>
      <c r="X105" s="78" t="s">
        <v>51</v>
      </c>
      <c r="AF105" s="7">
        <v>50</v>
      </c>
      <c r="AG105" s="7" t="s">
        <v>125</v>
      </c>
      <c r="AH105" s="7" t="s">
        <v>52</v>
      </c>
      <c r="AK105" s="22">
        <v>70</v>
      </c>
      <c r="AL105" s="22" t="s">
        <v>122</v>
      </c>
      <c r="AM105" s="22" t="s">
        <v>51</v>
      </c>
      <c r="AU105" s="30">
        <v>65</v>
      </c>
      <c r="AV105" s="30" t="s">
        <v>125</v>
      </c>
      <c r="AW105" s="30" t="s">
        <v>52</v>
      </c>
      <c r="CK105" s="130">
        <v>66</v>
      </c>
      <c r="CL105" s="130" t="s">
        <v>125</v>
      </c>
      <c r="CM105" s="130" t="s">
        <v>52</v>
      </c>
      <c r="CP105" s="5">
        <v>140</v>
      </c>
      <c r="CQ105" s="5" t="s">
        <v>125</v>
      </c>
      <c r="CR105" s="8" t="s">
        <v>51</v>
      </c>
      <c r="CZ105" s="131">
        <v>110</v>
      </c>
      <c r="DA105" s="131" t="s">
        <v>125</v>
      </c>
      <c r="DB105" s="131" t="s">
        <v>52</v>
      </c>
    </row>
    <row r="106" spans="1:111" x14ac:dyDescent="0.25">
      <c r="L106" s="70">
        <v>110</v>
      </c>
      <c r="M106" s="70" t="s">
        <v>125</v>
      </c>
      <c r="N106" s="70" t="s">
        <v>51</v>
      </c>
      <c r="Q106" s="74">
        <v>105</v>
      </c>
      <c r="R106" s="74" t="s">
        <v>125</v>
      </c>
      <c r="S106" s="74" t="s">
        <v>52</v>
      </c>
      <c r="V106" s="78">
        <v>95</v>
      </c>
      <c r="W106" s="78" t="s">
        <v>122</v>
      </c>
      <c r="X106" s="78" t="s">
        <v>51</v>
      </c>
      <c r="AF106" s="7">
        <v>50</v>
      </c>
      <c r="AG106" s="7" t="s">
        <v>125</v>
      </c>
      <c r="AH106" s="7" t="s">
        <v>52</v>
      </c>
      <c r="AI106" s="7" t="s">
        <v>37</v>
      </c>
      <c r="AK106" s="22">
        <v>70</v>
      </c>
      <c r="AL106" s="22" t="s">
        <v>122</v>
      </c>
      <c r="AM106" s="22" t="s">
        <v>51</v>
      </c>
      <c r="AU106" s="30">
        <v>65</v>
      </c>
      <c r="AV106" s="30" t="s">
        <v>125</v>
      </c>
      <c r="AW106" s="30" t="s">
        <v>52</v>
      </c>
      <c r="CK106" s="130">
        <v>66</v>
      </c>
      <c r="CL106" s="130" t="s">
        <v>125</v>
      </c>
      <c r="CM106" s="130" t="s">
        <v>52</v>
      </c>
      <c r="CP106" s="5">
        <v>140</v>
      </c>
      <c r="CQ106" s="5" t="s">
        <v>125</v>
      </c>
      <c r="CR106" s="8" t="s">
        <v>51</v>
      </c>
    </row>
    <row r="107" spans="1:111" x14ac:dyDescent="0.25">
      <c r="V107" s="78">
        <v>95</v>
      </c>
      <c r="W107" s="78" t="s">
        <v>122</v>
      </c>
      <c r="X107" s="78" t="s">
        <v>51</v>
      </c>
      <c r="AK107" s="22">
        <v>70</v>
      </c>
      <c r="AL107" s="22" t="s">
        <v>122</v>
      </c>
      <c r="AM107" s="22" t="s">
        <v>51</v>
      </c>
    </row>
    <row r="109" spans="1:111" x14ac:dyDescent="0.25">
      <c r="A109" s="10" t="s">
        <v>224</v>
      </c>
      <c r="L109" s="70">
        <v>90</v>
      </c>
      <c r="M109" s="70" t="s">
        <v>122</v>
      </c>
      <c r="N109" s="70" t="s">
        <v>49</v>
      </c>
      <c r="AF109" s="7">
        <v>40</v>
      </c>
      <c r="AG109" s="7" t="s">
        <v>122</v>
      </c>
      <c r="AH109" s="7" t="s">
        <v>49</v>
      </c>
      <c r="AL109" s="22">
        <v>52.5</v>
      </c>
      <c r="AU109" s="30">
        <v>52.5</v>
      </c>
      <c r="AV109" s="30" t="s">
        <v>122</v>
      </c>
      <c r="AW109" s="30" t="s">
        <v>49</v>
      </c>
      <c r="BW109" s="132" t="s">
        <v>46</v>
      </c>
      <c r="BX109" s="132" t="s">
        <v>49</v>
      </c>
      <c r="CP109" s="5">
        <v>120</v>
      </c>
      <c r="CQ109" s="5" t="s">
        <v>122</v>
      </c>
      <c r="CR109" s="5" t="s">
        <v>49</v>
      </c>
      <c r="DE109" s="5">
        <v>90</v>
      </c>
      <c r="DF109" s="5" t="s">
        <v>46</v>
      </c>
      <c r="DG109" s="5" t="s">
        <v>49</v>
      </c>
    </row>
    <row r="110" spans="1:111" x14ac:dyDescent="0.25">
      <c r="A110" s="10" t="s">
        <v>54</v>
      </c>
      <c r="L110" s="70">
        <v>95</v>
      </c>
      <c r="M110" s="70" t="s">
        <v>122</v>
      </c>
      <c r="N110" s="70" t="s">
        <v>50</v>
      </c>
      <c r="AF110" s="7">
        <v>42.5</v>
      </c>
      <c r="AG110" s="7" t="s">
        <v>122</v>
      </c>
      <c r="AH110" s="7" t="s">
        <v>50</v>
      </c>
      <c r="AU110" s="30">
        <v>55</v>
      </c>
      <c r="AV110" s="30" t="s">
        <v>122</v>
      </c>
      <c r="AW110" s="30" t="s">
        <v>50</v>
      </c>
      <c r="BW110" s="132" t="s">
        <v>46</v>
      </c>
      <c r="BX110" s="132" t="s">
        <v>50</v>
      </c>
      <c r="CP110" s="5">
        <v>125</v>
      </c>
      <c r="CQ110" s="132" t="s">
        <v>122</v>
      </c>
      <c r="CR110" s="5" t="s">
        <v>50</v>
      </c>
      <c r="DE110" s="5">
        <v>95</v>
      </c>
      <c r="DF110" s="5" t="s">
        <v>46</v>
      </c>
      <c r="DG110" s="5" t="s">
        <v>50</v>
      </c>
    </row>
    <row r="111" spans="1:111" x14ac:dyDescent="0.25">
      <c r="L111" s="70">
        <v>100</v>
      </c>
      <c r="M111" s="70" t="s">
        <v>122</v>
      </c>
      <c r="N111" s="70" t="s">
        <v>51</v>
      </c>
      <c r="AF111" s="7">
        <v>43.5</v>
      </c>
      <c r="AG111" s="7" t="s">
        <v>122</v>
      </c>
      <c r="AH111" s="7" t="s">
        <v>51</v>
      </c>
      <c r="AU111" s="30">
        <v>60</v>
      </c>
      <c r="AV111" s="30" t="s">
        <v>122</v>
      </c>
      <c r="AW111" s="30" t="s">
        <v>51</v>
      </c>
      <c r="BV111" s="132">
        <v>47.5</v>
      </c>
      <c r="BW111" s="132" t="s">
        <v>46</v>
      </c>
      <c r="BX111" s="132" t="s">
        <v>51</v>
      </c>
      <c r="CP111" s="5">
        <v>120</v>
      </c>
      <c r="CQ111" s="132" t="s">
        <v>122</v>
      </c>
      <c r="CR111" s="8" t="s">
        <v>51</v>
      </c>
      <c r="DE111" s="5">
        <v>100</v>
      </c>
      <c r="DF111" s="5" t="s">
        <v>46</v>
      </c>
      <c r="DG111" s="5" t="s">
        <v>51</v>
      </c>
    </row>
    <row r="112" spans="1:111" x14ac:dyDescent="0.25">
      <c r="L112" s="70">
        <v>100</v>
      </c>
      <c r="M112" s="70" t="s">
        <v>122</v>
      </c>
      <c r="N112" s="70" t="s">
        <v>51</v>
      </c>
      <c r="AF112" s="7">
        <v>45</v>
      </c>
      <c r="AG112" s="7" t="s">
        <v>122</v>
      </c>
      <c r="AH112" s="7" t="s">
        <v>51</v>
      </c>
      <c r="AU112" s="30">
        <v>60</v>
      </c>
      <c r="AV112" s="30" t="s">
        <v>122</v>
      </c>
      <c r="AW112" s="30" t="s">
        <v>51</v>
      </c>
      <c r="BW112" s="132" t="s">
        <v>46</v>
      </c>
      <c r="BX112" s="132" t="s">
        <v>51</v>
      </c>
      <c r="CP112" s="132">
        <v>120</v>
      </c>
      <c r="CQ112" s="132" t="s">
        <v>122</v>
      </c>
      <c r="CR112" s="8" t="s">
        <v>51</v>
      </c>
      <c r="DE112" s="5">
        <v>100</v>
      </c>
      <c r="DF112" s="5" t="s">
        <v>46</v>
      </c>
      <c r="DG112" s="5" t="s">
        <v>51</v>
      </c>
    </row>
    <row r="113" spans="12:111" x14ac:dyDescent="0.25">
      <c r="BW113" s="132" t="s">
        <v>46</v>
      </c>
      <c r="BX113" s="132" t="s">
        <v>51</v>
      </c>
      <c r="CR113" s="8"/>
      <c r="DE113" s="5">
        <v>100</v>
      </c>
      <c r="DF113" s="5" t="s">
        <v>46</v>
      </c>
      <c r="DG113" s="5" t="s">
        <v>51</v>
      </c>
    </row>
    <row r="115" spans="12:111" x14ac:dyDescent="0.25">
      <c r="L115" s="70">
        <v>90</v>
      </c>
      <c r="M115" s="70" t="s">
        <v>122</v>
      </c>
      <c r="N115" s="70" t="s">
        <v>49</v>
      </c>
      <c r="AF115" s="7">
        <v>40</v>
      </c>
      <c r="AG115" s="7" t="s">
        <v>122</v>
      </c>
      <c r="AH115" s="7" t="s">
        <v>49</v>
      </c>
      <c r="AL115" s="22">
        <v>55</v>
      </c>
      <c r="AU115" s="30">
        <v>52.5</v>
      </c>
      <c r="AV115" s="30" t="s">
        <v>122</v>
      </c>
      <c r="AW115" s="30" t="s">
        <v>49</v>
      </c>
      <c r="BV115" s="137">
        <v>45</v>
      </c>
      <c r="BW115" s="137" t="s">
        <v>46</v>
      </c>
      <c r="BX115" s="137" t="s">
        <v>49</v>
      </c>
      <c r="CP115" s="135">
        <v>115</v>
      </c>
      <c r="CQ115" s="135" t="s">
        <v>122</v>
      </c>
      <c r="CR115" s="135" t="s">
        <v>49</v>
      </c>
      <c r="DE115" s="137">
        <v>90</v>
      </c>
      <c r="DF115" s="137" t="s">
        <v>46</v>
      </c>
      <c r="DG115" s="137" t="s">
        <v>49</v>
      </c>
    </row>
    <row r="116" spans="12:111" x14ac:dyDescent="0.25">
      <c r="L116" s="70">
        <v>95</v>
      </c>
      <c r="M116" s="70" t="s">
        <v>122</v>
      </c>
      <c r="N116" s="70" t="s">
        <v>50</v>
      </c>
      <c r="AF116" s="7">
        <v>42.5</v>
      </c>
      <c r="AG116" s="7" t="s">
        <v>122</v>
      </c>
      <c r="AH116" s="7" t="s">
        <v>50</v>
      </c>
      <c r="AU116" s="30">
        <v>55</v>
      </c>
      <c r="AV116" s="30" t="s">
        <v>122</v>
      </c>
      <c r="AW116" s="30" t="s">
        <v>50</v>
      </c>
      <c r="BV116" s="137">
        <v>47.5</v>
      </c>
      <c r="BW116" s="137" t="s">
        <v>46</v>
      </c>
      <c r="BX116" s="137" t="s">
        <v>50</v>
      </c>
      <c r="CP116" s="135">
        <v>120</v>
      </c>
      <c r="CQ116" s="135" t="s">
        <v>122</v>
      </c>
      <c r="CR116" s="135" t="s">
        <v>50</v>
      </c>
      <c r="DE116" s="137">
        <v>95</v>
      </c>
      <c r="DF116" s="137" t="s">
        <v>46</v>
      </c>
      <c r="DG116" s="137" t="s">
        <v>50</v>
      </c>
    </row>
    <row r="117" spans="12:111" x14ac:dyDescent="0.25">
      <c r="L117" s="70">
        <v>100</v>
      </c>
      <c r="M117" s="70" t="s">
        <v>122</v>
      </c>
      <c r="N117" s="70" t="s">
        <v>51</v>
      </c>
      <c r="AF117" s="7">
        <v>45</v>
      </c>
      <c r="AG117" s="7" t="s">
        <v>122</v>
      </c>
      <c r="AH117" s="7" t="s">
        <v>51</v>
      </c>
      <c r="AU117" s="30">
        <v>60</v>
      </c>
      <c r="AV117" s="30" t="s">
        <v>122</v>
      </c>
      <c r="AW117" s="30" t="s">
        <v>51</v>
      </c>
      <c r="BV117" s="137">
        <v>50</v>
      </c>
      <c r="BW117" s="137" t="s">
        <v>46</v>
      </c>
      <c r="BX117" s="137" t="s">
        <v>51</v>
      </c>
      <c r="CP117" s="135">
        <v>125</v>
      </c>
      <c r="CQ117" s="135" t="s">
        <v>122</v>
      </c>
      <c r="CR117" s="8" t="s">
        <v>51</v>
      </c>
      <c r="DE117" s="137">
        <v>102.5</v>
      </c>
      <c r="DF117" s="137" t="s">
        <v>46</v>
      </c>
      <c r="DG117" s="137" t="s">
        <v>51</v>
      </c>
    </row>
    <row r="118" spans="12:111" x14ac:dyDescent="0.25">
      <c r="L118" s="70">
        <v>100</v>
      </c>
      <c r="M118" s="70" t="s">
        <v>122</v>
      </c>
      <c r="N118" s="70" t="s">
        <v>51</v>
      </c>
      <c r="AF118" s="7">
        <v>45</v>
      </c>
      <c r="AG118" s="7" t="s">
        <v>122</v>
      </c>
      <c r="AH118" s="7" t="s">
        <v>51</v>
      </c>
      <c r="AU118" s="30">
        <v>61</v>
      </c>
      <c r="AV118" s="30" t="s">
        <v>122</v>
      </c>
      <c r="AW118" s="30" t="s">
        <v>51</v>
      </c>
      <c r="BV118" s="137">
        <v>50</v>
      </c>
      <c r="BW118" s="137" t="s">
        <v>46</v>
      </c>
      <c r="BX118" s="137" t="s">
        <v>51</v>
      </c>
      <c r="CP118" s="135">
        <v>125</v>
      </c>
      <c r="CQ118" s="135" t="s">
        <v>122</v>
      </c>
      <c r="CR118" s="8" t="s">
        <v>51</v>
      </c>
      <c r="DE118" s="137">
        <v>102.5</v>
      </c>
      <c r="DF118" s="137" t="s">
        <v>46</v>
      </c>
      <c r="DG118" s="137" t="s">
        <v>51</v>
      </c>
    </row>
    <row r="119" spans="12:111" x14ac:dyDescent="0.25">
      <c r="L119" s="70">
        <v>100</v>
      </c>
      <c r="M119" s="70" t="s">
        <v>122</v>
      </c>
      <c r="N119" s="70" t="s">
        <v>51</v>
      </c>
      <c r="AF119" s="7">
        <v>45</v>
      </c>
      <c r="AG119" s="7" t="s">
        <v>122</v>
      </c>
      <c r="AH119" s="7" t="s">
        <v>51</v>
      </c>
      <c r="AU119" s="30">
        <v>60</v>
      </c>
      <c r="AV119" s="30" t="s">
        <v>122</v>
      </c>
      <c r="AW119" s="30" t="s">
        <v>51</v>
      </c>
      <c r="BV119" s="137">
        <v>50</v>
      </c>
      <c r="BW119" s="137" t="s">
        <v>46</v>
      </c>
      <c r="BX119" s="137" t="s">
        <v>51</v>
      </c>
      <c r="CP119" s="135">
        <v>125</v>
      </c>
      <c r="CQ119" s="135" t="s">
        <v>122</v>
      </c>
      <c r="CR119" s="8" t="s">
        <v>51</v>
      </c>
      <c r="DE119" s="137">
        <v>102.5</v>
      </c>
      <c r="DF119" s="137" t="s">
        <v>46</v>
      </c>
      <c r="DG119" s="137" t="s">
        <v>51</v>
      </c>
    </row>
    <row r="120" spans="12:111" x14ac:dyDescent="0.25">
      <c r="BV120" s="135"/>
      <c r="BW120" s="135"/>
      <c r="BX120" s="135"/>
      <c r="DE120" s="134"/>
      <c r="DF120" s="134"/>
      <c r="DG120" s="134"/>
    </row>
    <row r="121" spans="12:111" x14ac:dyDescent="0.25">
      <c r="L121" s="70">
        <v>90</v>
      </c>
      <c r="M121" s="70" t="s">
        <v>122</v>
      </c>
      <c r="N121" s="70" t="s">
        <v>49</v>
      </c>
      <c r="AF121" s="7">
        <v>40</v>
      </c>
      <c r="AG121" s="7" t="s">
        <v>122</v>
      </c>
      <c r="AH121" s="7" t="s">
        <v>49</v>
      </c>
      <c r="AL121" s="22">
        <v>56</v>
      </c>
      <c r="AU121" s="30">
        <v>52.5</v>
      </c>
      <c r="AV121" s="30" t="s">
        <v>122</v>
      </c>
      <c r="AW121" s="30" t="s">
        <v>49</v>
      </c>
      <c r="CA121" s="137">
        <v>45</v>
      </c>
      <c r="CB121" s="137" t="s">
        <v>46</v>
      </c>
      <c r="CC121" s="137" t="s">
        <v>49</v>
      </c>
      <c r="CP121" s="137">
        <v>117.5</v>
      </c>
      <c r="CQ121" s="137" t="s">
        <v>122</v>
      </c>
      <c r="CR121" s="137" t="s">
        <v>49</v>
      </c>
      <c r="DE121" s="137">
        <v>92.5</v>
      </c>
      <c r="DF121" s="137" t="s">
        <v>46</v>
      </c>
      <c r="DG121" s="137" t="s">
        <v>49</v>
      </c>
    </row>
    <row r="122" spans="12:111" x14ac:dyDescent="0.25">
      <c r="L122" s="70">
        <v>95</v>
      </c>
      <c r="M122" s="70" t="s">
        <v>122</v>
      </c>
      <c r="N122" s="70" t="s">
        <v>50</v>
      </c>
      <c r="AF122" s="7">
        <v>42.5</v>
      </c>
      <c r="AG122" s="7" t="s">
        <v>122</v>
      </c>
      <c r="AH122" s="7" t="s">
        <v>50</v>
      </c>
      <c r="AU122" s="30">
        <v>55</v>
      </c>
      <c r="AV122" s="30" t="s">
        <v>122</v>
      </c>
      <c r="AW122" s="30" t="s">
        <v>50</v>
      </c>
      <c r="CA122" s="137">
        <v>47.5</v>
      </c>
      <c r="CB122" s="137" t="s">
        <v>46</v>
      </c>
      <c r="CC122" s="137" t="s">
        <v>50</v>
      </c>
      <c r="CP122" s="137">
        <v>122.5</v>
      </c>
      <c r="CQ122" s="137" t="s">
        <v>122</v>
      </c>
      <c r="CR122" s="137" t="s">
        <v>50</v>
      </c>
      <c r="DE122" s="137">
        <v>97.5</v>
      </c>
      <c r="DF122" s="137" t="s">
        <v>46</v>
      </c>
      <c r="DG122" s="137" t="s">
        <v>50</v>
      </c>
    </row>
    <row r="123" spans="12:111" x14ac:dyDescent="0.25">
      <c r="L123" s="70">
        <v>102.5</v>
      </c>
      <c r="M123" s="70" t="s">
        <v>122</v>
      </c>
      <c r="N123" s="70" t="s">
        <v>51</v>
      </c>
      <c r="AF123" s="7">
        <v>46</v>
      </c>
      <c r="AG123" s="7" t="s">
        <v>122</v>
      </c>
      <c r="AH123" s="7" t="s">
        <v>51</v>
      </c>
      <c r="AU123" s="30">
        <v>62.5</v>
      </c>
      <c r="AV123" s="30" t="s">
        <v>122</v>
      </c>
      <c r="AW123" s="30" t="s">
        <v>51</v>
      </c>
      <c r="CA123" s="137">
        <v>50</v>
      </c>
      <c r="CB123" s="137" t="s">
        <v>46</v>
      </c>
      <c r="CC123" s="137" t="s">
        <v>51</v>
      </c>
      <c r="CP123" s="137">
        <v>127.5</v>
      </c>
      <c r="CQ123" s="137" t="s">
        <v>122</v>
      </c>
      <c r="CR123" s="8" t="s">
        <v>51</v>
      </c>
      <c r="DE123" s="137">
        <v>105</v>
      </c>
      <c r="DF123" s="137" t="s">
        <v>46</v>
      </c>
      <c r="DG123" s="137" t="s">
        <v>51</v>
      </c>
    </row>
    <row r="124" spans="12:111" x14ac:dyDescent="0.25">
      <c r="L124" s="70">
        <v>102.5</v>
      </c>
      <c r="M124" s="70" t="s">
        <v>122</v>
      </c>
      <c r="N124" s="70" t="s">
        <v>51</v>
      </c>
      <c r="AF124" s="7">
        <v>46</v>
      </c>
      <c r="AG124" s="7" t="s">
        <v>122</v>
      </c>
      <c r="AH124" s="7" t="s">
        <v>51</v>
      </c>
      <c r="AU124" s="30">
        <v>62.5</v>
      </c>
      <c r="AV124" s="30" t="s">
        <v>122</v>
      </c>
      <c r="AW124" s="30" t="s">
        <v>51</v>
      </c>
      <c r="CA124" s="137">
        <v>50</v>
      </c>
      <c r="CB124" s="137" t="s">
        <v>46</v>
      </c>
      <c r="CC124" s="137" t="s">
        <v>51</v>
      </c>
      <c r="CP124" s="137">
        <v>127.5</v>
      </c>
      <c r="CQ124" s="137" t="s">
        <v>122</v>
      </c>
      <c r="CR124" s="8" t="s">
        <v>51</v>
      </c>
      <c r="DE124" s="137">
        <v>105</v>
      </c>
      <c r="DF124" s="137" t="s">
        <v>46</v>
      </c>
      <c r="DG124" s="137" t="s">
        <v>51</v>
      </c>
    </row>
    <row r="125" spans="12:111" x14ac:dyDescent="0.25">
      <c r="L125" s="70">
        <v>102.5</v>
      </c>
      <c r="M125" s="70" t="s">
        <v>122</v>
      </c>
      <c r="N125" s="70" t="s">
        <v>51</v>
      </c>
      <c r="O125" s="70" t="s">
        <v>42</v>
      </c>
      <c r="AF125" s="7">
        <v>46</v>
      </c>
      <c r="AG125" s="7" t="s">
        <v>122</v>
      </c>
      <c r="AH125" s="7" t="s">
        <v>51</v>
      </c>
      <c r="AU125" s="30">
        <v>62.5</v>
      </c>
      <c r="AV125" s="30" t="s">
        <v>122</v>
      </c>
      <c r="AW125" s="30" t="s">
        <v>51</v>
      </c>
      <c r="CA125" s="137">
        <v>50</v>
      </c>
      <c r="CB125" s="137" t="s">
        <v>46</v>
      </c>
      <c r="CC125" s="137" t="s">
        <v>51</v>
      </c>
      <c r="CP125" s="137">
        <v>127.5</v>
      </c>
      <c r="CQ125" s="137" t="s">
        <v>122</v>
      </c>
      <c r="CR125" s="8" t="s">
        <v>51</v>
      </c>
      <c r="DE125" s="137">
        <v>105</v>
      </c>
      <c r="DF125" s="137" t="s">
        <v>46</v>
      </c>
      <c r="DG125" s="137" t="s">
        <v>51</v>
      </c>
    </row>
    <row r="126" spans="12:111" x14ac:dyDescent="0.25">
      <c r="DE126" s="136"/>
      <c r="DF126" s="136"/>
      <c r="DG126" s="136"/>
    </row>
    <row r="127" spans="12:111" x14ac:dyDescent="0.25">
      <c r="L127" s="70">
        <v>92.5</v>
      </c>
      <c r="M127" s="70" t="s">
        <v>122</v>
      </c>
      <c r="N127" s="70" t="s">
        <v>49</v>
      </c>
      <c r="AF127" s="7">
        <v>42.5</v>
      </c>
      <c r="AG127" s="7" t="s">
        <v>122</v>
      </c>
      <c r="AH127" s="7" t="s">
        <v>49</v>
      </c>
      <c r="AU127" s="30">
        <v>55</v>
      </c>
      <c r="AV127" s="30" t="s">
        <v>122</v>
      </c>
      <c r="AW127" s="30" t="s">
        <v>49</v>
      </c>
      <c r="CA127" s="139">
        <v>45</v>
      </c>
      <c r="CB127" s="139" t="s">
        <v>46</v>
      </c>
      <c r="CC127" s="139" t="s">
        <v>49</v>
      </c>
      <c r="CP127" s="5">
        <v>120</v>
      </c>
      <c r="CQ127" s="139" t="s">
        <v>122</v>
      </c>
      <c r="CR127" s="139" t="s">
        <v>49</v>
      </c>
      <c r="DE127" s="138">
        <v>95</v>
      </c>
      <c r="DF127" s="138" t="s">
        <v>46</v>
      </c>
      <c r="DG127" s="138" t="s">
        <v>49</v>
      </c>
    </row>
    <row r="128" spans="12:111" x14ac:dyDescent="0.25">
      <c r="L128" s="70">
        <v>97.5</v>
      </c>
      <c r="M128" s="70" t="s">
        <v>122</v>
      </c>
      <c r="N128" s="70" t="s">
        <v>50</v>
      </c>
      <c r="AF128" s="7">
        <v>45</v>
      </c>
      <c r="AG128" s="7" t="s">
        <v>122</v>
      </c>
      <c r="AH128" s="7" t="s">
        <v>50</v>
      </c>
      <c r="AU128" s="30">
        <v>57.5</v>
      </c>
      <c r="AV128" s="30" t="s">
        <v>122</v>
      </c>
      <c r="AW128" s="30" t="s">
        <v>50</v>
      </c>
      <c r="CA128" s="139">
        <v>47.5</v>
      </c>
      <c r="CB128" s="139" t="s">
        <v>46</v>
      </c>
      <c r="CC128" s="139" t="s">
        <v>50</v>
      </c>
      <c r="CP128" s="5">
        <v>125</v>
      </c>
      <c r="CQ128" s="139" t="s">
        <v>122</v>
      </c>
      <c r="CR128" s="139" t="s">
        <v>50</v>
      </c>
      <c r="DE128" s="138">
        <v>100</v>
      </c>
      <c r="DF128" s="138" t="s">
        <v>46</v>
      </c>
      <c r="DG128" s="138" t="s">
        <v>50</v>
      </c>
    </row>
    <row r="129" spans="12:116" x14ac:dyDescent="0.25">
      <c r="L129" s="70">
        <v>102.5</v>
      </c>
      <c r="M129" s="70" t="s">
        <v>122</v>
      </c>
      <c r="N129" s="70" t="s">
        <v>51</v>
      </c>
      <c r="AF129" s="7">
        <v>47.5</v>
      </c>
      <c r="AG129" s="7" t="s">
        <v>122</v>
      </c>
      <c r="AH129" s="7" t="s">
        <v>51</v>
      </c>
      <c r="AU129" s="30">
        <v>63.5</v>
      </c>
      <c r="AV129" s="30" t="s">
        <v>122</v>
      </c>
      <c r="AW129" s="30" t="s">
        <v>51</v>
      </c>
      <c r="CA129" s="139">
        <v>52.5</v>
      </c>
      <c r="CB129" s="139" t="s">
        <v>46</v>
      </c>
      <c r="CC129" s="139" t="s">
        <v>51</v>
      </c>
      <c r="CP129" s="5">
        <v>130</v>
      </c>
      <c r="CQ129" s="139" t="s">
        <v>122</v>
      </c>
      <c r="CR129" s="8" t="s">
        <v>51</v>
      </c>
      <c r="DE129" s="138">
        <v>107.5</v>
      </c>
      <c r="DF129" s="138" t="s">
        <v>46</v>
      </c>
      <c r="DG129" s="138" t="s">
        <v>51</v>
      </c>
    </row>
    <row r="130" spans="12:116" x14ac:dyDescent="0.25">
      <c r="L130" s="70">
        <v>102.5</v>
      </c>
      <c r="M130" s="70" t="s">
        <v>122</v>
      </c>
      <c r="N130" s="70" t="s">
        <v>51</v>
      </c>
      <c r="AF130" s="7">
        <v>47.5</v>
      </c>
      <c r="AG130" s="7" t="s">
        <v>122</v>
      </c>
      <c r="AH130" s="7" t="s">
        <v>51</v>
      </c>
      <c r="AU130" s="30">
        <v>63.5</v>
      </c>
      <c r="AV130" s="30" t="s">
        <v>122</v>
      </c>
      <c r="AW130" s="30" t="s">
        <v>51</v>
      </c>
      <c r="CA130" s="139">
        <v>52.5</v>
      </c>
      <c r="CB130" s="139" t="s">
        <v>46</v>
      </c>
      <c r="CC130" s="139" t="s">
        <v>51</v>
      </c>
      <c r="CP130" s="139">
        <v>130</v>
      </c>
      <c r="CQ130" s="139" t="s">
        <v>122</v>
      </c>
      <c r="CR130" s="8" t="s">
        <v>51</v>
      </c>
      <c r="DE130" s="138">
        <v>107.5</v>
      </c>
      <c r="DF130" s="138" t="s">
        <v>46</v>
      </c>
      <c r="DG130" s="138" t="s">
        <v>51</v>
      </c>
    </row>
    <row r="132" spans="12:116" x14ac:dyDescent="0.25">
      <c r="L132" s="70">
        <v>117.5</v>
      </c>
      <c r="M132" s="70" t="s">
        <v>124</v>
      </c>
      <c r="N132" s="70" t="s">
        <v>51</v>
      </c>
      <c r="AF132" s="7">
        <v>50</v>
      </c>
      <c r="AG132" s="7" t="s">
        <v>124</v>
      </c>
      <c r="AH132" s="7" t="s">
        <v>51</v>
      </c>
      <c r="AL132" s="22">
        <v>60</v>
      </c>
      <c r="AU132" s="30">
        <v>72.5</v>
      </c>
      <c r="AV132" s="30" t="s">
        <v>124</v>
      </c>
      <c r="AW132" s="30" t="s">
        <v>51</v>
      </c>
      <c r="CA132" s="140">
        <v>45</v>
      </c>
      <c r="CB132" s="140" t="s">
        <v>46</v>
      </c>
      <c r="CC132" s="140" t="s">
        <v>49</v>
      </c>
      <c r="CQ132" s="141" t="s">
        <v>124</v>
      </c>
      <c r="CR132" s="141" t="s">
        <v>51</v>
      </c>
      <c r="DJ132" s="141">
        <v>95</v>
      </c>
      <c r="DK132" s="141" t="s">
        <v>46</v>
      </c>
      <c r="DL132" s="141" t="s">
        <v>49</v>
      </c>
    </row>
    <row r="133" spans="12:116" x14ac:dyDescent="0.25">
      <c r="L133" s="70">
        <v>102.5</v>
      </c>
      <c r="M133" s="70" t="s">
        <v>122</v>
      </c>
      <c r="N133" s="70" t="s">
        <v>51</v>
      </c>
      <c r="AF133" s="7">
        <v>47.5</v>
      </c>
      <c r="AG133" s="7" t="s">
        <v>122</v>
      </c>
      <c r="AH133" s="7" t="s">
        <v>51</v>
      </c>
      <c r="AU133" s="30">
        <v>63.5</v>
      </c>
      <c r="AV133" s="30" t="s">
        <v>122</v>
      </c>
      <c r="AW133" s="30" t="s">
        <v>51</v>
      </c>
      <c r="CA133" s="140">
        <v>50</v>
      </c>
      <c r="CB133" s="140" t="s">
        <v>46</v>
      </c>
      <c r="CC133" s="140" t="s">
        <v>50</v>
      </c>
      <c r="CQ133" s="141" t="s">
        <v>122</v>
      </c>
      <c r="CR133" s="141" t="s">
        <v>51</v>
      </c>
      <c r="DJ133" s="141">
        <v>100</v>
      </c>
      <c r="DK133" s="141" t="s">
        <v>46</v>
      </c>
      <c r="DL133" s="141" t="s">
        <v>50</v>
      </c>
    </row>
    <row r="134" spans="12:116" x14ac:dyDescent="0.25">
      <c r="L134" s="70">
        <v>102.5</v>
      </c>
      <c r="M134" s="70" t="s">
        <v>122</v>
      </c>
      <c r="N134" s="70" t="s">
        <v>51</v>
      </c>
      <c r="AF134" s="7">
        <v>47.5</v>
      </c>
      <c r="AG134" s="7" t="s">
        <v>122</v>
      </c>
      <c r="AH134" s="7" t="s">
        <v>51</v>
      </c>
      <c r="AU134" s="30">
        <v>63.5</v>
      </c>
      <c r="AV134" s="30" t="s">
        <v>122</v>
      </c>
      <c r="AW134" s="30" t="s">
        <v>51</v>
      </c>
      <c r="CA134" s="140">
        <v>55</v>
      </c>
      <c r="CB134" s="140" t="s">
        <v>46</v>
      </c>
      <c r="CC134" s="140" t="s">
        <v>51</v>
      </c>
      <c r="CQ134" s="141" t="s">
        <v>122</v>
      </c>
      <c r="CR134" s="141" t="s">
        <v>51</v>
      </c>
      <c r="DJ134" s="141">
        <v>107.5</v>
      </c>
      <c r="DK134" s="141" t="s">
        <v>46</v>
      </c>
      <c r="DL134" s="141" t="s">
        <v>51</v>
      </c>
    </row>
    <row r="135" spans="12:116" x14ac:dyDescent="0.25">
      <c r="L135" s="70">
        <v>102.5</v>
      </c>
      <c r="M135" s="70" t="s">
        <v>122</v>
      </c>
      <c r="N135" s="70" t="s">
        <v>51</v>
      </c>
      <c r="O135" s="70" t="s">
        <v>37</v>
      </c>
      <c r="AF135" s="7">
        <v>47.5</v>
      </c>
      <c r="AG135" s="7" t="s">
        <v>122</v>
      </c>
      <c r="AH135" s="7" t="s">
        <v>51</v>
      </c>
      <c r="AU135" s="30">
        <v>63.5</v>
      </c>
      <c r="AV135" s="30" t="s">
        <v>122</v>
      </c>
      <c r="AW135" s="30" t="s">
        <v>51</v>
      </c>
      <c r="CA135" s="140">
        <v>52.5</v>
      </c>
      <c r="CB135" s="140" t="s">
        <v>46</v>
      </c>
      <c r="CC135" s="140" t="s">
        <v>51</v>
      </c>
      <c r="CQ135" s="141" t="s">
        <v>122</v>
      </c>
      <c r="CR135" s="141" t="s">
        <v>51</v>
      </c>
      <c r="DJ135" s="141">
        <v>107.5</v>
      </c>
      <c r="DK135" s="141" t="s">
        <v>46</v>
      </c>
      <c r="DL135" s="141" t="s">
        <v>51</v>
      </c>
    </row>
    <row r="136" spans="12:116" x14ac:dyDescent="0.25">
      <c r="CA136" s="140">
        <v>52.5</v>
      </c>
      <c r="CB136" s="140" t="s">
        <v>46</v>
      </c>
      <c r="CC136" s="140" t="s">
        <v>51</v>
      </c>
      <c r="CQ136" s="141"/>
      <c r="CR136" s="141"/>
      <c r="DJ136" s="141">
        <v>107.5</v>
      </c>
      <c r="DK136" s="141" t="s">
        <v>46</v>
      </c>
      <c r="DL136" s="141" t="s">
        <v>51</v>
      </c>
    </row>
    <row r="137" spans="12:116" x14ac:dyDescent="0.25">
      <c r="CA137" s="140">
        <v>52.5</v>
      </c>
      <c r="CB137" s="140" t="s">
        <v>46</v>
      </c>
      <c r="CC137" s="140" t="s">
        <v>51</v>
      </c>
      <c r="CQ137" s="141"/>
      <c r="CR137" s="141"/>
      <c r="DJ137" s="141">
        <v>107.5</v>
      </c>
      <c r="DK137" s="141" t="s">
        <v>46</v>
      </c>
      <c r="DL137" s="141" t="s">
        <v>51</v>
      </c>
    </row>
    <row r="138" spans="12:116" x14ac:dyDescent="0.25">
      <c r="CQ138" s="141"/>
      <c r="CR138" s="141"/>
    </row>
    <row r="139" spans="12:116" x14ac:dyDescent="0.25">
      <c r="L139" s="70">
        <v>120</v>
      </c>
      <c r="M139" s="70" t="s">
        <v>124</v>
      </c>
      <c r="N139" s="70" t="s">
        <v>51</v>
      </c>
      <c r="AF139" s="7">
        <v>52.5</v>
      </c>
      <c r="AG139" s="7" t="s">
        <v>124</v>
      </c>
      <c r="AH139" s="7" t="s">
        <v>51</v>
      </c>
      <c r="AL139" s="22">
        <v>62.5</v>
      </c>
      <c r="AU139" s="30">
        <v>75</v>
      </c>
      <c r="AV139" s="30" t="s">
        <v>124</v>
      </c>
      <c r="AW139" s="30" t="s">
        <v>51</v>
      </c>
      <c r="CA139" s="141">
        <v>47.5</v>
      </c>
      <c r="CB139" s="141" t="s">
        <v>46</v>
      </c>
      <c r="CC139" s="141" t="s">
        <v>49</v>
      </c>
      <c r="CP139" s="5">
        <v>152.5</v>
      </c>
      <c r="CQ139" s="141" t="s">
        <v>124</v>
      </c>
      <c r="CR139" s="141" t="s">
        <v>51</v>
      </c>
      <c r="DJ139" s="141">
        <v>97.5</v>
      </c>
      <c r="DK139" s="141" t="s">
        <v>46</v>
      </c>
      <c r="DL139" s="141" t="s">
        <v>49</v>
      </c>
    </row>
    <row r="140" spans="12:116" x14ac:dyDescent="0.25">
      <c r="L140" s="70">
        <v>105</v>
      </c>
      <c r="M140" s="70" t="s">
        <v>122</v>
      </c>
      <c r="N140" s="70" t="s">
        <v>51</v>
      </c>
      <c r="AF140" s="7">
        <v>48.5</v>
      </c>
      <c r="AG140" s="7" t="s">
        <v>122</v>
      </c>
      <c r="AH140" s="7" t="s">
        <v>51</v>
      </c>
      <c r="AU140" s="30">
        <v>65</v>
      </c>
      <c r="AV140" s="30" t="s">
        <v>122</v>
      </c>
      <c r="AW140" s="30" t="s">
        <v>51</v>
      </c>
      <c r="CA140" s="141">
        <v>52.5</v>
      </c>
      <c r="CB140" s="141" t="s">
        <v>46</v>
      </c>
      <c r="CC140" s="141" t="s">
        <v>50</v>
      </c>
      <c r="CP140" s="5">
        <v>132.5</v>
      </c>
      <c r="CQ140" s="141" t="s">
        <v>122</v>
      </c>
      <c r="CR140" s="141" t="s">
        <v>51</v>
      </c>
      <c r="DJ140" s="141">
        <v>102.5</v>
      </c>
      <c r="DK140" s="141" t="s">
        <v>46</v>
      </c>
      <c r="DL140" s="141" t="s">
        <v>50</v>
      </c>
    </row>
    <row r="141" spans="12:116" x14ac:dyDescent="0.25">
      <c r="L141" s="70">
        <v>105</v>
      </c>
      <c r="M141" s="70" t="s">
        <v>122</v>
      </c>
      <c r="N141" s="70" t="s">
        <v>51</v>
      </c>
      <c r="AF141" s="7">
        <v>47.5</v>
      </c>
      <c r="AG141" s="7" t="s">
        <v>122</v>
      </c>
      <c r="AH141" s="7" t="s">
        <v>51</v>
      </c>
      <c r="AU141" s="30">
        <v>65</v>
      </c>
      <c r="AV141" s="30" t="s">
        <v>122</v>
      </c>
      <c r="AW141" s="30" t="s">
        <v>51</v>
      </c>
      <c r="CA141" s="141">
        <v>55</v>
      </c>
      <c r="CB141" s="141" t="s">
        <v>46</v>
      </c>
      <c r="CC141" s="141" t="s">
        <v>51</v>
      </c>
      <c r="CP141" s="5">
        <v>132.5</v>
      </c>
      <c r="CQ141" s="141" t="s">
        <v>122</v>
      </c>
      <c r="CR141" s="141" t="s">
        <v>51</v>
      </c>
      <c r="DJ141" s="141">
        <v>110</v>
      </c>
      <c r="DK141" s="141" t="s">
        <v>46</v>
      </c>
      <c r="DL141" s="141" t="s">
        <v>51</v>
      </c>
    </row>
    <row r="142" spans="12:116" x14ac:dyDescent="0.25">
      <c r="L142" s="70">
        <v>105</v>
      </c>
      <c r="M142" s="70" t="s">
        <v>122</v>
      </c>
      <c r="N142" s="70" t="s">
        <v>51</v>
      </c>
      <c r="AF142" s="7">
        <v>46</v>
      </c>
      <c r="AG142" s="7" t="s">
        <v>122</v>
      </c>
      <c r="AH142" s="7" t="s">
        <v>51</v>
      </c>
      <c r="AU142" s="30">
        <v>65</v>
      </c>
      <c r="AV142" s="30" t="s">
        <v>122</v>
      </c>
      <c r="AW142" s="30" t="s">
        <v>51</v>
      </c>
      <c r="CA142" s="141">
        <v>55</v>
      </c>
      <c r="CB142" s="141" t="s">
        <v>46</v>
      </c>
      <c r="CC142" s="141" t="s">
        <v>51</v>
      </c>
      <c r="CP142" s="5">
        <v>132.5</v>
      </c>
      <c r="CQ142" s="141" t="s">
        <v>122</v>
      </c>
      <c r="CR142" s="141" t="s">
        <v>51</v>
      </c>
      <c r="DJ142" s="141">
        <v>110</v>
      </c>
      <c r="DK142" s="141" t="s">
        <v>46</v>
      </c>
      <c r="DL142" s="141" t="s">
        <v>51</v>
      </c>
    </row>
    <row r="143" spans="12:116" x14ac:dyDescent="0.25">
      <c r="CA143" s="141">
        <v>55</v>
      </c>
      <c r="CB143" s="141" t="s">
        <v>46</v>
      </c>
      <c r="CC143" s="141" t="s">
        <v>51</v>
      </c>
      <c r="CQ143" s="141"/>
      <c r="CR143" s="141"/>
      <c r="DJ143" s="141">
        <v>107.5</v>
      </c>
      <c r="DK143" s="141" t="s">
        <v>46</v>
      </c>
      <c r="DL143" s="141" t="s">
        <v>51</v>
      </c>
    </row>
    <row r="144" spans="12:116" x14ac:dyDescent="0.25">
      <c r="CA144" s="141">
        <v>55</v>
      </c>
      <c r="CB144" s="141" t="s">
        <v>46</v>
      </c>
      <c r="CC144" s="141" t="s">
        <v>51</v>
      </c>
      <c r="CQ144" s="141"/>
      <c r="CR144" s="141"/>
      <c r="DJ144" s="141">
        <v>107.5</v>
      </c>
      <c r="DK144" s="141" t="s">
        <v>46</v>
      </c>
      <c r="DL144" s="141" t="s">
        <v>51</v>
      </c>
    </row>
    <row r="145" spans="1:102" x14ac:dyDescent="0.25">
      <c r="CQ145" s="141"/>
      <c r="CR145" s="141"/>
    </row>
    <row r="146" spans="1:102" x14ac:dyDescent="0.25">
      <c r="L146" s="70">
        <v>122.5</v>
      </c>
      <c r="M146" s="70" t="s">
        <v>124</v>
      </c>
      <c r="N146" s="70" t="s">
        <v>51</v>
      </c>
      <c r="AF146" s="7">
        <v>52.5</v>
      </c>
      <c r="AG146" s="7" t="s">
        <v>124</v>
      </c>
      <c r="AH146" s="7" t="s">
        <v>51</v>
      </c>
      <c r="AL146" s="22">
        <v>65</v>
      </c>
      <c r="AU146" s="30">
        <v>77.5</v>
      </c>
      <c r="AV146" s="30" t="s">
        <v>124</v>
      </c>
      <c r="AW146" s="30" t="s">
        <v>51</v>
      </c>
      <c r="CA146" s="142">
        <v>47.5</v>
      </c>
      <c r="CB146" s="142" t="s">
        <v>46</v>
      </c>
      <c r="CC146" s="142" t="s">
        <v>49</v>
      </c>
      <c r="CP146" s="5">
        <v>155</v>
      </c>
      <c r="CQ146" s="141" t="s">
        <v>124</v>
      </c>
      <c r="CR146" s="141" t="s">
        <v>51</v>
      </c>
      <c r="CS146" s="5">
        <v>9</v>
      </c>
    </row>
    <row r="147" spans="1:102" x14ac:dyDescent="0.25">
      <c r="L147" s="70">
        <v>107.5</v>
      </c>
      <c r="M147" s="70" t="s">
        <v>122</v>
      </c>
      <c r="N147" s="70" t="s">
        <v>51</v>
      </c>
      <c r="AF147" s="7">
        <v>48.5</v>
      </c>
      <c r="AG147" s="7" t="s">
        <v>122</v>
      </c>
      <c r="AH147" s="7" t="s">
        <v>51</v>
      </c>
      <c r="AU147" s="30">
        <v>67.5</v>
      </c>
      <c r="AV147" s="30" t="s">
        <v>122</v>
      </c>
      <c r="AW147" s="30" t="s">
        <v>51</v>
      </c>
      <c r="CA147" s="142">
        <v>52.5</v>
      </c>
      <c r="CB147" s="142" t="s">
        <v>46</v>
      </c>
      <c r="CC147" s="142" t="s">
        <v>50</v>
      </c>
      <c r="CP147" s="5">
        <v>135</v>
      </c>
      <c r="CQ147" s="141" t="s">
        <v>122</v>
      </c>
      <c r="CR147" s="141" t="s">
        <v>51</v>
      </c>
      <c r="CS147" s="5">
        <v>8.5</v>
      </c>
    </row>
    <row r="148" spans="1:102" x14ac:dyDescent="0.25">
      <c r="L148" s="70">
        <v>107.5</v>
      </c>
      <c r="M148" s="70" t="s">
        <v>122</v>
      </c>
      <c r="N148" s="70" t="s">
        <v>51</v>
      </c>
      <c r="AF148" s="7">
        <v>47.5</v>
      </c>
      <c r="AG148" s="7" t="s">
        <v>122</v>
      </c>
      <c r="AH148" s="7" t="s">
        <v>51</v>
      </c>
      <c r="AU148" s="30">
        <v>66</v>
      </c>
      <c r="AV148" s="30" t="s">
        <v>122</v>
      </c>
      <c r="AW148" s="30" t="s">
        <v>51</v>
      </c>
      <c r="CA148" s="142">
        <v>56</v>
      </c>
      <c r="CB148" s="142" t="s">
        <v>46</v>
      </c>
      <c r="CC148" s="142" t="s">
        <v>51</v>
      </c>
      <c r="CD148" s="137">
        <v>8.5</v>
      </c>
      <c r="CP148" s="5">
        <v>133.5</v>
      </c>
      <c r="CQ148" s="141" t="s">
        <v>122</v>
      </c>
      <c r="CR148" s="141" t="s">
        <v>51</v>
      </c>
      <c r="CS148" s="5">
        <v>8</v>
      </c>
    </row>
    <row r="149" spans="1:102" x14ac:dyDescent="0.25">
      <c r="L149" s="70">
        <v>107.5</v>
      </c>
      <c r="M149" s="70" t="s">
        <v>122</v>
      </c>
      <c r="N149" s="70" t="s">
        <v>51</v>
      </c>
      <c r="AF149" s="7">
        <v>46</v>
      </c>
      <c r="AG149" s="7" t="s">
        <v>122</v>
      </c>
      <c r="AH149" s="7" t="s">
        <v>51</v>
      </c>
      <c r="AU149" s="30">
        <v>66</v>
      </c>
      <c r="AV149" s="30" t="s">
        <v>122</v>
      </c>
      <c r="AW149" s="30" t="s">
        <v>51</v>
      </c>
      <c r="CA149" s="142">
        <v>56</v>
      </c>
      <c r="CB149" s="142" t="s">
        <v>46</v>
      </c>
      <c r="CC149" s="142" t="s">
        <v>51</v>
      </c>
      <c r="CD149" s="137">
        <v>9.5</v>
      </c>
      <c r="CP149" s="5">
        <v>133.5</v>
      </c>
      <c r="CQ149" s="141" t="s">
        <v>122</v>
      </c>
      <c r="CR149" s="141" t="s">
        <v>51</v>
      </c>
      <c r="CS149" s="5">
        <v>8.5</v>
      </c>
    </row>
    <row r="150" spans="1:102" x14ac:dyDescent="0.25">
      <c r="CA150" s="142">
        <v>55</v>
      </c>
      <c r="CB150" s="142" t="s">
        <v>46</v>
      </c>
      <c r="CC150" s="142" t="s">
        <v>51</v>
      </c>
    </row>
    <row r="151" spans="1:102" x14ac:dyDescent="0.25">
      <c r="CA151" s="142">
        <v>55</v>
      </c>
      <c r="CB151" s="142" t="s">
        <v>46</v>
      </c>
      <c r="CC151" s="142" t="s">
        <v>51</v>
      </c>
    </row>
    <row r="152" spans="1:102" x14ac:dyDescent="0.25">
      <c r="A152" s="10" t="s">
        <v>241</v>
      </c>
      <c r="B152" s="5">
        <v>90</v>
      </c>
      <c r="C152" s="5" t="s">
        <v>45</v>
      </c>
      <c r="D152" s="5" t="s">
        <v>50</v>
      </c>
      <c r="L152" s="70">
        <v>102.5</v>
      </c>
      <c r="M152" s="70" t="s">
        <v>45</v>
      </c>
      <c r="N152" s="70" t="s">
        <v>49</v>
      </c>
      <c r="O152" s="70">
        <v>6</v>
      </c>
      <c r="V152" s="78">
        <v>65</v>
      </c>
      <c r="W152" s="78" t="s">
        <v>162</v>
      </c>
      <c r="X152" s="78" t="s">
        <v>50</v>
      </c>
      <c r="AF152" s="7">
        <v>42.5</v>
      </c>
      <c r="AG152" s="7" t="s">
        <v>45</v>
      </c>
      <c r="AH152" s="7" t="s">
        <v>49</v>
      </c>
      <c r="AK152" s="22">
        <v>55</v>
      </c>
      <c r="AL152" s="22" t="s">
        <v>162</v>
      </c>
      <c r="AM152" s="22" t="s">
        <v>50</v>
      </c>
      <c r="AU152" s="30">
        <v>60</v>
      </c>
      <c r="AV152" s="30" t="s">
        <v>45</v>
      </c>
      <c r="AW152" s="30" t="s">
        <v>49</v>
      </c>
      <c r="CF152" s="144">
        <v>40</v>
      </c>
      <c r="CG152" s="144" t="s">
        <v>162</v>
      </c>
      <c r="CH152" s="144" t="s">
        <v>50</v>
      </c>
      <c r="CP152" s="5">
        <v>125</v>
      </c>
      <c r="CQ152" s="5" t="s">
        <v>45</v>
      </c>
      <c r="CR152" s="5" t="s">
        <v>49</v>
      </c>
      <c r="CU152" s="6">
        <v>110</v>
      </c>
      <c r="CV152" s="6" t="s">
        <v>45</v>
      </c>
      <c r="CW152" s="6" t="s">
        <v>50</v>
      </c>
    </row>
    <row r="153" spans="1:102" x14ac:dyDescent="0.25">
      <c r="B153" s="5">
        <v>95</v>
      </c>
      <c r="C153" s="5" t="s">
        <v>45</v>
      </c>
      <c r="D153" s="5" t="s">
        <v>51</v>
      </c>
      <c r="L153" s="70">
        <v>107.5</v>
      </c>
      <c r="M153" s="70" t="s">
        <v>45</v>
      </c>
      <c r="N153" s="70" t="s">
        <v>50</v>
      </c>
      <c r="O153" s="70">
        <v>7</v>
      </c>
      <c r="V153" s="78">
        <v>75</v>
      </c>
      <c r="W153" s="78" t="s">
        <v>162</v>
      </c>
      <c r="X153" s="78" t="s">
        <v>51</v>
      </c>
      <c r="AF153" s="7">
        <v>46</v>
      </c>
      <c r="AG153" s="7" t="s">
        <v>45</v>
      </c>
      <c r="AH153" s="7" t="s">
        <v>50</v>
      </c>
      <c r="AK153" s="22">
        <v>62.5</v>
      </c>
      <c r="AL153" s="22" t="s">
        <v>162</v>
      </c>
      <c r="AM153" s="22" t="s">
        <v>51</v>
      </c>
      <c r="AU153" s="30">
        <v>65</v>
      </c>
      <c r="AV153" s="30" t="s">
        <v>45</v>
      </c>
      <c r="AW153" s="30" t="s">
        <v>50</v>
      </c>
      <c r="CF153" s="144">
        <v>50</v>
      </c>
      <c r="CG153" s="144" t="s">
        <v>162</v>
      </c>
      <c r="CH153" s="144" t="s">
        <v>51</v>
      </c>
      <c r="CP153" s="5">
        <v>130</v>
      </c>
      <c r="CQ153" s="5" t="s">
        <v>45</v>
      </c>
      <c r="CR153" s="5" t="s">
        <v>50</v>
      </c>
      <c r="CU153" s="6">
        <v>120</v>
      </c>
      <c r="CV153" s="6" t="s">
        <v>45</v>
      </c>
      <c r="CW153" s="6" t="s">
        <v>51</v>
      </c>
    </row>
    <row r="154" spans="1:102" x14ac:dyDescent="0.25">
      <c r="B154" s="5">
        <v>97.5</v>
      </c>
      <c r="C154" s="5" t="s">
        <v>45</v>
      </c>
      <c r="D154" s="5" t="s">
        <v>52</v>
      </c>
      <c r="L154" s="70">
        <v>110</v>
      </c>
      <c r="M154" s="70" t="s">
        <v>45</v>
      </c>
      <c r="N154" s="70" t="s">
        <v>51</v>
      </c>
      <c r="O154" s="70">
        <v>8</v>
      </c>
      <c r="V154" s="78">
        <v>85</v>
      </c>
      <c r="W154" s="78" t="s">
        <v>162</v>
      </c>
      <c r="X154" s="78" t="s">
        <v>52</v>
      </c>
      <c r="AF154" s="7">
        <v>48.5</v>
      </c>
      <c r="AG154" s="7" t="s">
        <v>45</v>
      </c>
      <c r="AH154" s="7" t="s">
        <v>51</v>
      </c>
      <c r="AI154" s="7">
        <v>10</v>
      </c>
      <c r="AK154" s="22">
        <v>67.5</v>
      </c>
      <c r="AL154" s="22" t="s">
        <v>162</v>
      </c>
      <c r="AM154" s="22" t="s">
        <v>52</v>
      </c>
      <c r="AU154" s="30">
        <v>67.5</v>
      </c>
      <c r="AV154" s="30" t="s">
        <v>45</v>
      </c>
      <c r="AW154" s="30" t="s">
        <v>51</v>
      </c>
      <c r="AX154" s="30">
        <v>8.5</v>
      </c>
      <c r="CF154" s="144">
        <v>55</v>
      </c>
      <c r="CG154" s="144" t="s">
        <v>162</v>
      </c>
      <c r="CH154" s="144" t="s">
        <v>52</v>
      </c>
      <c r="CP154" s="5">
        <v>135</v>
      </c>
      <c r="CQ154" s="5" t="s">
        <v>45</v>
      </c>
      <c r="CR154" s="5" t="s">
        <v>51</v>
      </c>
      <c r="CU154" s="6">
        <v>130</v>
      </c>
      <c r="CV154" s="6" t="s">
        <v>45</v>
      </c>
      <c r="CW154" s="6" t="s">
        <v>52</v>
      </c>
      <c r="CX154" s="6">
        <v>9</v>
      </c>
    </row>
    <row r="155" spans="1:102" x14ac:dyDescent="0.25">
      <c r="L155" s="70">
        <v>110</v>
      </c>
      <c r="M155" s="70" t="s">
        <v>45</v>
      </c>
      <c r="N155" s="70" t="s">
        <v>51</v>
      </c>
      <c r="O155" s="70">
        <v>8</v>
      </c>
      <c r="AF155" s="7">
        <v>47.5</v>
      </c>
      <c r="AG155" s="7" t="s">
        <v>45</v>
      </c>
      <c r="AH155" s="7" t="s">
        <v>51</v>
      </c>
      <c r="AU155" s="30">
        <v>67.5</v>
      </c>
      <c r="AV155" s="30" t="s">
        <v>45</v>
      </c>
      <c r="AW155" s="30" t="s">
        <v>51</v>
      </c>
      <c r="AX155" s="30">
        <v>8.5</v>
      </c>
      <c r="CP155" s="5">
        <v>137.5</v>
      </c>
      <c r="CQ155" s="5" t="s">
        <v>45</v>
      </c>
      <c r="CR155" s="5" t="s">
        <v>51</v>
      </c>
    </row>
    <row r="157" spans="1:102" x14ac:dyDescent="0.25">
      <c r="B157" s="5">
        <v>90</v>
      </c>
      <c r="C157" s="5" t="s">
        <v>45</v>
      </c>
      <c r="D157" s="5" t="s">
        <v>50</v>
      </c>
      <c r="L157" s="70">
        <v>122.5</v>
      </c>
      <c r="M157" s="70" t="s">
        <v>124</v>
      </c>
      <c r="N157" s="70" t="s">
        <v>51</v>
      </c>
      <c r="V157" s="78">
        <v>70</v>
      </c>
      <c r="W157" s="78" t="s">
        <v>162</v>
      </c>
      <c r="X157" s="78" t="s">
        <v>50</v>
      </c>
      <c r="AF157" s="7">
        <v>52.5</v>
      </c>
      <c r="AG157" s="7" t="s">
        <v>124</v>
      </c>
      <c r="AH157" s="7" t="s">
        <v>51</v>
      </c>
      <c r="AK157" s="22">
        <v>60</v>
      </c>
      <c r="AL157" s="22" t="s">
        <v>162</v>
      </c>
      <c r="AM157" s="22" t="s">
        <v>50</v>
      </c>
      <c r="AU157" s="30">
        <v>75</v>
      </c>
      <c r="AV157" s="30" t="s">
        <v>124</v>
      </c>
      <c r="AW157" s="30" t="s">
        <v>51</v>
      </c>
      <c r="CF157" s="144">
        <v>60</v>
      </c>
      <c r="CG157" s="144" t="s">
        <v>45</v>
      </c>
      <c r="CH157" s="144" t="s">
        <v>50</v>
      </c>
      <c r="CP157" s="5">
        <v>155</v>
      </c>
      <c r="CQ157" s="5" t="s">
        <v>124</v>
      </c>
      <c r="CR157" s="5" t="s">
        <v>51</v>
      </c>
      <c r="CU157" s="6">
        <v>115</v>
      </c>
      <c r="CV157" s="6" t="s">
        <v>45</v>
      </c>
      <c r="CW157" s="6" t="s">
        <v>50</v>
      </c>
    </row>
    <row r="158" spans="1:102" x14ac:dyDescent="0.25">
      <c r="B158" s="5">
        <v>95</v>
      </c>
      <c r="C158" s="5" t="s">
        <v>45</v>
      </c>
      <c r="D158" s="5" t="s">
        <v>51</v>
      </c>
      <c r="L158" s="70">
        <v>112.5</v>
      </c>
      <c r="M158" s="70" t="s">
        <v>45</v>
      </c>
      <c r="N158" s="70" t="s">
        <v>51</v>
      </c>
      <c r="V158" s="78">
        <v>80</v>
      </c>
      <c r="W158" s="78" t="s">
        <v>162</v>
      </c>
      <c r="X158" s="78" t="s">
        <v>51</v>
      </c>
      <c r="AF158" s="7">
        <v>47.5</v>
      </c>
      <c r="AG158" s="7" t="s">
        <v>45</v>
      </c>
      <c r="AH158" s="7" t="s">
        <v>51</v>
      </c>
      <c r="AK158" s="22">
        <v>65</v>
      </c>
      <c r="AL158" s="22" t="s">
        <v>162</v>
      </c>
      <c r="AM158" s="22" t="s">
        <v>51</v>
      </c>
      <c r="AU158" s="30">
        <v>67.5</v>
      </c>
      <c r="AV158" s="30" t="s">
        <v>45</v>
      </c>
      <c r="AW158" s="30" t="s">
        <v>51</v>
      </c>
      <c r="CF158" s="144">
        <v>67.5</v>
      </c>
      <c r="CG158" s="144" t="s">
        <v>45</v>
      </c>
      <c r="CH158" s="144" t="s">
        <v>51</v>
      </c>
      <c r="CP158" s="5">
        <v>137.5</v>
      </c>
      <c r="CQ158" s="5" t="s">
        <v>45</v>
      </c>
      <c r="CR158" s="5" t="s">
        <v>51</v>
      </c>
      <c r="CU158" s="6">
        <v>125</v>
      </c>
      <c r="CV158" s="6" t="s">
        <v>45</v>
      </c>
      <c r="CW158" s="6" t="s">
        <v>51</v>
      </c>
    </row>
    <row r="159" spans="1:102" x14ac:dyDescent="0.25">
      <c r="B159" s="5">
        <v>97.5</v>
      </c>
      <c r="C159" s="5" t="s">
        <v>45</v>
      </c>
      <c r="D159" s="5" t="s">
        <v>52</v>
      </c>
      <c r="L159" s="70">
        <v>112.5</v>
      </c>
      <c r="M159" s="70" t="s">
        <v>45</v>
      </c>
      <c r="N159" s="70" t="s">
        <v>51</v>
      </c>
      <c r="O159" s="70">
        <v>9</v>
      </c>
      <c r="V159" s="78">
        <v>80</v>
      </c>
      <c r="W159" s="78" t="s">
        <v>162</v>
      </c>
      <c r="X159" s="78" t="s">
        <v>52</v>
      </c>
      <c r="AF159" s="7">
        <v>47.5</v>
      </c>
      <c r="AG159" s="7" t="s">
        <v>45</v>
      </c>
      <c r="AH159" s="7" t="s">
        <v>51</v>
      </c>
      <c r="AK159" s="22">
        <v>67.5</v>
      </c>
      <c r="AL159" s="22" t="s">
        <v>162</v>
      </c>
      <c r="AM159" s="22" t="s">
        <v>52</v>
      </c>
      <c r="AU159" s="30">
        <v>67.5</v>
      </c>
      <c r="AV159" s="30" t="s">
        <v>45</v>
      </c>
      <c r="AW159" s="30" t="s">
        <v>51</v>
      </c>
      <c r="CF159" s="146">
        <v>67.5</v>
      </c>
      <c r="CG159" s="144" t="s">
        <v>45</v>
      </c>
      <c r="CH159" s="144" t="s">
        <v>52</v>
      </c>
      <c r="CP159" s="146">
        <v>137.5</v>
      </c>
      <c r="CQ159" s="5" t="s">
        <v>45</v>
      </c>
      <c r="CR159" s="5" t="s">
        <v>51</v>
      </c>
      <c r="CU159" s="6">
        <v>132.5</v>
      </c>
      <c r="CV159" s="6" t="s">
        <v>45</v>
      </c>
      <c r="CW159" s="6" t="s">
        <v>52</v>
      </c>
    </row>
    <row r="160" spans="1:102" x14ac:dyDescent="0.25">
      <c r="B160" s="145">
        <v>97.5</v>
      </c>
      <c r="C160" s="5" t="s">
        <v>45</v>
      </c>
      <c r="D160" s="5" t="s">
        <v>52</v>
      </c>
      <c r="L160" s="70">
        <v>110</v>
      </c>
      <c r="M160" s="70" t="s">
        <v>45</v>
      </c>
      <c r="N160" s="70" t="s">
        <v>51</v>
      </c>
      <c r="V160" s="78">
        <v>90</v>
      </c>
      <c r="W160" s="78" t="s">
        <v>162</v>
      </c>
      <c r="X160" s="78" t="s">
        <v>52</v>
      </c>
      <c r="AF160" s="7">
        <v>47.5</v>
      </c>
      <c r="AG160" s="7" t="s">
        <v>45</v>
      </c>
      <c r="AH160" s="7" t="s">
        <v>51</v>
      </c>
      <c r="AK160" s="22">
        <v>67.5</v>
      </c>
      <c r="AL160" s="22" t="s">
        <v>162</v>
      </c>
      <c r="AM160" s="22" t="s">
        <v>52</v>
      </c>
      <c r="AU160" s="30">
        <v>67.5</v>
      </c>
      <c r="AV160" s="30" t="s">
        <v>45</v>
      </c>
      <c r="AW160" s="30" t="s">
        <v>51</v>
      </c>
      <c r="CF160" s="146">
        <v>67.5</v>
      </c>
      <c r="CG160" s="144" t="s">
        <v>45</v>
      </c>
      <c r="CH160" s="144" t="s">
        <v>52</v>
      </c>
      <c r="CP160" s="146">
        <v>137.5</v>
      </c>
      <c r="CQ160" s="5" t="s">
        <v>45</v>
      </c>
      <c r="CR160" s="5" t="s">
        <v>51</v>
      </c>
      <c r="CU160" s="6">
        <v>132.5</v>
      </c>
      <c r="CV160" s="6" t="s">
        <v>45</v>
      </c>
      <c r="CW160" s="6" t="s">
        <v>52</v>
      </c>
    </row>
    <row r="162" spans="2:106" x14ac:dyDescent="0.25">
      <c r="B162" s="5">
        <v>90</v>
      </c>
      <c r="C162" s="5" t="s">
        <v>45</v>
      </c>
      <c r="D162" s="5" t="s">
        <v>50</v>
      </c>
      <c r="L162" s="70">
        <v>125</v>
      </c>
      <c r="M162" s="70" t="s">
        <v>124</v>
      </c>
      <c r="N162" s="70" t="s">
        <v>51</v>
      </c>
      <c r="V162" s="78">
        <v>75</v>
      </c>
      <c r="W162" s="78" t="s">
        <v>162</v>
      </c>
      <c r="X162" s="78" t="s">
        <v>50</v>
      </c>
      <c r="AF162" s="7">
        <v>55</v>
      </c>
      <c r="AG162" s="7" t="s">
        <v>124</v>
      </c>
      <c r="AH162" s="7" t="s">
        <v>51</v>
      </c>
      <c r="AI162" s="7">
        <v>10</v>
      </c>
      <c r="AK162" s="22">
        <v>60</v>
      </c>
      <c r="AL162" s="22" t="s">
        <v>162</v>
      </c>
      <c r="AM162" s="22" t="s">
        <v>50</v>
      </c>
      <c r="AU162" s="30">
        <v>77.5</v>
      </c>
      <c r="AV162" s="30" t="s">
        <v>124</v>
      </c>
      <c r="AW162" s="30" t="s">
        <v>51</v>
      </c>
      <c r="CF162" s="150">
        <v>60</v>
      </c>
      <c r="CG162" s="150" t="s">
        <v>45</v>
      </c>
      <c r="CH162" s="150" t="s">
        <v>50</v>
      </c>
      <c r="CP162" s="5">
        <v>157.5</v>
      </c>
      <c r="CQ162" s="150" t="s">
        <v>124</v>
      </c>
      <c r="CR162" s="150" t="s">
        <v>51</v>
      </c>
      <c r="CU162" s="6">
        <v>117.5</v>
      </c>
      <c r="CV162" s="6" t="s">
        <v>45</v>
      </c>
      <c r="CW162" s="6" t="s">
        <v>50</v>
      </c>
    </row>
    <row r="163" spans="2:106" x14ac:dyDescent="0.25">
      <c r="B163" s="5">
        <v>95</v>
      </c>
      <c r="C163" s="5" t="s">
        <v>45</v>
      </c>
      <c r="D163" s="5" t="s">
        <v>51</v>
      </c>
      <c r="L163" s="70">
        <v>112.5</v>
      </c>
      <c r="M163" s="70" t="s">
        <v>45</v>
      </c>
      <c r="N163" s="70" t="s">
        <v>51</v>
      </c>
      <c r="V163" s="78">
        <v>85</v>
      </c>
      <c r="W163" s="78" t="s">
        <v>162</v>
      </c>
      <c r="X163" s="78" t="s">
        <v>51</v>
      </c>
      <c r="AF163" s="7">
        <v>47.5</v>
      </c>
      <c r="AG163" s="7" t="s">
        <v>45</v>
      </c>
      <c r="AH163" s="7" t="s">
        <v>51</v>
      </c>
      <c r="AK163" s="22">
        <v>65</v>
      </c>
      <c r="AL163" s="22" t="s">
        <v>162</v>
      </c>
      <c r="AM163" s="22" t="s">
        <v>51</v>
      </c>
      <c r="AU163" s="30">
        <v>70</v>
      </c>
      <c r="AV163" s="30" t="s">
        <v>45</v>
      </c>
      <c r="AW163" s="30" t="s">
        <v>51</v>
      </c>
      <c r="AX163" s="30">
        <v>10</v>
      </c>
      <c r="CF163" s="150">
        <v>65</v>
      </c>
      <c r="CG163" s="150" t="s">
        <v>45</v>
      </c>
      <c r="CH163" s="150" t="s">
        <v>51</v>
      </c>
      <c r="CP163" s="5">
        <v>137.5</v>
      </c>
      <c r="CQ163" s="150" t="s">
        <v>45</v>
      </c>
      <c r="CR163" s="150" t="s">
        <v>51</v>
      </c>
      <c r="CU163" s="6">
        <v>127.5</v>
      </c>
      <c r="CV163" s="6" t="s">
        <v>45</v>
      </c>
      <c r="CW163" s="6" t="s">
        <v>51</v>
      </c>
    </row>
    <row r="164" spans="2:106" x14ac:dyDescent="0.25">
      <c r="B164" s="5">
        <v>97.5</v>
      </c>
      <c r="C164" s="5" t="s">
        <v>45</v>
      </c>
      <c r="D164" s="5" t="s">
        <v>52</v>
      </c>
      <c r="L164" s="70">
        <v>112.5</v>
      </c>
      <c r="M164" s="70" t="s">
        <v>45</v>
      </c>
      <c r="N164" s="70" t="s">
        <v>51</v>
      </c>
      <c r="V164" s="78">
        <v>90</v>
      </c>
      <c r="W164" s="78" t="s">
        <v>162</v>
      </c>
      <c r="X164" s="78" t="s">
        <v>52</v>
      </c>
      <c r="AF164" s="7">
        <v>47.5</v>
      </c>
      <c r="AG164" s="7" t="s">
        <v>45</v>
      </c>
      <c r="AH164" s="7" t="s">
        <v>51</v>
      </c>
      <c r="AK164" s="22">
        <v>68.5</v>
      </c>
      <c r="AL164" s="22" t="s">
        <v>162</v>
      </c>
      <c r="AM164" s="22" t="s">
        <v>52</v>
      </c>
      <c r="AU164" s="30">
        <v>67.5</v>
      </c>
      <c r="AV164" s="30" t="s">
        <v>45</v>
      </c>
      <c r="AW164" s="30" t="s">
        <v>51</v>
      </c>
      <c r="CF164" s="150">
        <v>68.5</v>
      </c>
      <c r="CG164" s="150" t="s">
        <v>45</v>
      </c>
      <c r="CH164" s="150" t="s">
        <v>52</v>
      </c>
      <c r="CP164" s="150">
        <v>137.5</v>
      </c>
      <c r="CQ164" s="150" t="s">
        <v>45</v>
      </c>
      <c r="CR164" s="150" t="s">
        <v>51</v>
      </c>
      <c r="CU164" s="6">
        <v>132.5</v>
      </c>
      <c r="CV164" s="6" t="s">
        <v>45</v>
      </c>
      <c r="CW164" s="6" t="s">
        <v>52</v>
      </c>
    </row>
    <row r="165" spans="2:106" x14ac:dyDescent="0.25">
      <c r="B165" s="149">
        <v>97.5</v>
      </c>
      <c r="C165" s="5" t="s">
        <v>45</v>
      </c>
      <c r="D165" s="5" t="s">
        <v>52</v>
      </c>
      <c r="L165" s="70">
        <v>112.5</v>
      </c>
      <c r="M165" s="70" t="s">
        <v>45</v>
      </c>
      <c r="N165" s="70" t="s">
        <v>51</v>
      </c>
      <c r="O165" s="70">
        <v>9</v>
      </c>
      <c r="V165" s="78">
        <v>87.5</v>
      </c>
      <c r="W165" s="78" t="s">
        <v>162</v>
      </c>
      <c r="X165" s="78" t="s">
        <v>52</v>
      </c>
      <c r="AF165" s="7">
        <v>47.5</v>
      </c>
      <c r="AG165" s="7" t="s">
        <v>45</v>
      </c>
      <c r="AH165" s="7" t="s">
        <v>51</v>
      </c>
      <c r="AK165" s="22">
        <v>68.5</v>
      </c>
      <c r="AL165" s="22" t="s">
        <v>162</v>
      </c>
      <c r="AM165" s="22" t="s">
        <v>52</v>
      </c>
      <c r="AU165" s="30">
        <v>67.5</v>
      </c>
      <c r="AV165" s="30" t="s">
        <v>45</v>
      </c>
      <c r="AW165" s="30" t="s">
        <v>51</v>
      </c>
      <c r="CF165" s="150">
        <v>68.5</v>
      </c>
      <c r="CG165" s="150" t="s">
        <v>45</v>
      </c>
      <c r="CH165" s="150" t="s">
        <v>52</v>
      </c>
      <c r="CP165" s="150">
        <v>137.5</v>
      </c>
      <c r="CQ165" s="150" t="s">
        <v>45</v>
      </c>
      <c r="CR165" s="150" t="s">
        <v>51</v>
      </c>
      <c r="CU165" s="6">
        <v>132.5</v>
      </c>
      <c r="CV165" s="6" t="s">
        <v>45</v>
      </c>
      <c r="CW165" s="6" t="s">
        <v>52</v>
      </c>
    </row>
    <row r="166" spans="2:106" x14ac:dyDescent="0.25">
      <c r="B166" s="149">
        <v>97.5</v>
      </c>
      <c r="C166" s="148" t="s">
        <v>45</v>
      </c>
      <c r="D166" s="148" t="s">
        <v>52</v>
      </c>
      <c r="L166" s="70">
        <v>110</v>
      </c>
      <c r="M166" s="70" t="s">
        <v>45</v>
      </c>
      <c r="N166" s="70" t="s">
        <v>51</v>
      </c>
      <c r="V166" s="78">
        <v>85</v>
      </c>
      <c r="W166" s="78" t="s">
        <v>162</v>
      </c>
      <c r="X166" s="78" t="s">
        <v>52</v>
      </c>
      <c r="AF166" s="7">
        <v>47.5</v>
      </c>
      <c r="AG166" s="7" t="s">
        <v>45</v>
      </c>
      <c r="AH166" s="7" t="s">
        <v>51</v>
      </c>
      <c r="AK166" s="22">
        <v>68.5</v>
      </c>
      <c r="AL166" s="22" t="s">
        <v>162</v>
      </c>
      <c r="AM166" s="22" t="s">
        <v>52</v>
      </c>
      <c r="AU166" s="30">
        <v>67.5</v>
      </c>
      <c r="AV166" s="30" t="s">
        <v>45</v>
      </c>
      <c r="AW166" s="30" t="s">
        <v>51</v>
      </c>
      <c r="CF166" s="150">
        <v>68.5</v>
      </c>
      <c r="CG166" s="150" t="s">
        <v>45</v>
      </c>
      <c r="CH166" s="150" t="s">
        <v>52</v>
      </c>
      <c r="CP166" s="150">
        <v>137.5</v>
      </c>
      <c r="CQ166" s="150" t="s">
        <v>45</v>
      </c>
      <c r="CR166" s="150" t="s">
        <v>51</v>
      </c>
      <c r="CU166" s="6">
        <v>132.5</v>
      </c>
      <c r="CV166" s="6" t="s">
        <v>45</v>
      </c>
      <c r="CW166" s="6" t="s">
        <v>52</v>
      </c>
    </row>
    <row r="168" spans="2:106" x14ac:dyDescent="0.25">
      <c r="B168" s="5">
        <v>92.5</v>
      </c>
      <c r="C168" s="151" t="s">
        <v>47</v>
      </c>
      <c r="D168" s="151" t="s">
        <v>50</v>
      </c>
      <c r="L168" s="70">
        <v>127.5</v>
      </c>
      <c r="M168" s="70" t="s">
        <v>124</v>
      </c>
      <c r="N168" s="70" t="s">
        <v>51</v>
      </c>
      <c r="O168" s="70">
        <v>9</v>
      </c>
      <c r="V168" s="78">
        <v>80</v>
      </c>
      <c r="W168" s="78" t="s">
        <v>46</v>
      </c>
      <c r="X168" s="78" t="s">
        <v>50</v>
      </c>
      <c r="AF168" s="7">
        <v>55</v>
      </c>
      <c r="AG168" s="7" t="s">
        <v>124</v>
      </c>
      <c r="AH168" s="7" t="s">
        <v>51</v>
      </c>
      <c r="AK168" s="22">
        <v>65</v>
      </c>
      <c r="AL168" s="22" t="s">
        <v>46</v>
      </c>
      <c r="AM168" s="22" t="s">
        <v>50</v>
      </c>
      <c r="AU168" s="30">
        <v>80</v>
      </c>
      <c r="AV168" s="30" t="s">
        <v>124</v>
      </c>
      <c r="AW168" s="30" t="s">
        <v>51</v>
      </c>
      <c r="CF168" s="144">
        <v>62.5</v>
      </c>
      <c r="CG168" s="144" t="s">
        <v>47</v>
      </c>
      <c r="CH168" s="144" t="s">
        <v>50</v>
      </c>
      <c r="CP168" s="5">
        <v>160</v>
      </c>
      <c r="CQ168" s="152" t="s">
        <v>124</v>
      </c>
      <c r="CR168" s="152" t="s">
        <v>51</v>
      </c>
      <c r="CU168" s="6">
        <v>120</v>
      </c>
      <c r="CV168" s="6" t="s">
        <v>47</v>
      </c>
      <c r="CW168" s="6" t="s">
        <v>50</v>
      </c>
    </row>
    <row r="169" spans="2:106" x14ac:dyDescent="0.25">
      <c r="B169" s="5">
        <v>97.5</v>
      </c>
      <c r="C169" s="151" t="s">
        <v>47</v>
      </c>
      <c r="D169" s="151" t="s">
        <v>51</v>
      </c>
      <c r="L169" s="70">
        <v>112.5</v>
      </c>
      <c r="M169" s="70" t="s">
        <v>45</v>
      </c>
      <c r="N169" s="70" t="s">
        <v>51</v>
      </c>
      <c r="V169" s="78">
        <v>90</v>
      </c>
      <c r="W169" s="78" t="s">
        <v>46</v>
      </c>
      <c r="X169" s="78" t="s">
        <v>51</v>
      </c>
      <c r="AF169" s="7">
        <v>48.5</v>
      </c>
      <c r="AG169" s="7" t="s">
        <v>45</v>
      </c>
      <c r="AH169" s="7" t="s">
        <v>51</v>
      </c>
      <c r="AK169" s="22">
        <v>70</v>
      </c>
      <c r="AL169" s="22" t="s">
        <v>46</v>
      </c>
      <c r="AM169" s="22" t="s">
        <v>51</v>
      </c>
      <c r="AN169" s="22">
        <v>9</v>
      </c>
      <c r="AS169" s="22">
        <v>9</v>
      </c>
      <c r="AU169" s="30">
        <v>70</v>
      </c>
      <c r="AV169" s="30" t="s">
        <v>45</v>
      </c>
      <c r="AW169" s="30" t="s">
        <v>51</v>
      </c>
      <c r="CF169" s="144">
        <v>65</v>
      </c>
      <c r="CG169" s="144" t="s">
        <v>47</v>
      </c>
      <c r="CH169" s="144" t="s">
        <v>51</v>
      </c>
      <c r="CP169" s="152">
        <v>140</v>
      </c>
      <c r="CQ169" s="152" t="s">
        <v>45</v>
      </c>
      <c r="CR169" s="152" t="s">
        <v>51</v>
      </c>
      <c r="CU169" s="6">
        <v>130</v>
      </c>
      <c r="CV169" s="6" t="s">
        <v>47</v>
      </c>
      <c r="CW169" s="6" t="s">
        <v>51</v>
      </c>
    </row>
    <row r="170" spans="2:106" x14ac:dyDescent="0.25">
      <c r="B170" s="5">
        <v>100</v>
      </c>
      <c r="C170" s="151" t="s">
        <v>47</v>
      </c>
      <c r="D170" s="151" t="s">
        <v>52</v>
      </c>
      <c r="L170" s="70">
        <v>112.5</v>
      </c>
      <c r="M170" s="70" t="s">
        <v>45</v>
      </c>
      <c r="N170" s="70" t="s">
        <v>51</v>
      </c>
      <c r="O170" s="70">
        <v>9</v>
      </c>
      <c r="V170" s="78">
        <v>90</v>
      </c>
      <c r="W170" s="78" t="s">
        <v>46</v>
      </c>
      <c r="X170" s="78" t="s">
        <v>51</v>
      </c>
      <c r="AF170" s="7">
        <v>48.5</v>
      </c>
      <c r="AG170" s="7" t="s">
        <v>45</v>
      </c>
      <c r="AH170" s="7" t="s">
        <v>51</v>
      </c>
      <c r="AK170" s="22">
        <v>67.5</v>
      </c>
      <c r="AL170" s="22" t="s">
        <v>46</v>
      </c>
      <c r="AM170" s="22" t="s">
        <v>51</v>
      </c>
      <c r="AU170" s="30">
        <v>68.5</v>
      </c>
      <c r="AV170" s="30" t="s">
        <v>45</v>
      </c>
      <c r="AW170" s="30" t="s">
        <v>51</v>
      </c>
      <c r="CF170" s="144">
        <v>70</v>
      </c>
      <c r="CG170" s="144" t="s">
        <v>47</v>
      </c>
      <c r="CH170" s="144" t="s">
        <v>52</v>
      </c>
      <c r="CP170" s="152">
        <v>140</v>
      </c>
      <c r="CQ170" s="152" t="s">
        <v>45</v>
      </c>
      <c r="CR170" s="152" t="s">
        <v>51</v>
      </c>
      <c r="CU170" s="6">
        <v>135</v>
      </c>
      <c r="CV170" s="6" t="s">
        <v>47</v>
      </c>
      <c r="CW170" s="6" t="s">
        <v>52</v>
      </c>
    </row>
    <row r="171" spans="2:106" x14ac:dyDescent="0.25">
      <c r="B171" s="5">
        <v>100</v>
      </c>
      <c r="C171" s="151" t="s">
        <v>47</v>
      </c>
      <c r="D171" s="151" t="s">
        <v>52</v>
      </c>
      <c r="L171" s="70">
        <v>110</v>
      </c>
      <c r="M171" s="70" t="s">
        <v>45</v>
      </c>
      <c r="N171" s="70" t="s">
        <v>51</v>
      </c>
      <c r="V171" s="78">
        <v>90</v>
      </c>
      <c r="W171" s="78" t="s">
        <v>46</v>
      </c>
      <c r="X171" s="78" t="s">
        <v>51</v>
      </c>
      <c r="AF171" s="7">
        <v>48.5</v>
      </c>
      <c r="AG171" s="7" t="s">
        <v>45</v>
      </c>
      <c r="AH171" s="7" t="s">
        <v>51</v>
      </c>
      <c r="AK171" s="22">
        <v>67.5</v>
      </c>
      <c r="AL171" s="22" t="s">
        <v>46</v>
      </c>
      <c r="AM171" s="22" t="s">
        <v>51</v>
      </c>
      <c r="AU171" s="30">
        <v>68.5</v>
      </c>
      <c r="AV171" s="30" t="s">
        <v>45</v>
      </c>
      <c r="AW171" s="30" t="s">
        <v>51</v>
      </c>
      <c r="CF171" s="144">
        <v>70</v>
      </c>
      <c r="CG171" s="144" t="s">
        <v>47</v>
      </c>
      <c r="CH171" s="144" t="s">
        <v>52</v>
      </c>
      <c r="CP171" s="152">
        <v>140</v>
      </c>
      <c r="CQ171" s="152" t="s">
        <v>45</v>
      </c>
      <c r="CR171" s="152" t="s">
        <v>51</v>
      </c>
      <c r="CU171" s="6">
        <v>135</v>
      </c>
      <c r="CV171" s="6" t="s">
        <v>47</v>
      </c>
      <c r="CW171" s="6" t="s">
        <v>52</v>
      </c>
    </row>
    <row r="172" spans="2:106" x14ac:dyDescent="0.25">
      <c r="B172" s="5">
        <v>97.5</v>
      </c>
      <c r="C172" s="151" t="s">
        <v>47</v>
      </c>
      <c r="D172" s="151" t="s">
        <v>52</v>
      </c>
      <c r="L172" s="70">
        <v>110</v>
      </c>
      <c r="M172" s="70" t="s">
        <v>45</v>
      </c>
      <c r="N172" s="70" t="s">
        <v>51</v>
      </c>
      <c r="AF172" s="7">
        <v>48.5</v>
      </c>
      <c r="AG172" s="7" t="s">
        <v>45</v>
      </c>
      <c r="AH172" s="7" t="s">
        <v>51</v>
      </c>
      <c r="AU172" s="30">
        <v>68.5</v>
      </c>
      <c r="AV172" s="30" t="s">
        <v>45</v>
      </c>
      <c r="AW172" s="30" t="s">
        <v>51</v>
      </c>
      <c r="CF172" s="144">
        <v>70</v>
      </c>
      <c r="CG172" s="144" t="s">
        <v>47</v>
      </c>
      <c r="CH172" s="144" t="s">
        <v>52</v>
      </c>
      <c r="CP172" s="152">
        <v>140</v>
      </c>
      <c r="CQ172" s="152" t="s">
        <v>45</v>
      </c>
      <c r="CR172" s="152" t="s">
        <v>51</v>
      </c>
      <c r="CU172" s="6">
        <v>135</v>
      </c>
      <c r="CV172" s="6" t="s">
        <v>47</v>
      </c>
      <c r="CW172" s="6" t="s">
        <v>52</v>
      </c>
    </row>
    <row r="173" spans="2:106" x14ac:dyDescent="0.25">
      <c r="B173" s="151">
        <v>97.5</v>
      </c>
      <c r="C173" s="151" t="s">
        <v>47</v>
      </c>
      <c r="D173" s="151" t="s">
        <v>52</v>
      </c>
      <c r="CU173" s="6">
        <v>135</v>
      </c>
      <c r="CV173" s="6" t="s">
        <v>47</v>
      </c>
      <c r="CW173" s="6" t="s">
        <v>52</v>
      </c>
    </row>
    <row r="174" spans="2:106" x14ac:dyDescent="0.25">
      <c r="G174" s="31">
        <v>70</v>
      </c>
      <c r="H174" s="31" t="s">
        <v>46</v>
      </c>
      <c r="I174" s="31" t="s">
        <v>50</v>
      </c>
      <c r="L174" s="70">
        <v>127.5</v>
      </c>
      <c r="M174" s="70" t="s">
        <v>124</v>
      </c>
      <c r="N174" s="70" t="s">
        <v>51</v>
      </c>
      <c r="Q174" s="74">
        <v>90</v>
      </c>
      <c r="R174" s="74" t="s">
        <v>47</v>
      </c>
      <c r="S174" s="74" t="s">
        <v>50</v>
      </c>
      <c r="AF174" s="7">
        <v>55</v>
      </c>
      <c r="AG174" s="7" t="s">
        <v>124</v>
      </c>
      <c r="AH174" s="7" t="s">
        <v>51</v>
      </c>
      <c r="AK174" s="22">
        <v>65</v>
      </c>
      <c r="AL174" s="22" t="s">
        <v>46</v>
      </c>
      <c r="AM174" s="22" t="s">
        <v>50</v>
      </c>
      <c r="AU174" s="30">
        <v>82.5</v>
      </c>
      <c r="AV174" s="30" t="s">
        <v>124</v>
      </c>
      <c r="AW174" s="30" t="s">
        <v>51</v>
      </c>
      <c r="AX174" s="30">
        <v>11</v>
      </c>
      <c r="BK174" s="72">
        <v>60</v>
      </c>
      <c r="BL174" s="72" t="s">
        <v>47</v>
      </c>
      <c r="BM174" s="72" t="s">
        <v>50</v>
      </c>
      <c r="CP174" s="5">
        <v>162.5</v>
      </c>
      <c r="CQ174" s="5" t="s">
        <v>124</v>
      </c>
      <c r="CR174" s="5" t="s">
        <v>51</v>
      </c>
      <c r="CZ174" s="20">
        <v>110</v>
      </c>
      <c r="DA174" s="20" t="s">
        <v>47</v>
      </c>
      <c r="DB174" s="20" t="s">
        <v>50</v>
      </c>
    </row>
    <row r="175" spans="2:106" x14ac:dyDescent="0.25">
      <c r="G175" s="31">
        <v>72.5</v>
      </c>
      <c r="H175" s="31" t="s">
        <v>46</v>
      </c>
      <c r="I175" s="31" t="s">
        <v>51</v>
      </c>
      <c r="L175" s="70">
        <v>112.5</v>
      </c>
      <c r="M175" s="70" t="s">
        <v>47</v>
      </c>
      <c r="N175" s="70" t="s">
        <v>51</v>
      </c>
      <c r="Q175" s="74">
        <v>95</v>
      </c>
      <c r="R175" s="74" t="s">
        <v>47</v>
      </c>
      <c r="S175" s="74" t="s">
        <v>51</v>
      </c>
      <c r="AF175" s="7">
        <v>50</v>
      </c>
      <c r="AG175" s="7" t="s">
        <v>47</v>
      </c>
      <c r="AH175" s="7" t="s">
        <v>51</v>
      </c>
      <c r="AK175" s="22">
        <v>67.5</v>
      </c>
      <c r="AL175" s="22" t="s">
        <v>46</v>
      </c>
      <c r="AM175" s="22" t="s">
        <v>51</v>
      </c>
      <c r="AU175" s="30">
        <v>70</v>
      </c>
      <c r="AV175" s="30" t="s">
        <v>47</v>
      </c>
      <c r="AW175" s="30" t="s">
        <v>51</v>
      </c>
      <c r="BK175" s="72">
        <v>62.5</v>
      </c>
      <c r="BL175" s="72" t="s">
        <v>47</v>
      </c>
      <c r="BM175" s="72" t="s">
        <v>51</v>
      </c>
      <c r="CP175" s="5">
        <v>142.5</v>
      </c>
      <c r="CQ175" s="5" t="s">
        <v>47</v>
      </c>
      <c r="CR175" s="5" t="s">
        <v>51</v>
      </c>
      <c r="CZ175" s="20">
        <v>120</v>
      </c>
      <c r="DA175" s="20" t="s">
        <v>47</v>
      </c>
      <c r="DB175" s="20" t="s">
        <v>51</v>
      </c>
    </row>
    <row r="176" spans="2:106" x14ac:dyDescent="0.25">
      <c r="G176" s="31">
        <v>72.5</v>
      </c>
      <c r="H176" s="31" t="s">
        <v>46</v>
      </c>
      <c r="I176" s="31" t="s">
        <v>51</v>
      </c>
      <c r="L176" s="70">
        <v>112.5</v>
      </c>
      <c r="M176" s="70" t="s">
        <v>47</v>
      </c>
      <c r="N176" s="70" t="s">
        <v>51</v>
      </c>
      <c r="Q176" s="74">
        <v>97.5</v>
      </c>
      <c r="R176" s="74" t="s">
        <v>47</v>
      </c>
      <c r="S176" s="74" t="s">
        <v>52</v>
      </c>
      <c r="AF176" s="7">
        <v>50</v>
      </c>
      <c r="AG176" s="7" t="s">
        <v>47</v>
      </c>
      <c r="AH176" s="7" t="s">
        <v>51</v>
      </c>
      <c r="AK176" s="22">
        <v>70</v>
      </c>
      <c r="AL176" s="22" t="s">
        <v>46</v>
      </c>
      <c r="AM176" s="22" t="s">
        <v>51</v>
      </c>
      <c r="AU176" s="30">
        <v>70</v>
      </c>
      <c r="AV176" s="30" t="s">
        <v>47</v>
      </c>
      <c r="AW176" s="30" t="s">
        <v>51</v>
      </c>
      <c r="BK176" s="155">
        <v>67.5</v>
      </c>
      <c r="BL176" s="72" t="s">
        <v>47</v>
      </c>
      <c r="BM176" s="72" t="s">
        <v>52</v>
      </c>
      <c r="CP176" s="154">
        <v>142.5</v>
      </c>
      <c r="CQ176" s="5" t="s">
        <v>47</v>
      </c>
      <c r="CR176" s="5" t="s">
        <v>51</v>
      </c>
      <c r="CZ176" s="20">
        <v>127.5</v>
      </c>
      <c r="DA176" s="20" t="s">
        <v>47</v>
      </c>
      <c r="DB176" s="20" t="s">
        <v>52</v>
      </c>
    </row>
    <row r="177" spans="2:118" x14ac:dyDescent="0.25">
      <c r="B177" s="168"/>
      <c r="C177" s="168"/>
      <c r="D177" s="168"/>
      <c r="E177" s="168"/>
      <c r="F177" s="160"/>
      <c r="G177" s="159">
        <v>72.5</v>
      </c>
      <c r="H177" s="159" t="s">
        <v>46</v>
      </c>
      <c r="I177" s="159" t="s">
        <v>51</v>
      </c>
      <c r="J177" s="159"/>
      <c r="K177" s="160"/>
      <c r="L177" s="161">
        <v>112.5</v>
      </c>
      <c r="M177" s="161" t="s">
        <v>47</v>
      </c>
      <c r="N177" s="161" t="s">
        <v>51</v>
      </c>
      <c r="O177" s="161"/>
      <c r="P177" s="160"/>
      <c r="Q177" s="162">
        <v>97.5</v>
      </c>
      <c r="R177" s="162" t="s">
        <v>47</v>
      </c>
      <c r="S177" s="162" t="s">
        <v>52</v>
      </c>
      <c r="T177" s="162"/>
      <c r="U177" s="160"/>
      <c r="V177" s="163"/>
      <c r="W177" s="163"/>
      <c r="X177" s="163"/>
      <c r="Y177" s="163"/>
      <c r="Z177" s="160"/>
      <c r="AA177" s="163"/>
      <c r="AB177" s="163"/>
      <c r="AC177" s="163"/>
      <c r="AD177" s="163"/>
      <c r="AE177" s="160"/>
      <c r="AF177" s="7">
        <v>50</v>
      </c>
      <c r="AG177" s="7" t="s">
        <v>47</v>
      </c>
      <c r="AH177" s="7" t="s">
        <v>51</v>
      </c>
      <c r="AJ177" s="160"/>
      <c r="AK177" s="164">
        <v>70</v>
      </c>
      <c r="AL177" s="164" t="s">
        <v>46</v>
      </c>
      <c r="AM177" s="164" t="s">
        <v>51</v>
      </c>
      <c r="AN177" s="164"/>
      <c r="AO177" s="160"/>
      <c r="AP177" s="164"/>
      <c r="AQ177" s="164"/>
      <c r="AR177" s="164"/>
      <c r="AS177" s="164"/>
      <c r="AT177" s="160"/>
      <c r="AU177" s="165">
        <v>70</v>
      </c>
      <c r="AV177" s="165" t="s">
        <v>47</v>
      </c>
      <c r="AW177" s="165" t="s">
        <v>51</v>
      </c>
      <c r="AX177" s="165"/>
      <c r="AY177" s="160"/>
      <c r="AZ177" s="166"/>
      <c r="BA177" s="166"/>
      <c r="BB177" s="166"/>
      <c r="BC177" s="166"/>
      <c r="BD177" s="160"/>
      <c r="BE177" s="160"/>
      <c r="BF177" s="166"/>
      <c r="BG177" s="166"/>
      <c r="BH177" s="166"/>
      <c r="BI177" s="166"/>
      <c r="BJ177" s="160"/>
      <c r="BK177" s="167">
        <v>68.5</v>
      </c>
      <c r="BL177" s="167" t="s">
        <v>47</v>
      </c>
      <c r="BM177" s="167" t="s">
        <v>52</v>
      </c>
      <c r="BN177" s="167"/>
      <c r="CK177" s="171"/>
      <c r="CL177" s="171"/>
      <c r="CM177" s="171"/>
      <c r="CN177" s="171"/>
      <c r="CO177" s="160"/>
      <c r="CP177" s="168">
        <v>142.5</v>
      </c>
      <c r="CQ177" s="168" t="s">
        <v>47</v>
      </c>
      <c r="CR177" s="168" t="s">
        <v>51</v>
      </c>
      <c r="CS177" s="168"/>
      <c r="CT177" s="160"/>
      <c r="CU177" s="169"/>
      <c r="CV177" s="169"/>
      <c r="CW177" s="169"/>
      <c r="CX177" s="169"/>
      <c r="CY177" s="160"/>
      <c r="CZ177" s="170">
        <v>127.5</v>
      </c>
      <c r="DA177" s="170" t="s">
        <v>47</v>
      </c>
      <c r="DB177" s="170" t="s">
        <v>52</v>
      </c>
      <c r="DC177" s="170"/>
      <c r="DI177" s="160"/>
      <c r="DN177" s="160"/>
    </row>
    <row r="178" spans="2:118" x14ac:dyDescent="0.25">
      <c r="B178" s="168"/>
      <c r="C178" s="168"/>
      <c r="D178" s="168"/>
      <c r="E178" s="168"/>
      <c r="F178" s="160"/>
      <c r="G178" s="159">
        <v>72.5</v>
      </c>
      <c r="H178" s="159" t="s">
        <v>46</v>
      </c>
      <c r="I178" s="159" t="s">
        <v>51</v>
      </c>
      <c r="J178" s="159"/>
      <c r="K178" s="160"/>
      <c r="L178" s="161">
        <v>112.5</v>
      </c>
      <c r="M178" s="161" t="s">
        <v>47</v>
      </c>
      <c r="N178" s="161" t="s">
        <v>51</v>
      </c>
      <c r="O178" s="161"/>
      <c r="P178" s="160"/>
      <c r="Q178" s="162">
        <v>97.5</v>
      </c>
      <c r="R178" s="162" t="s">
        <v>47</v>
      </c>
      <c r="S178" s="162" t="s">
        <v>52</v>
      </c>
      <c r="T178" s="162"/>
      <c r="U178" s="160"/>
      <c r="V178" s="163"/>
      <c r="W178" s="163"/>
      <c r="X178" s="163"/>
      <c r="Y178" s="163"/>
      <c r="Z178" s="160"/>
      <c r="AA178" s="163"/>
      <c r="AB178" s="163"/>
      <c r="AC178" s="163"/>
      <c r="AD178" s="163"/>
      <c r="AE178" s="160"/>
      <c r="AF178" s="7">
        <v>50</v>
      </c>
      <c r="AG178" s="7" t="s">
        <v>47</v>
      </c>
      <c r="AH178" s="7" t="s">
        <v>51</v>
      </c>
      <c r="AJ178" s="160"/>
      <c r="AK178" s="164">
        <v>70</v>
      </c>
      <c r="AL178" s="164" t="s">
        <v>46</v>
      </c>
      <c r="AM178" s="164" t="s">
        <v>51</v>
      </c>
      <c r="AN178" s="164"/>
      <c r="AO178" s="160"/>
      <c r="AP178" s="164"/>
      <c r="AQ178" s="164"/>
      <c r="AR178" s="164"/>
      <c r="AS178" s="164"/>
      <c r="AT178" s="160"/>
      <c r="AU178" s="165">
        <v>70</v>
      </c>
      <c r="AV178" s="165" t="s">
        <v>47</v>
      </c>
      <c r="AW178" s="165" t="s">
        <v>51</v>
      </c>
      <c r="AX178" s="165"/>
      <c r="AY178" s="160"/>
      <c r="AZ178" s="166"/>
      <c r="BA178" s="166"/>
      <c r="BB178" s="166"/>
      <c r="BC178" s="166"/>
      <c r="BD178" s="160"/>
      <c r="BE178" s="160"/>
      <c r="BF178" s="166"/>
      <c r="BG178" s="166"/>
      <c r="BH178" s="166"/>
      <c r="BI178" s="166"/>
      <c r="BJ178" s="160"/>
      <c r="BK178" s="167">
        <v>68.5</v>
      </c>
      <c r="BL178" s="167" t="s">
        <v>47</v>
      </c>
      <c r="BM178" s="167" t="s">
        <v>52</v>
      </c>
      <c r="BN178" s="167"/>
      <c r="CK178" s="171"/>
      <c r="CL178" s="171"/>
      <c r="CM178" s="171"/>
      <c r="CN178" s="171"/>
      <c r="CO178" s="160"/>
      <c r="CP178" s="168">
        <v>142.5</v>
      </c>
      <c r="CQ178" s="168" t="s">
        <v>47</v>
      </c>
      <c r="CR178" s="168" t="s">
        <v>51</v>
      </c>
      <c r="CS178" s="168"/>
      <c r="CT178" s="160"/>
      <c r="CU178" s="169"/>
      <c r="CV178" s="169"/>
      <c r="CW178" s="169"/>
      <c r="CX178" s="169"/>
      <c r="CY178" s="160"/>
      <c r="CZ178" s="170">
        <v>127.5</v>
      </c>
      <c r="DA178" s="170" t="s">
        <v>47</v>
      </c>
      <c r="DB178" s="170" t="s">
        <v>52</v>
      </c>
      <c r="DC178" s="170"/>
      <c r="DI178" s="160"/>
      <c r="DN178" s="160"/>
    </row>
    <row r="179" spans="2:118" x14ac:dyDescent="0.25">
      <c r="B179" s="168"/>
      <c r="C179" s="168"/>
      <c r="D179" s="168"/>
      <c r="E179" s="168"/>
      <c r="F179" s="160"/>
      <c r="G179" s="159"/>
      <c r="H179" s="159"/>
      <c r="I179" s="159"/>
      <c r="J179" s="159"/>
      <c r="K179" s="160"/>
      <c r="L179" s="161">
        <v>112.5</v>
      </c>
      <c r="M179" s="161" t="s">
        <v>47</v>
      </c>
      <c r="N179" s="161" t="s">
        <v>51</v>
      </c>
      <c r="O179" s="161"/>
      <c r="P179" s="160"/>
      <c r="Q179" s="162"/>
      <c r="R179" s="162"/>
      <c r="S179" s="162"/>
      <c r="T179" s="162"/>
      <c r="U179" s="160"/>
      <c r="V179" s="163"/>
      <c r="W179" s="163"/>
      <c r="X179" s="163"/>
      <c r="Y179" s="163"/>
      <c r="Z179" s="160"/>
      <c r="AA179" s="163"/>
      <c r="AB179" s="163"/>
      <c r="AC179" s="163"/>
      <c r="AD179" s="163"/>
      <c r="AE179" s="160"/>
      <c r="AF179" s="7">
        <v>48.5</v>
      </c>
      <c r="AG179" s="7" t="s">
        <v>47</v>
      </c>
      <c r="AH179" s="7" t="s">
        <v>51</v>
      </c>
      <c r="AJ179" s="160"/>
      <c r="AK179" s="164"/>
      <c r="AL179" s="164"/>
      <c r="AM179" s="164"/>
      <c r="AN179" s="164"/>
      <c r="AO179" s="160"/>
      <c r="AP179" s="164"/>
      <c r="AQ179" s="164"/>
      <c r="AR179" s="164"/>
      <c r="AS179" s="164"/>
      <c r="AT179" s="160"/>
      <c r="AU179" s="165">
        <v>70</v>
      </c>
      <c r="AV179" s="165" t="s">
        <v>47</v>
      </c>
      <c r="AW179" s="165" t="s">
        <v>51</v>
      </c>
      <c r="AX179" s="165"/>
      <c r="AY179" s="160"/>
      <c r="AZ179" s="166"/>
      <c r="BA179" s="166"/>
      <c r="BB179" s="166"/>
      <c r="BC179" s="166"/>
      <c r="BD179" s="160"/>
      <c r="BE179" s="160"/>
      <c r="BF179" s="166"/>
      <c r="BG179" s="166"/>
      <c r="BH179" s="166"/>
      <c r="BI179" s="166"/>
      <c r="BJ179" s="160"/>
      <c r="BK179" s="167"/>
      <c r="BL179" s="167"/>
      <c r="BM179" s="167"/>
      <c r="BN179" s="167"/>
      <c r="CK179" s="171"/>
      <c r="CL179" s="171"/>
      <c r="CM179" s="171"/>
      <c r="CN179" s="171"/>
      <c r="CO179" s="160"/>
      <c r="CP179" s="168">
        <v>142.5</v>
      </c>
      <c r="CQ179" s="168" t="s">
        <v>47</v>
      </c>
      <c r="CR179" s="168" t="s">
        <v>51</v>
      </c>
      <c r="CS179" s="168"/>
      <c r="CT179" s="160"/>
      <c r="CU179" s="169"/>
      <c r="CV179" s="169"/>
      <c r="CW179" s="169"/>
      <c r="CX179" s="169"/>
      <c r="CY179" s="160"/>
      <c r="CZ179" s="170"/>
      <c r="DA179" s="170"/>
      <c r="DB179" s="170"/>
      <c r="DC179" s="170"/>
      <c r="DI179" s="160"/>
      <c r="DN179" s="160"/>
    </row>
    <row r="180" spans="2:118" x14ac:dyDescent="0.25">
      <c r="B180" s="168"/>
      <c r="C180" s="168"/>
      <c r="D180" s="168"/>
      <c r="E180" s="168"/>
      <c r="F180" s="160"/>
      <c r="G180" s="159"/>
      <c r="H180" s="159"/>
      <c r="I180" s="159"/>
      <c r="J180" s="159"/>
      <c r="K180" s="160"/>
      <c r="L180" s="161"/>
      <c r="M180" s="161"/>
      <c r="N180" s="161"/>
      <c r="O180" s="161"/>
      <c r="P180" s="160"/>
      <c r="Q180" s="162"/>
      <c r="R180" s="162"/>
      <c r="S180" s="162"/>
      <c r="T180" s="162"/>
      <c r="U180" s="160"/>
      <c r="V180" s="163"/>
      <c r="W180" s="163"/>
      <c r="X180" s="163"/>
      <c r="Y180" s="163"/>
      <c r="Z180" s="160"/>
      <c r="AA180" s="163"/>
      <c r="AB180" s="163"/>
      <c r="AC180" s="163"/>
      <c r="AD180" s="163"/>
      <c r="AE180" s="160"/>
      <c r="AJ180" s="160"/>
      <c r="AK180" s="164"/>
      <c r="AL180" s="164"/>
      <c r="AM180" s="164"/>
      <c r="AN180" s="164"/>
      <c r="AO180" s="160"/>
      <c r="AP180" s="164"/>
      <c r="AQ180" s="164"/>
      <c r="AR180" s="164"/>
      <c r="AS180" s="164"/>
      <c r="AT180" s="160"/>
      <c r="AU180" s="165"/>
      <c r="AV180" s="165"/>
      <c r="AW180" s="165"/>
      <c r="AX180" s="165"/>
      <c r="AY180" s="160"/>
      <c r="AZ180" s="166"/>
      <c r="BA180" s="166"/>
      <c r="BB180" s="166"/>
      <c r="BC180" s="166"/>
      <c r="BD180" s="160"/>
      <c r="BE180" s="160"/>
      <c r="BF180" s="166"/>
      <c r="BG180" s="166"/>
      <c r="BH180" s="166"/>
      <c r="BI180" s="166"/>
      <c r="BJ180" s="160"/>
      <c r="BK180" s="167"/>
      <c r="BL180" s="167"/>
      <c r="BM180" s="167"/>
      <c r="BN180" s="167"/>
      <c r="CK180" s="171"/>
      <c r="CL180" s="171"/>
      <c r="CM180" s="171"/>
      <c r="CN180" s="171"/>
      <c r="CO180" s="160"/>
      <c r="CP180" s="168"/>
      <c r="CQ180" s="168"/>
      <c r="CR180" s="168"/>
      <c r="CS180" s="168"/>
      <c r="CT180" s="160"/>
      <c r="CU180" s="169"/>
      <c r="CV180" s="169"/>
      <c r="CW180" s="169"/>
      <c r="CX180" s="169"/>
      <c r="CY180" s="160"/>
      <c r="CZ180" s="170"/>
      <c r="DA180" s="170"/>
      <c r="DB180" s="170"/>
      <c r="DC180" s="170"/>
      <c r="DI180" s="160"/>
      <c r="DN180" s="160"/>
    </row>
    <row r="181" spans="2:118" x14ac:dyDescent="0.25">
      <c r="B181" s="168"/>
      <c r="C181" s="168"/>
      <c r="D181" s="168"/>
      <c r="E181" s="168"/>
      <c r="F181" s="160"/>
      <c r="G181" s="159">
        <v>72.5</v>
      </c>
      <c r="H181" s="159" t="s">
        <v>46</v>
      </c>
      <c r="I181" s="159" t="s">
        <v>50</v>
      </c>
      <c r="J181" s="159"/>
      <c r="K181" s="160"/>
      <c r="L181" s="161">
        <v>130</v>
      </c>
      <c r="M181" s="161" t="s">
        <v>124</v>
      </c>
      <c r="N181" s="161" t="s">
        <v>51</v>
      </c>
      <c r="O181" s="161"/>
      <c r="P181" s="160"/>
      <c r="Q181" s="162">
        <v>92.5</v>
      </c>
      <c r="R181" s="162" t="s">
        <v>125</v>
      </c>
      <c r="S181" s="162" t="s">
        <v>50</v>
      </c>
      <c r="T181" s="162"/>
      <c r="U181" s="160"/>
      <c r="V181" s="163"/>
      <c r="W181" s="163"/>
      <c r="X181" s="163"/>
      <c r="Y181" s="163"/>
      <c r="Z181" s="160"/>
      <c r="AA181" s="163"/>
      <c r="AB181" s="163"/>
      <c r="AC181" s="163"/>
      <c r="AD181" s="163"/>
      <c r="AE181" s="160"/>
      <c r="AF181" s="7">
        <v>56</v>
      </c>
      <c r="AG181" s="7" t="s">
        <v>124</v>
      </c>
      <c r="AH181" s="7" t="s">
        <v>51</v>
      </c>
      <c r="AJ181" s="160"/>
      <c r="AK181" s="164">
        <v>67.5</v>
      </c>
      <c r="AL181" s="164" t="s">
        <v>46</v>
      </c>
      <c r="AM181" s="164" t="s">
        <v>50</v>
      </c>
      <c r="AN181" s="164"/>
      <c r="AO181" s="160"/>
      <c r="AP181" s="164"/>
      <c r="AQ181" s="164"/>
      <c r="AR181" s="164"/>
      <c r="AS181" s="164"/>
      <c r="AT181" s="160"/>
      <c r="AU181" s="165">
        <v>82.5</v>
      </c>
      <c r="AV181" s="165" t="s">
        <v>124</v>
      </c>
      <c r="AW181" s="165" t="s">
        <v>51</v>
      </c>
      <c r="AX181" s="165">
        <v>11</v>
      </c>
      <c r="AY181" s="160"/>
      <c r="AZ181" s="166"/>
      <c r="BA181" s="166"/>
      <c r="BB181" s="166"/>
      <c r="BC181" s="166"/>
      <c r="BD181" s="160"/>
      <c r="BE181" s="160"/>
      <c r="BF181" s="166"/>
      <c r="BG181" s="166"/>
      <c r="BH181" s="166"/>
      <c r="BI181" s="166"/>
      <c r="BJ181" s="160"/>
      <c r="BK181" s="167">
        <v>65</v>
      </c>
      <c r="BL181" s="167" t="s">
        <v>125</v>
      </c>
      <c r="BM181" s="167" t="s">
        <v>50</v>
      </c>
      <c r="BN181" s="167"/>
      <c r="CK181" s="171"/>
      <c r="CL181" s="171"/>
      <c r="CM181" s="171"/>
      <c r="CN181" s="171"/>
      <c r="CO181" s="160"/>
      <c r="CP181" s="168">
        <v>165</v>
      </c>
      <c r="CQ181" s="168" t="s">
        <v>124</v>
      </c>
      <c r="CR181" s="168" t="s">
        <v>51</v>
      </c>
      <c r="CS181" s="168">
        <v>9</v>
      </c>
      <c r="CT181" s="160"/>
      <c r="CU181" s="169"/>
      <c r="CV181" s="169"/>
      <c r="CW181" s="169"/>
      <c r="CX181" s="169"/>
      <c r="CY181" s="160"/>
      <c r="CZ181" s="170">
        <v>115</v>
      </c>
      <c r="DA181" s="170" t="s">
        <v>125</v>
      </c>
      <c r="DB181" s="170" t="s">
        <v>50</v>
      </c>
      <c r="DC181" s="170"/>
      <c r="DI181" s="160"/>
      <c r="DN181" s="160"/>
    </row>
    <row r="182" spans="2:118" x14ac:dyDescent="0.25">
      <c r="B182" s="168"/>
      <c r="C182" s="168"/>
      <c r="D182" s="168"/>
      <c r="E182" s="168"/>
      <c r="F182" s="160"/>
      <c r="G182" s="159">
        <v>75</v>
      </c>
      <c r="H182" s="159" t="s">
        <v>46</v>
      </c>
      <c r="I182" s="159" t="s">
        <v>51</v>
      </c>
      <c r="J182" s="159"/>
      <c r="K182" s="160"/>
      <c r="L182" s="161">
        <v>115</v>
      </c>
      <c r="M182" s="161" t="s">
        <v>47</v>
      </c>
      <c r="N182" s="161" t="s">
        <v>51</v>
      </c>
      <c r="O182" s="161"/>
      <c r="P182" s="160"/>
      <c r="Q182" s="162">
        <v>97.5</v>
      </c>
      <c r="R182" s="162" t="s">
        <v>125</v>
      </c>
      <c r="S182" s="162" t="s">
        <v>51</v>
      </c>
      <c r="T182" s="162"/>
      <c r="U182" s="160"/>
      <c r="V182" s="163"/>
      <c r="W182" s="163"/>
      <c r="X182" s="163"/>
      <c r="Y182" s="163"/>
      <c r="Z182" s="160"/>
      <c r="AA182" s="163"/>
      <c r="AB182" s="163"/>
      <c r="AC182" s="163"/>
      <c r="AD182" s="163"/>
      <c r="AE182" s="160"/>
      <c r="AF182" s="7">
        <v>51</v>
      </c>
      <c r="AG182" s="7" t="s">
        <v>47</v>
      </c>
      <c r="AH182" s="7" t="s">
        <v>51</v>
      </c>
      <c r="AJ182" s="160"/>
      <c r="AK182" s="164">
        <v>70</v>
      </c>
      <c r="AL182" s="164" t="s">
        <v>46</v>
      </c>
      <c r="AM182" s="164" t="s">
        <v>51</v>
      </c>
      <c r="AN182" s="164"/>
      <c r="AO182" s="160"/>
      <c r="AP182" s="164"/>
      <c r="AQ182" s="164"/>
      <c r="AR182" s="164"/>
      <c r="AS182" s="164"/>
      <c r="AT182" s="160"/>
      <c r="AU182" s="165">
        <v>71</v>
      </c>
      <c r="AV182" s="165" t="s">
        <v>47</v>
      </c>
      <c r="AW182" s="165" t="s">
        <v>51</v>
      </c>
      <c r="AX182" s="165">
        <v>9</v>
      </c>
      <c r="AY182" s="160"/>
      <c r="AZ182" s="166"/>
      <c r="BA182" s="166"/>
      <c r="BB182" s="166"/>
      <c r="BC182" s="166"/>
      <c r="BD182" s="160"/>
      <c r="BE182" s="160"/>
      <c r="BF182" s="166"/>
      <c r="BG182" s="166"/>
      <c r="BH182" s="166"/>
      <c r="BI182" s="166"/>
      <c r="BJ182" s="160"/>
      <c r="BK182" s="167">
        <v>67.5</v>
      </c>
      <c r="BL182" s="167" t="s">
        <v>125</v>
      </c>
      <c r="BM182" s="167" t="s">
        <v>51</v>
      </c>
      <c r="BN182" s="167"/>
      <c r="CK182" s="171"/>
      <c r="CL182" s="171"/>
      <c r="CM182" s="171"/>
      <c r="CN182" s="171"/>
      <c r="CO182" s="160"/>
      <c r="CP182" s="168">
        <v>145</v>
      </c>
      <c r="CQ182" s="168" t="s">
        <v>47</v>
      </c>
      <c r="CR182" s="168" t="s">
        <v>51</v>
      </c>
      <c r="CS182" s="168"/>
      <c r="CT182" s="160"/>
      <c r="CU182" s="169"/>
      <c r="CV182" s="169"/>
      <c r="CW182" s="169"/>
      <c r="CX182" s="169"/>
      <c r="CY182" s="160"/>
      <c r="CZ182" s="170">
        <v>125</v>
      </c>
      <c r="DA182" s="170" t="s">
        <v>125</v>
      </c>
      <c r="DB182" s="170" t="s">
        <v>51</v>
      </c>
      <c r="DC182" s="170"/>
      <c r="DI182" s="160"/>
      <c r="DN182" s="160"/>
    </row>
    <row r="183" spans="2:118" x14ac:dyDescent="0.25">
      <c r="B183" s="168"/>
      <c r="C183" s="168"/>
      <c r="D183" s="168"/>
      <c r="E183" s="168"/>
      <c r="F183" s="160"/>
      <c r="G183" s="159">
        <v>75</v>
      </c>
      <c r="H183" s="159" t="s">
        <v>46</v>
      </c>
      <c r="I183" s="159" t="s">
        <v>51</v>
      </c>
      <c r="J183" s="159"/>
      <c r="K183" s="160"/>
      <c r="L183" s="161">
        <v>112.5</v>
      </c>
      <c r="M183" s="161" t="s">
        <v>47</v>
      </c>
      <c r="N183" s="161" t="s">
        <v>51</v>
      </c>
      <c r="O183" s="161"/>
      <c r="P183" s="160"/>
      <c r="Q183" s="162">
        <v>100</v>
      </c>
      <c r="R183" s="162" t="s">
        <v>125</v>
      </c>
      <c r="S183" s="162" t="s">
        <v>52</v>
      </c>
      <c r="T183" s="162"/>
      <c r="U183" s="160"/>
      <c r="V183" s="163"/>
      <c r="W183" s="163"/>
      <c r="X183" s="163"/>
      <c r="Y183" s="163"/>
      <c r="Z183" s="160"/>
      <c r="AA183" s="163"/>
      <c r="AB183" s="163"/>
      <c r="AC183" s="163"/>
      <c r="AD183" s="163"/>
      <c r="AE183" s="160"/>
      <c r="AF183" s="7">
        <v>50</v>
      </c>
      <c r="AG183" s="7" t="s">
        <v>47</v>
      </c>
      <c r="AH183" s="7" t="s">
        <v>51</v>
      </c>
      <c r="AJ183" s="160"/>
      <c r="AK183" s="164">
        <v>70</v>
      </c>
      <c r="AL183" s="164" t="s">
        <v>46</v>
      </c>
      <c r="AM183" s="164" t="s">
        <v>51</v>
      </c>
      <c r="AN183" s="164"/>
      <c r="AO183" s="160"/>
      <c r="AP183" s="164"/>
      <c r="AQ183" s="164"/>
      <c r="AR183" s="164"/>
      <c r="AS183" s="164"/>
      <c r="AT183" s="160"/>
      <c r="AU183" s="165">
        <v>70</v>
      </c>
      <c r="AV183" s="165" t="s">
        <v>47</v>
      </c>
      <c r="AW183" s="165" t="s">
        <v>51</v>
      </c>
      <c r="AX183" s="165"/>
      <c r="AY183" s="160"/>
      <c r="AZ183" s="166"/>
      <c r="BA183" s="166"/>
      <c r="BB183" s="166"/>
      <c r="BC183" s="166"/>
      <c r="BD183" s="160"/>
      <c r="BE183" s="160"/>
      <c r="BF183" s="166"/>
      <c r="BG183" s="166"/>
      <c r="BH183" s="166"/>
      <c r="BI183" s="166"/>
      <c r="BJ183" s="160"/>
      <c r="BK183" s="167">
        <v>70</v>
      </c>
      <c r="BL183" s="167" t="s">
        <v>125</v>
      </c>
      <c r="BM183" s="167" t="s">
        <v>52</v>
      </c>
      <c r="BN183" s="167"/>
      <c r="CK183" s="171"/>
      <c r="CL183" s="171"/>
      <c r="CM183" s="171"/>
      <c r="CN183" s="171"/>
      <c r="CO183" s="160"/>
      <c r="CP183" s="168">
        <v>145</v>
      </c>
      <c r="CQ183" s="168" t="s">
        <v>47</v>
      </c>
      <c r="CR183" s="168" t="s">
        <v>51</v>
      </c>
      <c r="CS183" s="168">
        <v>9</v>
      </c>
      <c r="CT183" s="160"/>
      <c r="CU183" s="169"/>
      <c r="CV183" s="169"/>
      <c r="CW183" s="169"/>
      <c r="CX183" s="169"/>
      <c r="CY183" s="160"/>
      <c r="CZ183" s="170">
        <v>130</v>
      </c>
      <c r="DA183" s="170" t="s">
        <v>125</v>
      </c>
      <c r="DB183" s="170" t="s">
        <v>52</v>
      </c>
      <c r="DC183" s="170"/>
      <c r="DI183" s="160"/>
      <c r="DN183" s="160"/>
    </row>
    <row r="184" spans="2:118" x14ac:dyDescent="0.25">
      <c r="B184" s="168"/>
      <c r="C184" s="168"/>
      <c r="D184" s="168"/>
      <c r="E184" s="168"/>
      <c r="F184" s="160"/>
      <c r="G184" s="159">
        <v>75</v>
      </c>
      <c r="H184" s="159" t="s">
        <v>46</v>
      </c>
      <c r="I184" s="159" t="s">
        <v>51</v>
      </c>
      <c r="J184" s="159"/>
      <c r="K184" s="160"/>
      <c r="L184" s="161">
        <v>112.5</v>
      </c>
      <c r="M184" s="161" t="s">
        <v>47</v>
      </c>
      <c r="N184" s="161" t="s">
        <v>51</v>
      </c>
      <c r="O184" s="161"/>
      <c r="P184" s="160"/>
      <c r="Q184" s="162">
        <v>100</v>
      </c>
      <c r="R184" s="162" t="s">
        <v>125</v>
      </c>
      <c r="S184" s="162" t="s">
        <v>52</v>
      </c>
      <c r="T184" s="162"/>
      <c r="U184" s="160"/>
      <c r="V184" s="163"/>
      <c r="W184" s="163"/>
      <c r="X184" s="163"/>
      <c r="Y184" s="163"/>
      <c r="Z184" s="160"/>
      <c r="AA184" s="163"/>
      <c r="AB184" s="163"/>
      <c r="AC184" s="163"/>
      <c r="AD184" s="163"/>
      <c r="AE184" s="160"/>
      <c r="AF184" s="7">
        <v>50</v>
      </c>
      <c r="AG184" s="7" t="s">
        <v>47</v>
      </c>
      <c r="AH184" s="7" t="s">
        <v>51</v>
      </c>
      <c r="AJ184" s="160"/>
      <c r="AK184" s="164">
        <v>70</v>
      </c>
      <c r="AL184" s="164" t="s">
        <v>46</v>
      </c>
      <c r="AM184" s="164" t="s">
        <v>51</v>
      </c>
      <c r="AN184" s="164"/>
      <c r="AO184" s="160"/>
      <c r="AP184" s="164"/>
      <c r="AQ184" s="164"/>
      <c r="AR184" s="164"/>
      <c r="AS184" s="164"/>
      <c r="AT184" s="160"/>
      <c r="AU184" s="165">
        <v>67.5</v>
      </c>
      <c r="AV184" s="165" t="s">
        <v>47</v>
      </c>
      <c r="AW184" s="165" t="s">
        <v>51</v>
      </c>
      <c r="AX184" s="165"/>
      <c r="AY184" s="160"/>
      <c r="AZ184" s="166"/>
      <c r="BA184" s="166"/>
      <c r="BB184" s="166"/>
      <c r="BC184" s="166"/>
      <c r="BD184" s="160"/>
      <c r="BE184" s="160"/>
      <c r="BF184" s="166"/>
      <c r="BG184" s="166"/>
      <c r="BH184" s="166"/>
      <c r="BI184" s="166"/>
      <c r="BJ184" s="160"/>
      <c r="BK184" s="167">
        <v>70</v>
      </c>
      <c r="BL184" s="167" t="s">
        <v>125</v>
      </c>
      <c r="BM184" s="167" t="s">
        <v>52</v>
      </c>
      <c r="BN184" s="167"/>
      <c r="CK184" s="171"/>
      <c r="CL184" s="171"/>
      <c r="CM184" s="171"/>
      <c r="CN184" s="171"/>
      <c r="CO184" s="160"/>
      <c r="CP184" s="168">
        <v>142.5</v>
      </c>
      <c r="CQ184" s="168" t="s">
        <v>47</v>
      </c>
      <c r="CR184" s="168" t="s">
        <v>51</v>
      </c>
      <c r="CS184" s="168"/>
      <c r="CT184" s="160"/>
      <c r="CU184" s="169"/>
      <c r="CV184" s="169"/>
      <c r="CW184" s="169"/>
      <c r="CX184" s="169"/>
      <c r="CY184" s="160"/>
      <c r="CZ184" s="170">
        <v>130</v>
      </c>
      <c r="DA184" s="170" t="s">
        <v>125</v>
      </c>
      <c r="DB184" s="170" t="s">
        <v>52</v>
      </c>
      <c r="DC184" s="170"/>
      <c r="DI184" s="160"/>
      <c r="DN184" s="160"/>
    </row>
    <row r="185" spans="2:118" x14ac:dyDescent="0.25">
      <c r="B185" s="168"/>
      <c r="C185" s="168"/>
      <c r="D185" s="168"/>
      <c r="E185" s="168"/>
      <c r="F185" s="160"/>
      <c r="G185" s="159">
        <v>75</v>
      </c>
      <c r="H185" s="159" t="s">
        <v>46</v>
      </c>
      <c r="I185" s="159" t="s">
        <v>51</v>
      </c>
      <c r="J185" s="159"/>
      <c r="K185" s="160"/>
      <c r="L185" s="161">
        <v>112.5</v>
      </c>
      <c r="M185" s="161" t="s">
        <v>47</v>
      </c>
      <c r="N185" s="161" t="s">
        <v>51</v>
      </c>
      <c r="O185" s="161"/>
      <c r="P185" s="160"/>
      <c r="Q185" s="162">
        <v>100</v>
      </c>
      <c r="R185" s="162" t="s">
        <v>125</v>
      </c>
      <c r="S185" s="162" t="s">
        <v>52</v>
      </c>
      <c r="T185" s="162"/>
      <c r="U185" s="160"/>
      <c r="V185" s="163"/>
      <c r="W185" s="163"/>
      <c r="X185" s="163"/>
      <c r="Y185" s="163"/>
      <c r="Z185" s="160"/>
      <c r="AA185" s="163"/>
      <c r="AB185" s="163"/>
      <c r="AC185" s="163"/>
      <c r="AD185" s="163"/>
      <c r="AE185" s="160"/>
      <c r="AF185" s="7">
        <v>50</v>
      </c>
      <c r="AG185" s="7" t="s">
        <v>47</v>
      </c>
      <c r="AH185" s="7" t="s">
        <v>51</v>
      </c>
      <c r="AJ185" s="160"/>
      <c r="AK185" s="164">
        <v>70</v>
      </c>
      <c r="AL185" s="164" t="s">
        <v>46</v>
      </c>
      <c r="AM185" s="164" t="s">
        <v>51</v>
      </c>
      <c r="AN185" s="164"/>
      <c r="AO185" s="160"/>
      <c r="AP185" s="164"/>
      <c r="AQ185" s="164"/>
      <c r="AR185" s="164"/>
      <c r="AS185" s="164"/>
      <c r="AT185" s="160"/>
      <c r="AU185" s="165">
        <v>67.5</v>
      </c>
      <c r="AV185" s="165" t="s">
        <v>47</v>
      </c>
      <c r="AW185" s="165" t="s">
        <v>51</v>
      </c>
      <c r="AX185" s="165"/>
      <c r="AY185" s="160"/>
      <c r="AZ185" s="166"/>
      <c r="BA185" s="166"/>
      <c r="BB185" s="166"/>
      <c r="BC185" s="166"/>
      <c r="BD185" s="160"/>
      <c r="BE185" s="160"/>
      <c r="BF185" s="166"/>
      <c r="BG185" s="166"/>
      <c r="BH185" s="166"/>
      <c r="BI185" s="166"/>
      <c r="BJ185" s="160"/>
      <c r="BK185" s="167">
        <v>71</v>
      </c>
      <c r="BL185" s="167" t="s">
        <v>125</v>
      </c>
      <c r="BM185" s="167" t="s">
        <v>52</v>
      </c>
      <c r="BN185" s="167"/>
      <c r="CK185" s="171"/>
      <c r="CL185" s="171"/>
      <c r="CM185" s="171"/>
      <c r="CN185" s="171"/>
      <c r="CO185" s="160"/>
      <c r="CP185" s="168">
        <v>142.5</v>
      </c>
      <c r="CQ185" s="168" t="s">
        <v>47</v>
      </c>
      <c r="CR185" s="168" t="s">
        <v>51</v>
      </c>
      <c r="CS185" s="168"/>
      <c r="CT185" s="160"/>
      <c r="CU185" s="169"/>
      <c r="CV185" s="169"/>
      <c r="CW185" s="169"/>
      <c r="CX185" s="169"/>
      <c r="CY185" s="160"/>
      <c r="CZ185" s="170">
        <v>130</v>
      </c>
      <c r="DA185" s="170" t="s">
        <v>125</v>
      </c>
      <c r="DB185" s="170" t="s">
        <v>52</v>
      </c>
      <c r="DC185" s="170"/>
      <c r="DI185" s="160"/>
      <c r="DN185" s="160"/>
    </row>
    <row r="186" spans="2:118" x14ac:dyDescent="0.25">
      <c r="B186" s="168"/>
      <c r="C186" s="168"/>
      <c r="D186" s="168"/>
      <c r="E186" s="168"/>
      <c r="F186" s="160"/>
      <c r="G186" s="159"/>
      <c r="H186" s="159"/>
      <c r="I186" s="159"/>
      <c r="J186" s="159"/>
      <c r="K186" s="160"/>
      <c r="L186" s="161"/>
      <c r="M186" s="161"/>
      <c r="N186" s="161"/>
      <c r="O186" s="161"/>
      <c r="P186" s="160"/>
      <c r="Q186" s="162"/>
      <c r="R186" s="162"/>
      <c r="S186" s="162"/>
      <c r="T186" s="162"/>
      <c r="U186" s="160"/>
      <c r="V186" s="163"/>
      <c r="W186" s="163"/>
      <c r="X186" s="163"/>
      <c r="Y186" s="163"/>
      <c r="Z186" s="160"/>
      <c r="AA186" s="163"/>
      <c r="AB186" s="163"/>
      <c r="AC186" s="163"/>
      <c r="AD186" s="163"/>
      <c r="AE186" s="160"/>
      <c r="AJ186" s="160"/>
      <c r="AK186" s="164"/>
      <c r="AL186" s="164"/>
      <c r="AM186" s="164"/>
      <c r="AN186" s="164"/>
      <c r="AO186" s="160"/>
      <c r="AP186" s="164"/>
      <c r="AQ186" s="164"/>
      <c r="AR186" s="164"/>
      <c r="AS186" s="164"/>
      <c r="AT186" s="160"/>
      <c r="AU186" s="165"/>
      <c r="AV186" s="165"/>
      <c r="AW186" s="165"/>
      <c r="AX186" s="165"/>
      <c r="AY186" s="160"/>
      <c r="AZ186" s="166"/>
      <c r="BA186" s="166"/>
      <c r="BB186" s="166"/>
      <c r="BC186" s="166"/>
      <c r="BD186" s="160"/>
      <c r="BE186" s="160"/>
      <c r="BF186" s="166"/>
      <c r="BG186" s="166"/>
      <c r="BH186" s="166"/>
      <c r="BI186" s="166"/>
      <c r="BJ186" s="160"/>
      <c r="BK186" s="167"/>
      <c r="BL186" s="167"/>
      <c r="BM186" s="167"/>
      <c r="BN186" s="167"/>
      <c r="CK186" s="171"/>
      <c r="CL186" s="171"/>
      <c r="CM186" s="171"/>
      <c r="CN186" s="171"/>
      <c r="CO186" s="160"/>
      <c r="CP186" s="168"/>
      <c r="CQ186" s="168"/>
      <c r="CR186" s="168"/>
      <c r="CS186" s="168"/>
      <c r="CT186" s="160"/>
      <c r="CU186" s="169"/>
      <c r="CV186" s="169"/>
      <c r="CW186" s="169"/>
      <c r="CX186" s="169"/>
      <c r="CY186" s="160"/>
      <c r="CZ186" s="170"/>
      <c r="DA186" s="170"/>
      <c r="DB186" s="170"/>
      <c r="DC186" s="170"/>
      <c r="DI186" s="160"/>
      <c r="DN186" s="160"/>
    </row>
    <row r="187" spans="2:118" x14ac:dyDescent="0.25">
      <c r="B187" s="168"/>
      <c r="C187" s="168"/>
      <c r="D187" s="168"/>
      <c r="E187" s="168"/>
      <c r="F187" s="160"/>
      <c r="G187" s="159">
        <v>75</v>
      </c>
      <c r="H187" s="159" t="s">
        <v>46</v>
      </c>
      <c r="I187" s="159" t="s">
        <v>50</v>
      </c>
      <c r="J187" s="159"/>
      <c r="K187" s="160"/>
      <c r="L187" s="161">
        <v>132.5</v>
      </c>
      <c r="M187" s="161" t="s">
        <v>124</v>
      </c>
      <c r="N187" s="161" t="s">
        <v>51</v>
      </c>
      <c r="O187" s="161">
        <v>9</v>
      </c>
      <c r="P187" s="160"/>
      <c r="Q187" s="162">
        <v>95</v>
      </c>
      <c r="R187" s="162" t="s">
        <v>125</v>
      </c>
      <c r="S187" s="162" t="s">
        <v>50</v>
      </c>
      <c r="T187" s="162"/>
      <c r="U187" s="160"/>
      <c r="V187" s="163"/>
      <c r="W187" s="163"/>
      <c r="X187" s="163"/>
      <c r="Y187" s="163"/>
      <c r="Z187" s="160"/>
      <c r="AA187" s="163"/>
      <c r="AB187" s="163"/>
      <c r="AC187" s="163"/>
      <c r="AD187" s="163"/>
      <c r="AE187" s="160"/>
      <c r="AF187" s="7">
        <v>55</v>
      </c>
      <c r="AG187" s="7" t="s">
        <v>124</v>
      </c>
      <c r="AH187" s="7" t="s">
        <v>51</v>
      </c>
      <c r="AI187" s="7">
        <v>10</v>
      </c>
      <c r="AJ187" s="160"/>
      <c r="AK187" s="164">
        <v>67.5</v>
      </c>
      <c r="AL187" s="164" t="s">
        <v>46</v>
      </c>
      <c r="AM187" s="164" t="s">
        <v>50</v>
      </c>
      <c r="AN187" s="164"/>
      <c r="AO187" s="160"/>
      <c r="AP187" s="164"/>
      <c r="AQ187" s="164"/>
      <c r="AR187" s="164"/>
      <c r="AS187" s="164"/>
      <c r="AT187" s="160"/>
      <c r="AU187" s="165">
        <v>82.5</v>
      </c>
      <c r="AV187" s="165" t="s">
        <v>124</v>
      </c>
      <c r="AW187" s="165" t="s">
        <v>51</v>
      </c>
      <c r="AX187" s="165">
        <v>10</v>
      </c>
      <c r="AY187" s="160"/>
      <c r="AZ187" s="166"/>
      <c r="BA187" s="166"/>
      <c r="BB187" s="166"/>
      <c r="BC187" s="166"/>
      <c r="BD187" s="160"/>
      <c r="BE187" s="160"/>
      <c r="BF187" s="166"/>
      <c r="BG187" s="166"/>
      <c r="BH187" s="166"/>
      <c r="BI187" s="166"/>
      <c r="BJ187" s="160"/>
      <c r="BK187" s="167">
        <v>65</v>
      </c>
      <c r="BL187" s="167" t="s">
        <v>125</v>
      </c>
      <c r="BM187" s="167" t="s">
        <v>50</v>
      </c>
      <c r="BN187" s="167"/>
      <c r="CK187" s="171"/>
      <c r="CL187" s="171"/>
      <c r="CM187" s="171"/>
      <c r="CN187" s="171"/>
      <c r="CO187" s="160"/>
      <c r="CP187" s="168">
        <v>167.5</v>
      </c>
      <c r="CQ187" s="168" t="s">
        <v>124</v>
      </c>
      <c r="CR187" s="168" t="s">
        <v>51</v>
      </c>
      <c r="CS187" s="168"/>
      <c r="CT187" s="160"/>
      <c r="CU187" s="169"/>
      <c r="CV187" s="169"/>
      <c r="CW187" s="169"/>
      <c r="CX187" s="169"/>
      <c r="CY187" s="160"/>
      <c r="CZ187" s="170">
        <v>117.5</v>
      </c>
      <c r="DA187" s="170" t="s">
        <v>125</v>
      </c>
      <c r="DB187" s="170" t="s">
        <v>50</v>
      </c>
      <c r="DC187" s="170"/>
      <c r="DD187" s="160"/>
      <c r="DI187" s="160"/>
      <c r="DN187" s="160"/>
    </row>
    <row r="188" spans="2:118" x14ac:dyDescent="0.25">
      <c r="B188" s="168"/>
      <c r="C188" s="168"/>
      <c r="D188" s="168"/>
      <c r="E188" s="168"/>
      <c r="F188" s="160"/>
      <c r="G188" s="159">
        <v>80</v>
      </c>
      <c r="H188" s="159" t="s">
        <v>46</v>
      </c>
      <c r="I188" s="159" t="s">
        <v>51</v>
      </c>
      <c r="J188" s="159"/>
      <c r="K188" s="160"/>
      <c r="L188" s="161">
        <v>115</v>
      </c>
      <c r="M188" s="161" t="s">
        <v>47</v>
      </c>
      <c r="N188" s="161" t="s">
        <v>51</v>
      </c>
      <c r="O188" s="161"/>
      <c r="P188" s="160"/>
      <c r="Q188" s="162">
        <v>100</v>
      </c>
      <c r="R188" s="162" t="s">
        <v>125</v>
      </c>
      <c r="S188" s="162" t="s">
        <v>51</v>
      </c>
      <c r="T188" s="162"/>
      <c r="U188" s="160"/>
      <c r="V188" s="163"/>
      <c r="W188" s="163"/>
      <c r="X188" s="163"/>
      <c r="Y188" s="163"/>
      <c r="Z188" s="160"/>
      <c r="AA188" s="163"/>
      <c r="AB188" s="163"/>
      <c r="AC188" s="163"/>
      <c r="AD188" s="163"/>
      <c r="AE188" s="160"/>
      <c r="AF188" s="7">
        <v>51</v>
      </c>
      <c r="AG188" s="7" t="s">
        <v>47</v>
      </c>
      <c r="AH188" s="7" t="s">
        <v>51</v>
      </c>
      <c r="AJ188" s="160"/>
      <c r="AK188" s="164">
        <v>72.5</v>
      </c>
      <c r="AL188" s="164" t="s">
        <v>46</v>
      </c>
      <c r="AM188" s="164" t="s">
        <v>51</v>
      </c>
      <c r="AN188" s="164"/>
      <c r="AO188" s="160"/>
      <c r="AP188" s="164"/>
      <c r="AQ188" s="164"/>
      <c r="AR188" s="164"/>
      <c r="AS188" s="164"/>
      <c r="AT188" s="160"/>
      <c r="AU188" s="165">
        <v>71</v>
      </c>
      <c r="AV188" s="165" t="s">
        <v>47</v>
      </c>
      <c r="AW188" s="165" t="s">
        <v>51</v>
      </c>
      <c r="AX188" s="165"/>
      <c r="AY188" s="160"/>
      <c r="AZ188" s="166"/>
      <c r="BA188" s="166"/>
      <c r="BB188" s="166"/>
      <c r="BC188" s="166"/>
      <c r="BD188" s="160"/>
      <c r="BE188" s="160"/>
      <c r="BF188" s="166"/>
      <c r="BG188" s="166"/>
      <c r="BH188" s="166"/>
      <c r="BI188" s="166"/>
      <c r="BJ188" s="160"/>
      <c r="BK188" s="167">
        <v>70</v>
      </c>
      <c r="BL188" s="167" t="s">
        <v>125</v>
      </c>
      <c r="BM188" s="167" t="s">
        <v>51</v>
      </c>
      <c r="BN188" s="167"/>
      <c r="CK188" s="171"/>
      <c r="CL188" s="171"/>
      <c r="CM188" s="171"/>
      <c r="CN188" s="171"/>
      <c r="CO188" s="160"/>
      <c r="CP188" s="168">
        <v>145</v>
      </c>
      <c r="CQ188" s="168" t="s">
        <v>47</v>
      </c>
      <c r="CR188" s="168" t="s">
        <v>51</v>
      </c>
      <c r="CS188" s="168"/>
      <c r="CT188" s="160"/>
      <c r="CU188" s="169"/>
      <c r="CV188" s="169"/>
      <c r="CW188" s="169"/>
      <c r="CX188" s="169"/>
      <c r="CY188" s="160"/>
      <c r="CZ188" s="170">
        <v>125</v>
      </c>
      <c r="DA188" s="170" t="s">
        <v>125</v>
      </c>
      <c r="DB188" s="170" t="s">
        <v>51</v>
      </c>
      <c r="DC188" s="170"/>
      <c r="DD188" s="160"/>
      <c r="DI188" s="160"/>
      <c r="DN188" s="160"/>
    </row>
    <row r="189" spans="2:118" x14ac:dyDescent="0.25">
      <c r="B189" s="168"/>
      <c r="C189" s="168"/>
      <c r="D189" s="168"/>
      <c r="E189" s="168"/>
      <c r="F189" s="160"/>
      <c r="G189" s="159">
        <v>80</v>
      </c>
      <c r="H189" s="159" t="s">
        <v>46</v>
      </c>
      <c r="I189" s="159" t="s">
        <v>51</v>
      </c>
      <c r="J189" s="159"/>
      <c r="K189" s="160"/>
      <c r="L189" s="161">
        <v>115</v>
      </c>
      <c r="M189" s="161" t="s">
        <v>47</v>
      </c>
      <c r="N189" s="161" t="s">
        <v>51</v>
      </c>
      <c r="O189" s="161"/>
      <c r="P189" s="160"/>
      <c r="Q189" s="162">
        <v>105</v>
      </c>
      <c r="R189" s="162" t="s">
        <v>125</v>
      </c>
      <c r="S189" s="162" t="s">
        <v>52</v>
      </c>
      <c r="T189" s="162"/>
      <c r="U189" s="160"/>
      <c r="V189" s="163"/>
      <c r="W189" s="163"/>
      <c r="X189" s="163"/>
      <c r="Y189" s="163"/>
      <c r="Z189" s="160"/>
      <c r="AA189" s="163"/>
      <c r="AB189" s="163"/>
      <c r="AC189" s="163"/>
      <c r="AD189" s="163"/>
      <c r="AE189" s="160"/>
      <c r="AF189" s="7">
        <v>51</v>
      </c>
      <c r="AG189" s="7" t="s">
        <v>47</v>
      </c>
      <c r="AH189" s="7" t="s">
        <v>51</v>
      </c>
      <c r="AJ189" s="160"/>
      <c r="AK189" s="164">
        <v>72.5</v>
      </c>
      <c r="AL189" s="164" t="s">
        <v>46</v>
      </c>
      <c r="AM189" s="164" t="s">
        <v>51</v>
      </c>
      <c r="AN189" s="164"/>
      <c r="AO189" s="160"/>
      <c r="AP189" s="164"/>
      <c r="AQ189" s="164"/>
      <c r="AR189" s="164"/>
      <c r="AS189" s="164"/>
      <c r="AT189" s="160"/>
      <c r="AU189" s="165">
        <v>71</v>
      </c>
      <c r="AV189" s="165" t="s">
        <v>47</v>
      </c>
      <c r="AW189" s="165" t="s">
        <v>51</v>
      </c>
      <c r="AX189" s="165"/>
      <c r="AY189" s="160"/>
      <c r="AZ189" s="166"/>
      <c r="BA189" s="166"/>
      <c r="BB189" s="166"/>
      <c r="BC189" s="166"/>
      <c r="BD189" s="160"/>
      <c r="BE189" s="160"/>
      <c r="BF189" s="166"/>
      <c r="BG189" s="166"/>
      <c r="BH189" s="166"/>
      <c r="BI189" s="166"/>
      <c r="BJ189" s="160"/>
      <c r="BK189" s="167">
        <v>75</v>
      </c>
      <c r="BL189" s="167" t="s">
        <v>125</v>
      </c>
      <c r="BM189" s="167" t="s">
        <v>52</v>
      </c>
      <c r="BN189" s="167"/>
      <c r="CK189" s="171"/>
      <c r="CL189" s="171"/>
      <c r="CM189" s="171"/>
      <c r="CN189" s="171"/>
      <c r="CO189" s="160"/>
      <c r="CP189" s="168">
        <v>145</v>
      </c>
      <c r="CQ189" s="168" t="s">
        <v>47</v>
      </c>
      <c r="CR189" s="168" t="s">
        <v>51</v>
      </c>
      <c r="CS189" s="168"/>
      <c r="CT189" s="160"/>
      <c r="CU189" s="169"/>
      <c r="CV189" s="169"/>
      <c r="CW189" s="169"/>
      <c r="CX189" s="169"/>
      <c r="CY189" s="160"/>
      <c r="CZ189" s="170">
        <v>132.5</v>
      </c>
      <c r="DA189" s="170" t="s">
        <v>125</v>
      </c>
      <c r="DB189" s="170" t="s">
        <v>52</v>
      </c>
      <c r="DC189" s="170"/>
      <c r="DD189" s="160"/>
      <c r="DI189" s="160"/>
      <c r="DN189" s="160"/>
    </row>
    <row r="190" spans="2:118" x14ac:dyDescent="0.25">
      <c r="B190" s="168"/>
      <c r="C190" s="168"/>
      <c r="D190" s="168"/>
      <c r="E190" s="168"/>
      <c r="F190" s="160"/>
      <c r="G190" s="159">
        <v>80</v>
      </c>
      <c r="H190" s="159" t="s">
        <v>46</v>
      </c>
      <c r="I190" s="159" t="s">
        <v>51</v>
      </c>
      <c r="J190" s="159"/>
      <c r="K190" s="160"/>
      <c r="L190" s="161">
        <v>115</v>
      </c>
      <c r="M190" s="161" t="s">
        <v>47</v>
      </c>
      <c r="N190" s="161" t="s">
        <v>51</v>
      </c>
      <c r="O190" s="161"/>
      <c r="P190" s="160"/>
      <c r="Q190" s="162">
        <v>105</v>
      </c>
      <c r="R190" s="162" t="s">
        <v>125</v>
      </c>
      <c r="S190" s="162" t="s">
        <v>52</v>
      </c>
      <c r="T190" s="162"/>
      <c r="U190" s="160"/>
      <c r="V190" s="163"/>
      <c r="W190" s="163"/>
      <c r="X190" s="163"/>
      <c r="Y190" s="163"/>
      <c r="Z190" s="160"/>
      <c r="AA190" s="163"/>
      <c r="AB190" s="163"/>
      <c r="AC190" s="163"/>
      <c r="AD190" s="163"/>
      <c r="AE190" s="160"/>
      <c r="AF190" s="7">
        <v>50</v>
      </c>
      <c r="AG190" s="7" t="s">
        <v>47</v>
      </c>
      <c r="AH190" s="7" t="s">
        <v>51</v>
      </c>
      <c r="AJ190" s="160"/>
      <c r="AK190" s="164">
        <v>72.5</v>
      </c>
      <c r="AL190" s="164" t="s">
        <v>46</v>
      </c>
      <c r="AM190" s="164" t="s">
        <v>51</v>
      </c>
      <c r="AN190" s="164"/>
      <c r="AO190" s="160"/>
      <c r="AP190" s="164"/>
      <c r="AQ190" s="164"/>
      <c r="AR190" s="164"/>
      <c r="AS190" s="164"/>
      <c r="AT190" s="160"/>
      <c r="AU190" s="165">
        <v>71</v>
      </c>
      <c r="AV190" s="165" t="s">
        <v>47</v>
      </c>
      <c r="AW190" s="165" t="s">
        <v>51</v>
      </c>
      <c r="AX190" s="165"/>
      <c r="AY190" s="160"/>
      <c r="AZ190" s="166"/>
      <c r="BA190" s="166"/>
      <c r="BB190" s="166"/>
      <c r="BC190" s="166"/>
      <c r="BD190" s="160"/>
      <c r="BE190" s="160"/>
      <c r="BF190" s="166"/>
      <c r="BG190" s="166"/>
      <c r="BH190" s="166"/>
      <c r="BI190" s="166"/>
      <c r="BJ190" s="160"/>
      <c r="BK190" s="167">
        <v>75</v>
      </c>
      <c r="BL190" s="167" t="s">
        <v>125</v>
      </c>
      <c r="BM190" s="167" t="s">
        <v>52</v>
      </c>
      <c r="BN190" s="167"/>
      <c r="CK190" s="171"/>
      <c r="CL190" s="171"/>
      <c r="CM190" s="171"/>
      <c r="CN190" s="171"/>
      <c r="CO190" s="160"/>
      <c r="CP190" s="168">
        <v>145</v>
      </c>
      <c r="CQ190" s="168" t="s">
        <v>47</v>
      </c>
      <c r="CR190" s="168" t="s">
        <v>51</v>
      </c>
      <c r="CS190" s="168"/>
      <c r="CT190" s="160"/>
      <c r="CU190" s="169"/>
      <c r="CV190" s="169"/>
      <c r="CW190" s="169"/>
      <c r="CX190" s="169"/>
      <c r="CY190" s="160"/>
      <c r="CZ190" s="170">
        <v>132.5</v>
      </c>
      <c r="DA190" s="170" t="s">
        <v>125</v>
      </c>
      <c r="DB190" s="170" t="s">
        <v>52</v>
      </c>
      <c r="DC190" s="170"/>
      <c r="DD190" s="160"/>
      <c r="DI190" s="160"/>
      <c r="DN190" s="160"/>
    </row>
    <row r="191" spans="2:118" x14ac:dyDescent="0.25">
      <c r="B191" s="168"/>
      <c r="C191" s="168"/>
      <c r="D191" s="168"/>
      <c r="E191" s="168"/>
      <c r="F191" s="160"/>
      <c r="G191" s="159"/>
      <c r="H191" s="159"/>
      <c r="I191" s="159"/>
      <c r="J191" s="159"/>
      <c r="K191" s="160"/>
      <c r="L191" s="161">
        <v>115</v>
      </c>
      <c r="M191" s="161" t="s">
        <v>47</v>
      </c>
      <c r="N191" s="161" t="s">
        <v>51</v>
      </c>
      <c r="O191" s="161"/>
      <c r="P191" s="160"/>
      <c r="Q191" s="162">
        <v>105</v>
      </c>
      <c r="R191" s="162" t="s">
        <v>125</v>
      </c>
      <c r="S191" s="162" t="s">
        <v>52</v>
      </c>
      <c r="T191" s="162"/>
      <c r="U191" s="160"/>
      <c r="V191" s="163"/>
      <c r="W191" s="163"/>
      <c r="X191" s="163"/>
      <c r="Y191" s="163"/>
      <c r="Z191" s="160"/>
      <c r="AA191" s="163"/>
      <c r="AB191" s="163"/>
      <c r="AC191" s="163"/>
      <c r="AD191" s="163"/>
      <c r="AE191" s="160"/>
      <c r="AF191" s="7">
        <v>50</v>
      </c>
      <c r="AG191" s="7" t="s">
        <v>47</v>
      </c>
      <c r="AH191" s="7" t="s">
        <v>51</v>
      </c>
      <c r="AJ191" s="160"/>
      <c r="AK191" s="164"/>
      <c r="AL191" s="164"/>
      <c r="AM191" s="164"/>
      <c r="AN191" s="164"/>
      <c r="AO191" s="160"/>
      <c r="AP191" s="164"/>
      <c r="AQ191" s="164"/>
      <c r="AR191" s="164"/>
      <c r="AS191" s="164"/>
      <c r="AT191" s="160"/>
      <c r="AU191" s="165">
        <v>71</v>
      </c>
      <c r="AV191" s="165" t="s">
        <v>47</v>
      </c>
      <c r="AW191" s="165" t="s">
        <v>51</v>
      </c>
      <c r="AX191" s="165"/>
      <c r="AY191" s="160"/>
      <c r="AZ191" s="166"/>
      <c r="BA191" s="166"/>
      <c r="BB191" s="166"/>
      <c r="BC191" s="166"/>
      <c r="BD191" s="160"/>
      <c r="BE191" s="160"/>
      <c r="BF191" s="166"/>
      <c r="BG191" s="166"/>
      <c r="BH191" s="166"/>
      <c r="BI191" s="166"/>
      <c r="BJ191" s="160"/>
      <c r="BK191" s="167">
        <v>75</v>
      </c>
      <c r="BL191" s="167" t="s">
        <v>125</v>
      </c>
      <c r="BM191" s="167" t="s">
        <v>52</v>
      </c>
      <c r="BN191" s="167"/>
      <c r="CK191" s="171"/>
      <c r="CL191" s="171"/>
      <c r="CM191" s="171"/>
      <c r="CN191" s="171"/>
      <c r="CO191" s="160"/>
      <c r="CP191" s="168">
        <v>145</v>
      </c>
      <c r="CQ191" s="168" t="s">
        <v>47</v>
      </c>
      <c r="CR191" s="168" t="s">
        <v>51</v>
      </c>
      <c r="CS191" s="168"/>
      <c r="CT191" s="160"/>
      <c r="CU191" s="169"/>
      <c r="CV191" s="169"/>
      <c r="CW191" s="169"/>
      <c r="CX191" s="169"/>
      <c r="CY191" s="160"/>
      <c r="CZ191" s="170">
        <v>132.5</v>
      </c>
      <c r="DA191" s="170" t="s">
        <v>125</v>
      </c>
      <c r="DB191" s="170" t="s">
        <v>52</v>
      </c>
      <c r="DC191" s="170"/>
      <c r="DD191" s="160"/>
      <c r="DI191" s="160"/>
      <c r="DN191" s="160"/>
    </row>
    <row r="192" spans="2:118" x14ac:dyDescent="0.25">
      <c r="B192" s="168"/>
      <c r="C192" s="168"/>
      <c r="D192" s="168"/>
      <c r="E192" s="168"/>
      <c r="F192" s="160"/>
      <c r="G192" s="159"/>
      <c r="H192" s="159"/>
      <c r="I192" s="159"/>
      <c r="J192" s="159"/>
      <c r="K192" s="160"/>
      <c r="L192" s="161"/>
      <c r="M192" s="161"/>
      <c r="N192" s="161"/>
      <c r="O192" s="161"/>
      <c r="P192" s="160"/>
      <c r="Q192" s="162"/>
      <c r="R192" s="162"/>
      <c r="S192" s="162"/>
      <c r="T192" s="162"/>
      <c r="U192" s="160"/>
      <c r="V192" s="163"/>
      <c r="W192" s="163"/>
      <c r="X192" s="163"/>
      <c r="Y192" s="163"/>
      <c r="Z192" s="160"/>
      <c r="AA192" s="163"/>
      <c r="AB192" s="163"/>
      <c r="AC192" s="163"/>
      <c r="AD192" s="163"/>
      <c r="AE192" s="160"/>
      <c r="AJ192" s="160"/>
      <c r="AK192" s="164"/>
      <c r="AL192" s="164"/>
      <c r="AM192" s="164"/>
      <c r="AN192" s="164"/>
      <c r="AO192" s="160"/>
      <c r="AP192" s="164"/>
      <c r="AQ192" s="164"/>
      <c r="AR192" s="164"/>
      <c r="AS192" s="164"/>
      <c r="AT192" s="160"/>
      <c r="AU192" s="165"/>
      <c r="AV192" s="165"/>
      <c r="AW192" s="165"/>
      <c r="AX192" s="165"/>
      <c r="AY192" s="160"/>
      <c r="AZ192" s="166"/>
      <c r="BA192" s="166"/>
      <c r="BB192" s="166"/>
      <c r="BC192" s="166"/>
      <c r="BD192" s="160"/>
      <c r="BE192" s="160"/>
      <c r="BF192" s="166"/>
      <c r="BG192" s="166"/>
      <c r="BH192" s="166"/>
      <c r="BI192" s="166"/>
      <c r="BJ192" s="160"/>
      <c r="BK192" s="167"/>
      <c r="BL192" s="167"/>
      <c r="BM192" s="167"/>
      <c r="BN192" s="167"/>
      <c r="CK192" s="171"/>
      <c r="CL192" s="171"/>
      <c r="CM192" s="171"/>
      <c r="CN192" s="171"/>
      <c r="CO192" s="160"/>
      <c r="CP192" s="168"/>
      <c r="CQ192" s="168"/>
      <c r="CR192" s="168"/>
      <c r="CS192" s="168"/>
      <c r="CT192" s="160"/>
      <c r="CU192" s="169"/>
      <c r="CV192" s="169"/>
      <c r="CW192" s="169"/>
      <c r="CX192" s="169"/>
      <c r="CY192" s="160"/>
      <c r="CZ192" s="170"/>
      <c r="DA192" s="170"/>
      <c r="DB192" s="170"/>
      <c r="DC192" s="170"/>
      <c r="DD192" s="160"/>
      <c r="DI192" s="160"/>
      <c r="DN192" s="160"/>
    </row>
    <row r="193" spans="1:122" x14ac:dyDescent="0.25">
      <c r="B193" s="168"/>
      <c r="C193" s="168"/>
      <c r="D193" s="168"/>
      <c r="E193" s="168"/>
      <c r="F193" s="160"/>
      <c r="G193" s="159">
        <v>75</v>
      </c>
      <c r="H193" s="159" t="s">
        <v>162</v>
      </c>
      <c r="I193" s="159" t="s">
        <v>50</v>
      </c>
      <c r="J193" s="159"/>
      <c r="K193" s="160"/>
      <c r="L193" s="161">
        <v>135</v>
      </c>
      <c r="M193" s="161" t="s">
        <v>124</v>
      </c>
      <c r="N193" s="161" t="s">
        <v>51</v>
      </c>
      <c r="O193" s="161">
        <v>9.5</v>
      </c>
      <c r="P193" s="160"/>
      <c r="Q193" s="162">
        <v>92.5</v>
      </c>
      <c r="R193" s="162" t="s">
        <v>45</v>
      </c>
      <c r="S193" s="162" t="s">
        <v>50</v>
      </c>
      <c r="T193" s="162"/>
      <c r="U193" s="160"/>
      <c r="V193" s="163"/>
      <c r="W193" s="163"/>
      <c r="X193" s="163"/>
      <c r="Y193" s="163"/>
      <c r="Z193" s="160"/>
      <c r="AA193" s="163"/>
      <c r="AB193" s="163"/>
      <c r="AC193" s="163"/>
      <c r="AD193" s="163"/>
      <c r="AE193" s="160"/>
      <c r="AF193" s="7">
        <v>55</v>
      </c>
      <c r="AG193" s="7" t="s">
        <v>124</v>
      </c>
      <c r="AH193" s="7" t="s">
        <v>51</v>
      </c>
      <c r="AJ193" s="160"/>
      <c r="AK193" s="164">
        <v>65</v>
      </c>
      <c r="AL193" s="164" t="s">
        <v>162</v>
      </c>
      <c r="AM193" s="164" t="s">
        <v>50</v>
      </c>
      <c r="AN193" s="164"/>
      <c r="AO193" s="160"/>
      <c r="AP193" s="164"/>
      <c r="AQ193" s="164"/>
      <c r="AR193" s="164"/>
      <c r="AS193" s="164"/>
      <c r="AT193" s="160"/>
      <c r="AU193" s="165">
        <v>82.5</v>
      </c>
      <c r="AV193" s="165" t="s">
        <v>124</v>
      </c>
      <c r="AW193" s="165" t="s">
        <v>51</v>
      </c>
      <c r="AX193" s="165"/>
      <c r="AY193" s="160"/>
      <c r="AZ193" s="166"/>
      <c r="BA193" s="166"/>
      <c r="BB193" s="166"/>
      <c r="BC193" s="166"/>
      <c r="BD193" s="160"/>
      <c r="BE193" s="160"/>
      <c r="BF193" s="166"/>
      <c r="BG193" s="166"/>
      <c r="BH193" s="166"/>
      <c r="BI193" s="166"/>
      <c r="BJ193" s="160"/>
      <c r="BK193" s="167">
        <v>65</v>
      </c>
      <c r="BL193" s="167" t="s">
        <v>45</v>
      </c>
      <c r="BM193" s="167" t="s">
        <v>50</v>
      </c>
      <c r="BN193" s="167"/>
      <c r="CK193" s="171"/>
      <c r="CL193" s="171"/>
      <c r="CM193" s="171"/>
      <c r="CN193" s="171"/>
      <c r="CO193" s="160"/>
      <c r="CP193" s="168">
        <v>170</v>
      </c>
      <c r="CQ193" s="168" t="s">
        <v>124</v>
      </c>
      <c r="CR193" s="168" t="s">
        <v>51</v>
      </c>
      <c r="CS193" s="168"/>
      <c r="CT193" s="160"/>
      <c r="CU193" s="169"/>
      <c r="CV193" s="169"/>
      <c r="CW193" s="169"/>
      <c r="CX193" s="169"/>
      <c r="CY193" s="160"/>
      <c r="CZ193" s="170">
        <v>117.5</v>
      </c>
      <c r="DA193" s="170" t="s">
        <v>45</v>
      </c>
      <c r="DB193" s="170" t="s">
        <v>50</v>
      </c>
      <c r="DC193" s="170"/>
      <c r="DI193" s="160"/>
      <c r="DN193" s="160"/>
    </row>
    <row r="194" spans="1:122" x14ac:dyDescent="0.25">
      <c r="B194" s="168"/>
      <c r="C194" s="168"/>
      <c r="D194" s="168"/>
      <c r="E194" s="168"/>
      <c r="F194" s="160"/>
      <c r="G194" s="159">
        <v>80</v>
      </c>
      <c r="H194" s="159" t="s">
        <v>162</v>
      </c>
      <c r="I194" s="159" t="s">
        <v>51</v>
      </c>
      <c r="J194" s="159"/>
      <c r="K194" s="160"/>
      <c r="L194" s="161">
        <v>117.5</v>
      </c>
      <c r="M194" s="161" t="s">
        <v>47</v>
      </c>
      <c r="N194" s="161" t="s">
        <v>51</v>
      </c>
      <c r="O194" s="161"/>
      <c r="P194" s="160"/>
      <c r="Q194" s="162">
        <v>100</v>
      </c>
      <c r="R194" s="162" t="s">
        <v>45</v>
      </c>
      <c r="S194" s="162" t="s">
        <v>51</v>
      </c>
      <c r="T194" s="162"/>
      <c r="U194" s="160"/>
      <c r="V194" s="163"/>
      <c r="W194" s="163"/>
      <c r="X194" s="163"/>
      <c r="Y194" s="163"/>
      <c r="Z194" s="160"/>
      <c r="AA194" s="163"/>
      <c r="AB194" s="163"/>
      <c r="AC194" s="163"/>
      <c r="AD194" s="163"/>
      <c r="AE194" s="160"/>
      <c r="AF194" s="7">
        <v>51</v>
      </c>
      <c r="AG194" s="7" t="s">
        <v>47</v>
      </c>
      <c r="AH194" s="7" t="s">
        <v>51</v>
      </c>
      <c r="AJ194" s="160"/>
      <c r="AK194" s="164">
        <v>67.5</v>
      </c>
      <c r="AL194" s="164" t="s">
        <v>162</v>
      </c>
      <c r="AM194" s="164" t="s">
        <v>51</v>
      </c>
      <c r="AN194" s="164"/>
      <c r="AO194" s="160"/>
      <c r="AP194" s="164"/>
      <c r="AQ194" s="164"/>
      <c r="AR194" s="164"/>
      <c r="AS194" s="164"/>
      <c r="AT194" s="160"/>
      <c r="AU194" s="165">
        <v>72.5</v>
      </c>
      <c r="AV194" s="165" t="s">
        <v>47</v>
      </c>
      <c r="AW194" s="165" t="s">
        <v>51</v>
      </c>
      <c r="AX194" s="165"/>
      <c r="AY194" s="160"/>
      <c r="AZ194" s="166"/>
      <c r="BA194" s="166"/>
      <c r="BB194" s="166"/>
      <c r="BC194" s="166"/>
      <c r="BD194" s="160"/>
      <c r="BE194" s="160"/>
      <c r="BF194" s="166"/>
      <c r="BG194" s="166"/>
      <c r="BH194" s="166"/>
      <c r="BI194" s="166"/>
      <c r="BJ194" s="160"/>
      <c r="BK194" s="167">
        <v>70</v>
      </c>
      <c r="BL194" s="167" t="s">
        <v>45</v>
      </c>
      <c r="BM194" s="167" t="s">
        <v>51</v>
      </c>
      <c r="BN194" s="167"/>
      <c r="CK194" s="171"/>
      <c r="CL194" s="171"/>
      <c r="CM194" s="171"/>
      <c r="CN194" s="171"/>
      <c r="CO194" s="160"/>
      <c r="CP194" s="168">
        <v>147.5</v>
      </c>
      <c r="CQ194" s="168" t="s">
        <v>47</v>
      </c>
      <c r="CR194" s="168" t="s">
        <v>51</v>
      </c>
      <c r="CS194" s="168"/>
      <c r="CT194" s="160"/>
      <c r="CU194" s="169"/>
      <c r="CV194" s="169"/>
      <c r="CW194" s="169"/>
      <c r="CX194" s="169"/>
      <c r="CY194" s="160"/>
      <c r="CZ194" s="170">
        <v>125</v>
      </c>
      <c r="DA194" s="170" t="s">
        <v>45</v>
      </c>
      <c r="DB194" s="170" t="s">
        <v>51</v>
      </c>
      <c r="DC194" s="170"/>
      <c r="DI194" s="160"/>
      <c r="DN194" s="160"/>
    </row>
    <row r="195" spans="1:122" x14ac:dyDescent="0.25">
      <c r="B195" s="168"/>
      <c r="C195" s="168"/>
      <c r="D195" s="168"/>
      <c r="E195" s="168"/>
      <c r="F195" s="160"/>
      <c r="G195" s="159">
        <v>80</v>
      </c>
      <c r="H195" s="159" t="s">
        <v>162</v>
      </c>
      <c r="I195" s="159" t="s">
        <v>52</v>
      </c>
      <c r="J195" s="159"/>
      <c r="K195" s="160"/>
      <c r="L195" s="161">
        <v>117.5</v>
      </c>
      <c r="M195" s="161" t="s">
        <v>47</v>
      </c>
      <c r="N195" s="161" t="s">
        <v>51</v>
      </c>
      <c r="O195" s="161"/>
      <c r="P195" s="160"/>
      <c r="Q195" s="162">
        <v>102.5</v>
      </c>
      <c r="R195" s="162" t="s">
        <v>45</v>
      </c>
      <c r="S195" s="162" t="s">
        <v>52</v>
      </c>
      <c r="T195" s="162"/>
      <c r="U195" s="160"/>
      <c r="V195" s="163"/>
      <c r="W195" s="163"/>
      <c r="X195" s="163"/>
      <c r="Y195" s="163"/>
      <c r="Z195" s="160"/>
      <c r="AA195" s="163"/>
      <c r="AB195" s="163"/>
      <c r="AC195" s="163"/>
      <c r="AD195" s="163"/>
      <c r="AE195" s="160"/>
      <c r="AF195" s="7">
        <v>51</v>
      </c>
      <c r="AG195" s="7" t="s">
        <v>47</v>
      </c>
      <c r="AH195" s="7" t="s">
        <v>51</v>
      </c>
      <c r="AJ195" s="160"/>
      <c r="AK195" s="164">
        <v>70</v>
      </c>
      <c r="AL195" s="164" t="s">
        <v>162</v>
      </c>
      <c r="AM195" s="176" t="s">
        <v>52</v>
      </c>
      <c r="AN195" s="164"/>
      <c r="AO195" s="160"/>
      <c r="AP195" s="164"/>
      <c r="AQ195" s="164"/>
      <c r="AR195" s="176"/>
      <c r="AS195" s="164"/>
      <c r="AT195" s="160"/>
      <c r="AU195" s="165">
        <v>72.5</v>
      </c>
      <c r="AV195" s="165" t="s">
        <v>47</v>
      </c>
      <c r="AW195" s="165" t="s">
        <v>51</v>
      </c>
      <c r="AX195" s="165"/>
      <c r="AY195" s="160"/>
      <c r="AZ195" s="166"/>
      <c r="BA195" s="166"/>
      <c r="BB195" s="166"/>
      <c r="BC195" s="166"/>
      <c r="BD195" s="160"/>
      <c r="BE195" s="160"/>
      <c r="BF195" s="166"/>
      <c r="BG195" s="166"/>
      <c r="BH195" s="166"/>
      <c r="BI195" s="166"/>
      <c r="BJ195" s="160"/>
      <c r="BK195" s="167">
        <v>75</v>
      </c>
      <c r="BL195" s="167" t="s">
        <v>45</v>
      </c>
      <c r="BM195" s="167" t="s">
        <v>52</v>
      </c>
      <c r="BN195" s="167"/>
      <c r="CK195" s="171"/>
      <c r="CL195" s="171"/>
      <c r="CM195" s="171"/>
      <c r="CN195" s="171"/>
      <c r="CO195" s="160"/>
      <c r="CP195" s="168">
        <v>147.5</v>
      </c>
      <c r="CQ195" s="168" t="s">
        <v>47</v>
      </c>
      <c r="CR195" s="168" t="s">
        <v>51</v>
      </c>
      <c r="CS195" s="168"/>
      <c r="CT195" s="160"/>
      <c r="CU195" s="169"/>
      <c r="CV195" s="169"/>
      <c r="CW195" s="169"/>
      <c r="CX195" s="169"/>
      <c r="CY195" s="160"/>
      <c r="CZ195" s="170">
        <v>130</v>
      </c>
      <c r="DA195" s="170" t="s">
        <v>45</v>
      </c>
      <c r="DB195" s="170" t="s">
        <v>52</v>
      </c>
      <c r="DC195" s="170"/>
      <c r="DI195" s="160"/>
      <c r="DN195" s="160"/>
    </row>
    <row r="196" spans="1:122" x14ac:dyDescent="0.25">
      <c r="A196" s="180" t="s">
        <v>252</v>
      </c>
      <c r="B196" s="168"/>
      <c r="C196" s="168"/>
      <c r="D196" s="168"/>
      <c r="E196" s="168"/>
      <c r="F196" s="160"/>
      <c r="G196" s="159"/>
      <c r="H196" s="159"/>
      <c r="I196" s="159"/>
      <c r="J196" s="159"/>
      <c r="K196" s="160"/>
      <c r="L196" s="161"/>
      <c r="M196" s="161"/>
      <c r="N196" s="161"/>
      <c r="O196" s="161"/>
      <c r="P196" s="160"/>
      <c r="Q196" s="162"/>
      <c r="R196" s="162"/>
      <c r="S196" s="162"/>
      <c r="T196" s="162"/>
      <c r="U196" s="160"/>
      <c r="V196" s="163"/>
      <c r="W196" s="163"/>
      <c r="X196" s="163"/>
      <c r="Y196" s="163"/>
      <c r="Z196" s="160"/>
      <c r="AA196" s="163"/>
      <c r="AB196" s="163"/>
      <c r="AC196" s="163"/>
      <c r="AD196" s="163"/>
      <c r="AE196" s="160"/>
      <c r="AJ196" s="160"/>
      <c r="AK196" s="164"/>
      <c r="AL196" s="164"/>
      <c r="AM196" s="164"/>
      <c r="AN196" s="164"/>
      <c r="AO196" s="160"/>
      <c r="AP196" s="164"/>
      <c r="AQ196" s="164"/>
      <c r="AR196" s="164"/>
      <c r="AS196" s="164"/>
      <c r="AT196" s="160"/>
      <c r="AU196" s="165"/>
      <c r="AV196" s="165"/>
      <c r="AW196" s="165"/>
      <c r="AX196" s="165"/>
      <c r="AY196" s="160"/>
      <c r="AZ196" s="184"/>
      <c r="BA196" s="184"/>
      <c r="BB196" s="184"/>
      <c r="BC196" s="184"/>
      <c r="BD196" s="160"/>
      <c r="BE196" s="160"/>
      <c r="BF196" s="184"/>
      <c r="BG196" s="184"/>
      <c r="BH196" s="184"/>
      <c r="BI196" s="184"/>
      <c r="BJ196" s="160"/>
      <c r="BK196" s="167"/>
      <c r="BL196" s="167"/>
      <c r="BM196" s="167"/>
      <c r="BN196" s="167"/>
      <c r="CK196" s="171"/>
      <c r="CL196" s="171"/>
      <c r="CM196" s="171"/>
      <c r="CN196" s="171"/>
      <c r="CO196" s="160"/>
      <c r="CP196" s="168"/>
      <c r="CQ196" s="168"/>
      <c r="CR196" s="168"/>
      <c r="CS196" s="168"/>
      <c r="CT196" s="160"/>
      <c r="CU196" s="169"/>
      <c r="CV196" s="169"/>
      <c r="CW196" s="169"/>
      <c r="CX196" s="169"/>
      <c r="CY196" s="160"/>
      <c r="CZ196" s="170"/>
      <c r="DA196" s="170"/>
      <c r="DB196" s="170"/>
      <c r="DC196" s="170"/>
      <c r="DI196" s="160"/>
      <c r="DL196" s="178"/>
      <c r="DM196" s="178"/>
      <c r="DN196" s="157"/>
      <c r="DO196" s="178"/>
      <c r="DP196" s="178"/>
      <c r="DQ196" s="178"/>
    </row>
    <row r="197" spans="1:122" x14ac:dyDescent="0.25">
      <c r="A197" s="10" t="s">
        <v>251</v>
      </c>
      <c r="L197" s="70">
        <v>105</v>
      </c>
      <c r="M197" s="70" t="s">
        <v>122</v>
      </c>
      <c r="N197" s="70" t="s">
        <v>49</v>
      </c>
      <c r="AA197" s="78">
        <v>85</v>
      </c>
      <c r="AB197" s="78" t="s">
        <v>46</v>
      </c>
      <c r="AC197" s="78" t="s">
        <v>49</v>
      </c>
      <c r="AD197" s="79" t="s">
        <v>62</v>
      </c>
      <c r="AF197" s="7">
        <v>42.5</v>
      </c>
      <c r="AG197" s="7" t="s">
        <v>122</v>
      </c>
      <c r="AH197" s="7" t="s">
        <v>49</v>
      </c>
      <c r="AK197" s="22">
        <v>65</v>
      </c>
      <c r="AL197" s="22" t="s">
        <v>256</v>
      </c>
      <c r="AP197" s="22">
        <v>50</v>
      </c>
      <c r="AR197" s="22" t="s">
        <v>37</v>
      </c>
      <c r="AU197" s="30">
        <v>62.5</v>
      </c>
      <c r="AV197" s="30" t="s">
        <v>122</v>
      </c>
      <c r="AW197" s="30" t="s">
        <v>49</v>
      </c>
      <c r="AZ197" s="184"/>
      <c r="BA197" s="184"/>
      <c r="BB197" s="184"/>
      <c r="BC197" s="184"/>
      <c r="BF197" s="184">
        <v>55</v>
      </c>
      <c r="BG197" s="184" t="s">
        <v>46</v>
      </c>
      <c r="BH197" s="184" t="s">
        <v>49</v>
      </c>
      <c r="BI197" s="184"/>
      <c r="BP197" s="183">
        <v>45</v>
      </c>
      <c r="BQ197" s="183" t="s">
        <v>46</v>
      </c>
      <c r="BR197" s="183" t="s">
        <v>49</v>
      </c>
      <c r="CP197" s="178">
        <v>125</v>
      </c>
      <c r="CQ197" s="178" t="s">
        <v>122</v>
      </c>
      <c r="CR197" s="178" t="s">
        <v>49</v>
      </c>
      <c r="CS197" s="178"/>
      <c r="DI197" s="157"/>
      <c r="DL197" s="178"/>
      <c r="DM197" s="178"/>
      <c r="DN197" s="157"/>
      <c r="DO197" s="178">
        <v>115</v>
      </c>
      <c r="DP197" s="178" t="s">
        <v>46</v>
      </c>
      <c r="DQ197" s="178" t="s">
        <v>49</v>
      </c>
    </row>
    <row r="198" spans="1:122" x14ac:dyDescent="0.25">
      <c r="L198" s="70">
        <v>107.5</v>
      </c>
      <c r="M198" s="70" t="s">
        <v>122</v>
      </c>
      <c r="N198" s="70" t="s">
        <v>50</v>
      </c>
      <c r="AA198" s="78">
        <v>80</v>
      </c>
      <c r="AB198" s="78" t="s">
        <v>46</v>
      </c>
      <c r="AC198" s="78" t="s">
        <v>50</v>
      </c>
      <c r="AF198" s="7">
        <v>45</v>
      </c>
      <c r="AG198" s="7" t="s">
        <v>122</v>
      </c>
      <c r="AH198" s="7" t="s">
        <v>50</v>
      </c>
      <c r="AU198" s="30">
        <v>65</v>
      </c>
      <c r="AV198" s="30" t="s">
        <v>122</v>
      </c>
      <c r="AW198" s="30" t="s">
        <v>50</v>
      </c>
      <c r="AZ198" s="184"/>
      <c r="BA198" s="184"/>
      <c r="BB198" s="184"/>
      <c r="BC198" s="184"/>
      <c r="BF198" s="184">
        <v>60</v>
      </c>
      <c r="BG198" s="184" t="s">
        <v>46</v>
      </c>
      <c r="BH198" s="184" t="s">
        <v>50</v>
      </c>
      <c r="BI198" s="184"/>
      <c r="BP198" s="183">
        <v>50</v>
      </c>
      <c r="BQ198" s="183" t="s">
        <v>46</v>
      </c>
      <c r="BR198" s="183" t="s">
        <v>50</v>
      </c>
      <c r="CP198" s="5">
        <v>132.5</v>
      </c>
      <c r="CQ198" s="5" t="s">
        <v>122</v>
      </c>
      <c r="CR198" s="5" t="s">
        <v>50</v>
      </c>
      <c r="DL198" s="178"/>
      <c r="DM198" s="178"/>
      <c r="DN198" s="157"/>
      <c r="DO198" s="178">
        <v>120</v>
      </c>
      <c r="DP198" s="178" t="s">
        <v>46</v>
      </c>
      <c r="DQ198" s="178" t="s">
        <v>50</v>
      </c>
    </row>
    <row r="199" spans="1:122" x14ac:dyDescent="0.25">
      <c r="L199" s="70">
        <v>110</v>
      </c>
      <c r="M199" s="70" t="s">
        <v>122</v>
      </c>
      <c r="N199" s="161" t="s">
        <v>51</v>
      </c>
      <c r="AA199" s="78">
        <v>82.5</v>
      </c>
      <c r="AB199" s="78" t="s">
        <v>46</v>
      </c>
      <c r="AC199" s="78" t="s">
        <v>51</v>
      </c>
      <c r="AF199" s="7">
        <v>47.5</v>
      </c>
      <c r="AG199" s="7" t="s">
        <v>122</v>
      </c>
      <c r="AH199" s="7" t="s">
        <v>51</v>
      </c>
      <c r="AU199" s="30">
        <v>67.5</v>
      </c>
      <c r="AV199" s="30" t="s">
        <v>122</v>
      </c>
      <c r="AW199" s="30" t="s">
        <v>51</v>
      </c>
      <c r="AZ199" s="184"/>
      <c r="BA199" s="184"/>
      <c r="BB199" s="184"/>
      <c r="BC199" s="184"/>
      <c r="BF199" s="184">
        <v>65</v>
      </c>
      <c r="BG199" s="184" t="s">
        <v>46</v>
      </c>
      <c r="BH199" s="184" t="s">
        <v>51</v>
      </c>
      <c r="BI199" s="184"/>
      <c r="BP199" s="183">
        <v>55</v>
      </c>
      <c r="BQ199" s="183" t="s">
        <v>46</v>
      </c>
      <c r="BR199" s="183" t="s">
        <v>51</v>
      </c>
      <c r="CP199" s="5">
        <v>137.5</v>
      </c>
      <c r="CQ199" s="5" t="s">
        <v>122</v>
      </c>
      <c r="CR199" s="5" t="s">
        <v>51</v>
      </c>
      <c r="DL199" s="178"/>
      <c r="DM199" s="178"/>
      <c r="DN199" s="157"/>
      <c r="DO199" s="178">
        <v>125</v>
      </c>
      <c r="DP199" s="178" t="s">
        <v>46</v>
      </c>
      <c r="DQ199" s="178" t="s">
        <v>51</v>
      </c>
    </row>
    <row r="200" spans="1:122" x14ac:dyDescent="0.25">
      <c r="L200" s="70">
        <v>110</v>
      </c>
      <c r="M200" s="70" t="s">
        <v>122</v>
      </c>
      <c r="N200" s="161" t="s">
        <v>51</v>
      </c>
      <c r="AA200" s="78">
        <v>82.5</v>
      </c>
      <c r="AB200" s="78" t="s">
        <v>46</v>
      </c>
      <c r="AC200" s="78" t="s">
        <v>51</v>
      </c>
      <c r="AF200" s="7">
        <v>47.5</v>
      </c>
      <c r="AG200" s="7" t="s">
        <v>122</v>
      </c>
      <c r="AH200" s="7" t="s">
        <v>51</v>
      </c>
      <c r="AU200" s="30">
        <v>67.5</v>
      </c>
      <c r="AV200" s="30" t="s">
        <v>122</v>
      </c>
      <c r="AW200" s="30" t="s">
        <v>51</v>
      </c>
      <c r="AZ200" s="184"/>
      <c r="BA200" s="184"/>
      <c r="BB200" s="184"/>
      <c r="BC200" s="184"/>
      <c r="BF200" s="184">
        <v>65</v>
      </c>
      <c r="BG200" s="184" t="s">
        <v>46</v>
      </c>
      <c r="BH200" s="184" t="s">
        <v>51</v>
      </c>
      <c r="BI200" s="184"/>
      <c r="BP200" s="183">
        <v>52.5</v>
      </c>
      <c r="BQ200" s="183" t="s">
        <v>46</v>
      </c>
      <c r="BR200" s="183" t="s">
        <v>51</v>
      </c>
      <c r="CP200" s="183">
        <v>137.5</v>
      </c>
      <c r="CQ200" s="5" t="s">
        <v>122</v>
      </c>
      <c r="CR200" s="5" t="s">
        <v>51</v>
      </c>
      <c r="DL200" s="178"/>
      <c r="DM200" s="178"/>
      <c r="DN200" s="157"/>
      <c r="DO200" s="178">
        <v>125</v>
      </c>
      <c r="DP200" s="178" t="s">
        <v>46</v>
      </c>
      <c r="DQ200" s="178" t="s">
        <v>51</v>
      </c>
    </row>
    <row r="201" spans="1:122" x14ac:dyDescent="0.25">
      <c r="AZ201" s="184"/>
      <c r="BA201" s="184"/>
      <c r="BB201" s="184"/>
      <c r="BC201" s="184"/>
      <c r="BF201" s="184"/>
      <c r="BG201" s="184"/>
      <c r="BH201" s="184"/>
      <c r="BI201" s="184"/>
    </row>
    <row r="202" spans="1:122" x14ac:dyDescent="0.25">
      <c r="L202" s="70">
        <v>85</v>
      </c>
      <c r="M202" s="70" t="s">
        <v>257</v>
      </c>
    </row>
    <row r="203" spans="1:122" x14ac:dyDescent="0.25">
      <c r="M203" s="70" t="s">
        <v>125</v>
      </c>
    </row>
    <row r="204" spans="1:122" x14ac:dyDescent="0.25">
      <c r="M204" s="70" t="s">
        <v>125</v>
      </c>
      <c r="AS204" s="108"/>
      <c r="AT204" s="116"/>
      <c r="AU204" s="187"/>
      <c r="AV204" s="187"/>
      <c r="AW204" s="187"/>
      <c r="AX204" s="187"/>
    </row>
    <row r="205" spans="1:122" s="116" customFormat="1" x14ac:dyDescent="0.25">
      <c r="B205" s="191"/>
      <c r="C205" s="191"/>
      <c r="D205" s="191"/>
      <c r="E205" s="191"/>
      <c r="G205" s="192"/>
      <c r="H205" s="192"/>
      <c r="I205" s="192"/>
      <c r="J205" s="192"/>
      <c r="L205" s="193"/>
      <c r="M205" s="193"/>
      <c r="N205" s="193"/>
      <c r="O205" s="193"/>
      <c r="Q205" s="194"/>
      <c r="R205" s="194"/>
      <c r="S205" s="194"/>
      <c r="T205" s="194"/>
      <c r="V205" s="195"/>
      <c r="W205" s="195"/>
      <c r="X205" s="195"/>
      <c r="Y205" s="195"/>
      <c r="AA205" s="195"/>
      <c r="AB205" s="195"/>
      <c r="AC205" s="195"/>
      <c r="AD205" s="195"/>
      <c r="AF205" s="196"/>
      <c r="AG205" s="196"/>
      <c r="AH205" s="196"/>
      <c r="AI205" s="196"/>
      <c r="AK205" s="108"/>
      <c r="AL205" s="108"/>
      <c r="AM205" s="108"/>
      <c r="AN205" s="108"/>
      <c r="AP205" s="108"/>
      <c r="AQ205" s="108"/>
      <c r="AR205" s="108"/>
      <c r="AS205" s="108"/>
      <c r="AU205" s="189">
        <v>65</v>
      </c>
      <c r="AV205" s="189" t="s">
        <v>122</v>
      </c>
      <c r="AW205" s="189" t="s">
        <v>49</v>
      </c>
      <c r="AX205" s="189"/>
      <c r="AZ205" s="197"/>
      <c r="BA205" s="197"/>
      <c r="BB205" s="197"/>
      <c r="BC205" s="197"/>
      <c r="BF205" s="197"/>
      <c r="BG205" s="197"/>
      <c r="BH205" s="197"/>
      <c r="BI205" s="197"/>
      <c r="BK205" s="198"/>
      <c r="BL205" s="198"/>
      <c r="BM205" s="198"/>
      <c r="BN205" s="198"/>
      <c r="BP205" s="191"/>
      <c r="BQ205" s="191"/>
      <c r="BR205" s="191"/>
      <c r="BS205" s="191"/>
      <c r="BV205" s="191"/>
      <c r="BW205" s="191"/>
      <c r="BX205" s="191"/>
      <c r="BY205" s="191"/>
      <c r="CA205" s="191"/>
      <c r="CB205" s="191"/>
      <c r="CC205" s="191"/>
      <c r="CD205" s="191"/>
      <c r="CF205" s="191"/>
      <c r="CG205" s="191"/>
      <c r="CH205" s="191"/>
      <c r="CI205" s="191"/>
      <c r="CK205" s="199"/>
      <c r="CL205" s="199"/>
      <c r="CM205" s="199"/>
      <c r="CN205" s="199"/>
      <c r="CP205" s="191"/>
      <c r="CQ205" s="191"/>
      <c r="CR205" s="191"/>
      <c r="CS205" s="191"/>
      <c r="CU205" s="107"/>
      <c r="CV205" s="107"/>
      <c r="CW205" s="107"/>
      <c r="CX205" s="107"/>
      <c r="CZ205" s="106"/>
      <c r="DA205" s="106"/>
      <c r="DB205" s="106"/>
      <c r="DC205" s="106"/>
      <c r="DE205" s="191"/>
      <c r="DF205" s="191"/>
      <c r="DG205" s="191"/>
      <c r="DH205" s="191"/>
      <c r="DJ205" s="191"/>
      <c r="DK205" s="191"/>
      <c r="DL205" s="191"/>
      <c r="DM205" s="191"/>
      <c r="DO205" s="191"/>
      <c r="DP205" s="191"/>
      <c r="DQ205" s="191"/>
      <c r="DR205" s="191"/>
    </row>
    <row r="206" spans="1:122" s="116" customFormat="1" x14ac:dyDescent="0.25">
      <c r="B206" s="191"/>
      <c r="C206" s="191"/>
      <c r="D206" s="191"/>
      <c r="E206" s="191"/>
      <c r="G206" s="192"/>
      <c r="H206" s="192"/>
      <c r="I206" s="192"/>
      <c r="J206" s="192"/>
      <c r="L206" s="193">
        <v>105</v>
      </c>
      <c r="M206" s="193" t="s">
        <v>122</v>
      </c>
      <c r="N206" s="193" t="s">
        <v>49</v>
      </c>
      <c r="O206" s="193"/>
      <c r="Q206" s="194"/>
      <c r="R206" s="194"/>
      <c r="S206" s="194"/>
      <c r="T206" s="194"/>
      <c r="V206" s="195"/>
      <c r="W206" s="195"/>
      <c r="X206" s="195"/>
      <c r="Y206" s="195"/>
      <c r="AA206" s="195">
        <v>80</v>
      </c>
      <c r="AB206" s="78" t="s">
        <v>46</v>
      </c>
      <c r="AC206" s="78" t="s">
        <v>49</v>
      </c>
      <c r="AD206" s="195"/>
      <c r="AF206" s="196">
        <v>42.5</v>
      </c>
      <c r="AG206" s="196" t="s">
        <v>122</v>
      </c>
      <c r="AH206" s="196" t="s">
        <v>49</v>
      </c>
      <c r="AI206" s="196"/>
      <c r="AK206" s="108">
        <v>67.5</v>
      </c>
      <c r="AL206" s="108" t="s">
        <v>256</v>
      </c>
      <c r="AM206" s="108"/>
      <c r="AN206" s="108"/>
      <c r="AP206" s="108">
        <v>70</v>
      </c>
      <c r="AQ206" s="108" t="s">
        <v>256</v>
      </c>
      <c r="AR206" s="108"/>
      <c r="AS206" s="108"/>
      <c r="AU206" s="189">
        <v>67.5</v>
      </c>
      <c r="AV206" s="189" t="s">
        <v>122</v>
      </c>
      <c r="AW206" s="189" t="s">
        <v>50</v>
      </c>
      <c r="AX206" s="189"/>
      <c r="AZ206" s="197">
        <v>60</v>
      </c>
      <c r="BA206" s="197" t="s">
        <v>257</v>
      </c>
      <c r="BB206" s="197"/>
      <c r="BC206" s="197"/>
      <c r="BF206" s="197">
        <v>57.5</v>
      </c>
      <c r="BG206" s="184" t="s">
        <v>46</v>
      </c>
      <c r="BH206" s="184" t="s">
        <v>49</v>
      </c>
      <c r="BI206" s="197"/>
      <c r="BK206" s="198"/>
      <c r="BL206" s="198"/>
      <c r="BM206" s="198"/>
      <c r="BN206" s="198"/>
      <c r="BP206" s="191">
        <v>47.5</v>
      </c>
      <c r="BQ206" s="190" t="s">
        <v>46</v>
      </c>
      <c r="BR206" s="190" t="s">
        <v>49</v>
      </c>
      <c r="BS206" s="191"/>
      <c r="BV206" s="191"/>
      <c r="BW206" s="191"/>
      <c r="BX206" s="191"/>
      <c r="BY206" s="191"/>
      <c r="CA206" s="191"/>
      <c r="CB206" s="191"/>
      <c r="CC206" s="191"/>
      <c r="CD206" s="191"/>
      <c r="CF206" s="191"/>
      <c r="CG206" s="191"/>
      <c r="CH206" s="191"/>
      <c r="CI206" s="191"/>
      <c r="CK206" s="199"/>
      <c r="CL206" s="199"/>
      <c r="CM206" s="199"/>
      <c r="CN206" s="199"/>
      <c r="CP206" s="191">
        <v>127.5</v>
      </c>
      <c r="CQ206" s="191" t="s">
        <v>122</v>
      </c>
      <c r="CR206" s="191" t="s">
        <v>49</v>
      </c>
      <c r="CS206" s="191"/>
      <c r="CU206" s="107"/>
      <c r="CV206" s="107"/>
      <c r="CW206" s="107"/>
      <c r="CX206" s="107"/>
      <c r="CZ206" s="106"/>
      <c r="DA206" s="106"/>
      <c r="DB206" s="106"/>
      <c r="DC206" s="106"/>
      <c r="DE206" s="191"/>
      <c r="DF206" s="191"/>
      <c r="DG206" s="191"/>
      <c r="DH206" s="191"/>
      <c r="DJ206" s="191"/>
      <c r="DK206" s="191"/>
      <c r="DL206" s="191"/>
      <c r="DM206" s="191"/>
      <c r="DO206" s="191">
        <v>117.5</v>
      </c>
      <c r="DP206" s="178" t="s">
        <v>46</v>
      </c>
      <c r="DQ206" s="178" t="s">
        <v>49</v>
      </c>
      <c r="DR206" s="191"/>
    </row>
    <row r="207" spans="1:122" s="116" customFormat="1" x14ac:dyDescent="0.25">
      <c r="B207" s="191"/>
      <c r="C207" s="191"/>
      <c r="D207" s="191"/>
      <c r="E207" s="191"/>
      <c r="G207" s="192"/>
      <c r="H207" s="192"/>
      <c r="I207" s="192"/>
      <c r="J207" s="192"/>
      <c r="L207" s="193">
        <v>110</v>
      </c>
      <c r="M207" s="193" t="s">
        <v>122</v>
      </c>
      <c r="N207" s="193" t="s">
        <v>50</v>
      </c>
      <c r="O207" s="193"/>
      <c r="Q207" s="194"/>
      <c r="R207" s="194"/>
      <c r="S207" s="194"/>
      <c r="T207" s="194"/>
      <c r="V207" s="195"/>
      <c r="W207" s="195"/>
      <c r="X207" s="195"/>
      <c r="Y207" s="195"/>
      <c r="AA207" s="195">
        <v>82.5</v>
      </c>
      <c r="AB207" s="78" t="s">
        <v>46</v>
      </c>
      <c r="AC207" s="78" t="s">
        <v>50</v>
      </c>
      <c r="AD207" s="195"/>
      <c r="AF207" s="196">
        <v>45</v>
      </c>
      <c r="AG207" s="196" t="s">
        <v>122</v>
      </c>
      <c r="AH207" s="196" t="s">
        <v>50</v>
      </c>
      <c r="AI207" s="196"/>
      <c r="AK207" s="108"/>
      <c r="AL207" s="108" t="s">
        <v>45</v>
      </c>
      <c r="AM207" s="108"/>
      <c r="AN207" s="108"/>
      <c r="AP207" s="108"/>
      <c r="AQ207" s="108" t="s">
        <v>45</v>
      </c>
      <c r="AR207" s="108"/>
      <c r="AS207" s="108"/>
      <c r="AU207" s="189">
        <v>70</v>
      </c>
      <c r="AV207" s="189" t="s">
        <v>122</v>
      </c>
      <c r="AW207" s="189" t="s">
        <v>51</v>
      </c>
      <c r="AX207" s="189"/>
      <c r="AZ207" s="197"/>
      <c r="BA207" s="197" t="s">
        <v>125</v>
      </c>
      <c r="BB207" s="197"/>
      <c r="BC207" s="197"/>
      <c r="BF207" s="197">
        <v>62.5</v>
      </c>
      <c r="BG207" s="184" t="s">
        <v>46</v>
      </c>
      <c r="BH207" s="184" t="s">
        <v>50</v>
      </c>
      <c r="BI207" s="197"/>
      <c r="BK207" s="198"/>
      <c r="BL207" s="198"/>
      <c r="BM207" s="198"/>
      <c r="BN207" s="198"/>
      <c r="BP207" s="191">
        <v>52.5</v>
      </c>
      <c r="BQ207" s="190" t="s">
        <v>46</v>
      </c>
      <c r="BR207" s="190" t="s">
        <v>50</v>
      </c>
      <c r="BS207" s="191"/>
      <c r="BV207" s="191"/>
      <c r="BW207" s="191"/>
      <c r="BX207" s="191"/>
      <c r="BY207" s="191"/>
      <c r="CA207" s="191"/>
      <c r="CB207" s="191"/>
      <c r="CC207" s="191"/>
      <c r="CD207" s="191"/>
      <c r="CF207" s="191"/>
      <c r="CG207" s="191"/>
      <c r="CH207" s="191"/>
      <c r="CI207" s="191"/>
      <c r="CK207" s="199"/>
      <c r="CL207" s="199"/>
      <c r="CM207" s="199"/>
      <c r="CN207" s="199"/>
      <c r="CP207" s="191">
        <v>135</v>
      </c>
      <c r="CQ207" s="191" t="s">
        <v>122</v>
      </c>
      <c r="CR207" s="191" t="s">
        <v>50</v>
      </c>
      <c r="CS207" s="191"/>
      <c r="CU207" s="107"/>
      <c r="CV207" s="107"/>
      <c r="CW207" s="107"/>
      <c r="CX207" s="107"/>
      <c r="CZ207" s="106"/>
      <c r="DA207" s="106"/>
      <c r="DB207" s="106"/>
      <c r="DC207" s="106"/>
      <c r="DE207" s="191"/>
      <c r="DF207" s="191"/>
      <c r="DG207" s="191"/>
      <c r="DH207" s="191"/>
      <c r="DJ207" s="191"/>
      <c r="DK207" s="191"/>
      <c r="DL207" s="191"/>
      <c r="DM207" s="191"/>
      <c r="DO207" s="191">
        <v>122.5</v>
      </c>
      <c r="DP207" s="178" t="s">
        <v>46</v>
      </c>
      <c r="DQ207" s="178" t="s">
        <v>50</v>
      </c>
      <c r="DR207" s="191"/>
    </row>
    <row r="208" spans="1:122" s="116" customFormat="1" x14ac:dyDescent="0.25">
      <c r="B208" s="191"/>
      <c r="C208" s="191"/>
      <c r="D208" s="191"/>
      <c r="E208" s="191"/>
      <c r="G208" s="192"/>
      <c r="H208" s="192"/>
      <c r="I208" s="192"/>
      <c r="J208" s="192"/>
      <c r="L208" s="193">
        <v>110</v>
      </c>
      <c r="M208" s="193" t="s">
        <v>122</v>
      </c>
      <c r="N208" s="193" t="s">
        <v>50</v>
      </c>
      <c r="O208" s="193"/>
      <c r="Q208" s="194"/>
      <c r="R208" s="194"/>
      <c r="S208" s="194"/>
      <c r="T208" s="194"/>
      <c r="V208" s="195"/>
      <c r="W208" s="195"/>
      <c r="X208" s="195"/>
      <c r="Y208" s="195"/>
      <c r="AA208" s="195">
        <v>85</v>
      </c>
      <c r="AB208" s="78" t="s">
        <v>46</v>
      </c>
      <c r="AC208" s="78" t="s">
        <v>51</v>
      </c>
      <c r="AD208" s="195"/>
      <c r="AF208" s="196">
        <v>48.5</v>
      </c>
      <c r="AG208" s="196" t="s">
        <v>122</v>
      </c>
      <c r="AH208" s="196" t="s">
        <v>51</v>
      </c>
      <c r="AI208" s="196"/>
      <c r="AK208" s="108"/>
      <c r="AL208" s="108" t="s">
        <v>45</v>
      </c>
      <c r="AM208" s="108"/>
      <c r="AN208" s="108"/>
      <c r="AP208" s="108"/>
      <c r="AQ208" s="108" t="s">
        <v>47</v>
      </c>
      <c r="AR208" s="108"/>
      <c r="AS208" s="108"/>
      <c r="AU208" s="189">
        <v>70</v>
      </c>
      <c r="AV208" s="189" t="s">
        <v>122</v>
      </c>
      <c r="AW208" s="189" t="s">
        <v>51</v>
      </c>
      <c r="AX208" s="189"/>
      <c r="AZ208" s="197"/>
      <c r="BA208" s="197" t="s">
        <v>125</v>
      </c>
      <c r="BB208" s="197"/>
      <c r="BC208" s="197"/>
      <c r="BF208" s="197">
        <v>67.5</v>
      </c>
      <c r="BG208" s="184" t="s">
        <v>46</v>
      </c>
      <c r="BH208" s="184" t="s">
        <v>51</v>
      </c>
      <c r="BI208" s="197"/>
      <c r="BK208" s="198"/>
      <c r="BL208" s="198"/>
      <c r="BM208" s="198"/>
      <c r="BN208" s="198"/>
      <c r="BP208" s="191">
        <v>55</v>
      </c>
      <c r="BQ208" s="190" t="s">
        <v>46</v>
      </c>
      <c r="BR208" s="190" t="s">
        <v>51</v>
      </c>
      <c r="BS208" s="191"/>
      <c r="BV208" s="191"/>
      <c r="BW208" s="191"/>
      <c r="BX208" s="191"/>
      <c r="BY208" s="191"/>
      <c r="CA208" s="191"/>
      <c r="CB208" s="191"/>
      <c r="CC208" s="191"/>
      <c r="CD208" s="191"/>
      <c r="CF208" s="191"/>
      <c r="CG208" s="191"/>
      <c r="CH208" s="191"/>
      <c r="CI208" s="191"/>
      <c r="CK208" s="199"/>
      <c r="CL208" s="199"/>
      <c r="CM208" s="199"/>
      <c r="CN208" s="199"/>
      <c r="CP208" s="191">
        <v>135</v>
      </c>
      <c r="CQ208" s="191" t="s">
        <v>122</v>
      </c>
      <c r="CR208" s="191" t="s">
        <v>50</v>
      </c>
      <c r="CS208" s="191"/>
      <c r="CU208" s="107"/>
      <c r="CV208" s="107"/>
      <c r="CW208" s="107"/>
      <c r="CX208" s="107"/>
      <c r="CZ208" s="106"/>
      <c r="DA208" s="106"/>
      <c r="DB208" s="106"/>
      <c r="DC208" s="106"/>
      <c r="DE208" s="191"/>
      <c r="DF208" s="191"/>
      <c r="DG208" s="191"/>
      <c r="DH208" s="191"/>
      <c r="DJ208" s="191"/>
      <c r="DK208" s="191"/>
      <c r="DL208" s="191"/>
      <c r="DM208" s="191"/>
      <c r="DO208" s="191">
        <v>127.5</v>
      </c>
      <c r="DP208" s="178" t="s">
        <v>46</v>
      </c>
      <c r="DQ208" s="178" t="s">
        <v>51</v>
      </c>
      <c r="DR208" s="191"/>
    </row>
    <row r="209" spans="2:122" s="116" customFormat="1" x14ac:dyDescent="0.25">
      <c r="B209" s="191"/>
      <c r="C209" s="191"/>
      <c r="D209" s="191"/>
      <c r="E209" s="191"/>
      <c r="G209" s="192"/>
      <c r="H209" s="192"/>
      <c r="I209" s="192"/>
      <c r="J209" s="192"/>
      <c r="L209" s="193">
        <v>112.5</v>
      </c>
      <c r="M209" s="193" t="s">
        <v>122</v>
      </c>
      <c r="N209" s="193" t="s">
        <v>51</v>
      </c>
      <c r="O209" s="193"/>
      <c r="Q209" s="194"/>
      <c r="R209" s="194"/>
      <c r="S209" s="194"/>
      <c r="T209" s="194"/>
      <c r="V209" s="195"/>
      <c r="W209" s="195"/>
      <c r="X209" s="195"/>
      <c r="Y209" s="195"/>
      <c r="AA209" s="195">
        <v>85</v>
      </c>
      <c r="AB209" s="78" t="s">
        <v>46</v>
      </c>
      <c r="AC209" s="78" t="s">
        <v>51</v>
      </c>
      <c r="AD209" s="195"/>
      <c r="AF209" s="196">
        <v>48.5</v>
      </c>
      <c r="AG209" s="196" t="s">
        <v>122</v>
      </c>
      <c r="AH209" s="196" t="s">
        <v>51</v>
      </c>
      <c r="AI209" s="196"/>
      <c r="AK209" s="108"/>
      <c r="AL209" s="108" t="s">
        <v>47</v>
      </c>
      <c r="AM209" s="108"/>
      <c r="AN209" s="108"/>
      <c r="AP209" s="108"/>
      <c r="AQ209" s="108"/>
      <c r="AR209" s="108"/>
      <c r="AS209" s="108"/>
      <c r="AU209" s="189">
        <v>70</v>
      </c>
      <c r="AV209" s="189" t="s">
        <v>122</v>
      </c>
      <c r="AW209" s="189" t="s">
        <v>51</v>
      </c>
      <c r="AX209" s="189"/>
      <c r="AZ209" s="197"/>
      <c r="BA209" s="197" t="s">
        <v>160</v>
      </c>
      <c r="BB209" s="197"/>
      <c r="BC209" s="197"/>
      <c r="BF209" s="197">
        <v>67.5</v>
      </c>
      <c r="BG209" s="184" t="s">
        <v>46</v>
      </c>
      <c r="BH209" s="184" t="s">
        <v>51</v>
      </c>
      <c r="BI209" s="197"/>
      <c r="BK209" s="198"/>
      <c r="BL209" s="198"/>
      <c r="BM209" s="198"/>
      <c r="BN209" s="198"/>
      <c r="BP209" s="191">
        <v>55</v>
      </c>
      <c r="BQ209" s="190" t="s">
        <v>46</v>
      </c>
      <c r="BR209" s="190" t="s">
        <v>51</v>
      </c>
      <c r="BS209" s="191"/>
      <c r="BV209" s="191"/>
      <c r="BW209" s="191"/>
      <c r="BX209" s="191"/>
      <c r="BY209" s="191"/>
      <c r="CA209" s="191"/>
      <c r="CB209" s="191"/>
      <c r="CC209" s="191"/>
      <c r="CD209" s="191"/>
      <c r="CF209" s="191"/>
      <c r="CG209" s="191"/>
      <c r="CH209" s="191"/>
      <c r="CI209" s="191"/>
      <c r="CK209" s="199"/>
      <c r="CL209" s="199"/>
      <c r="CM209" s="199"/>
      <c r="CN209" s="199"/>
      <c r="CP209" s="191">
        <v>140</v>
      </c>
      <c r="CQ209" s="191" t="s">
        <v>122</v>
      </c>
      <c r="CR209" s="191" t="s">
        <v>51</v>
      </c>
      <c r="CS209" s="191"/>
      <c r="CU209" s="107"/>
      <c r="CV209" s="107"/>
      <c r="CW209" s="107"/>
      <c r="CX209" s="107"/>
      <c r="CZ209" s="106"/>
      <c r="DA209" s="106"/>
      <c r="DB209" s="106"/>
      <c r="DC209" s="106"/>
      <c r="DE209" s="191"/>
      <c r="DF209" s="191"/>
      <c r="DG209" s="191"/>
      <c r="DH209" s="191"/>
      <c r="DJ209" s="191"/>
      <c r="DK209" s="191"/>
      <c r="DL209" s="191"/>
      <c r="DM209" s="191"/>
      <c r="DO209" s="191">
        <v>127.5</v>
      </c>
      <c r="DP209" s="178" t="s">
        <v>46</v>
      </c>
      <c r="DQ209" s="178" t="s">
        <v>51</v>
      </c>
      <c r="DR209" s="191"/>
    </row>
    <row r="210" spans="2:122" s="116" customFormat="1" x14ac:dyDescent="0.25">
      <c r="B210" s="191"/>
      <c r="C210" s="191"/>
      <c r="D210" s="191"/>
      <c r="E210" s="191"/>
      <c r="G210" s="192"/>
      <c r="H210" s="192"/>
      <c r="I210" s="192"/>
      <c r="J210" s="192"/>
      <c r="L210" s="193">
        <v>112.5</v>
      </c>
      <c r="M210" s="193" t="s">
        <v>122</v>
      </c>
      <c r="N210" s="193" t="s">
        <v>51</v>
      </c>
      <c r="O210" s="193">
        <v>9</v>
      </c>
      <c r="Q210" s="194"/>
      <c r="R210" s="194"/>
      <c r="S210" s="194"/>
      <c r="T210" s="194"/>
      <c r="V210" s="195"/>
      <c r="W210" s="195"/>
      <c r="X210" s="195"/>
      <c r="Y210" s="195"/>
      <c r="AA210" s="195">
        <v>85</v>
      </c>
      <c r="AB210" s="78" t="s">
        <v>46</v>
      </c>
      <c r="AC210" s="78" t="s">
        <v>51</v>
      </c>
      <c r="AD210" s="195"/>
      <c r="AF210" s="196">
        <v>48.5</v>
      </c>
      <c r="AG210" s="196" t="s">
        <v>122</v>
      </c>
      <c r="AH210" s="196" t="s">
        <v>51</v>
      </c>
      <c r="AI210" s="196"/>
      <c r="AK210" s="108"/>
      <c r="AL210" s="108"/>
      <c r="AM210" s="108"/>
      <c r="AN210" s="108"/>
      <c r="AP210" s="108"/>
      <c r="AQ210" s="108"/>
      <c r="AR210" s="108"/>
      <c r="AS210" s="108"/>
      <c r="AU210" s="189"/>
      <c r="AV210" s="189"/>
      <c r="AW210" s="189"/>
      <c r="AX210" s="189"/>
      <c r="AZ210" s="197"/>
      <c r="BA210" s="197"/>
      <c r="BB210" s="197"/>
      <c r="BC210" s="197"/>
      <c r="BF210" s="197">
        <v>67.5</v>
      </c>
      <c r="BG210" s="184" t="s">
        <v>46</v>
      </c>
      <c r="BH210" s="184" t="s">
        <v>51</v>
      </c>
      <c r="BI210" s="197"/>
      <c r="BK210" s="198"/>
      <c r="BL210" s="198"/>
      <c r="BM210" s="198"/>
      <c r="BN210" s="198"/>
      <c r="BP210" s="191">
        <v>55</v>
      </c>
      <c r="BQ210" s="190" t="s">
        <v>46</v>
      </c>
      <c r="BR210" s="190" t="s">
        <v>51</v>
      </c>
      <c r="BS210" s="191" t="s">
        <v>42</v>
      </c>
      <c r="BV210" s="191"/>
      <c r="BW210" s="191"/>
      <c r="BX210" s="191"/>
      <c r="BY210" s="191"/>
      <c r="CA210" s="191"/>
      <c r="CB210" s="191"/>
      <c r="CC210" s="191"/>
      <c r="CD210" s="191"/>
      <c r="CF210" s="191"/>
      <c r="CG210" s="191"/>
      <c r="CH210" s="191"/>
      <c r="CI210" s="191"/>
      <c r="CK210" s="199"/>
      <c r="CL210" s="199"/>
      <c r="CM210" s="199"/>
      <c r="CN210" s="199"/>
      <c r="CP210" s="191">
        <v>140</v>
      </c>
      <c r="CQ210" s="191" t="s">
        <v>122</v>
      </c>
      <c r="CR210" s="191" t="s">
        <v>51</v>
      </c>
      <c r="CS210" s="191"/>
      <c r="CU210" s="107"/>
      <c r="CV210" s="107"/>
      <c r="CW210" s="107"/>
      <c r="CX210" s="107"/>
      <c r="CZ210" s="106"/>
      <c r="DA210" s="106"/>
      <c r="DB210" s="106"/>
      <c r="DC210" s="106"/>
      <c r="DE210" s="191"/>
      <c r="DF210" s="191"/>
      <c r="DG210" s="191"/>
      <c r="DH210" s="191"/>
      <c r="DJ210" s="191"/>
      <c r="DK210" s="191"/>
      <c r="DL210" s="191"/>
      <c r="DM210" s="191"/>
      <c r="DO210" s="191"/>
      <c r="DP210" s="191"/>
      <c r="DQ210" s="191"/>
      <c r="DR210" s="191"/>
    </row>
    <row r="211" spans="2:122" s="116" customFormat="1" x14ac:dyDescent="0.25">
      <c r="B211" s="191"/>
      <c r="C211" s="191"/>
      <c r="D211" s="191"/>
      <c r="E211" s="191"/>
      <c r="G211" s="192"/>
      <c r="H211" s="192"/>
      <c r="I211" s="192"/>
      <c r="J211" s="192"/>
      <c r="L211" s="193"/>
      <c r="M211" s="193"/>
      <c r="N211" s="193"/>
      <c r="O211" s="193"/>
      <c r="Q211" s="194"/>
      <c r="R211" s="194"/>
      <c r="S211" s="194"/>
      <c r="T211" s="194"/>
      <c r="V211" s="195"/>
      <c r="W211" s="195"/>
      <c r="X211" s="195"/>
      <c r="Y211" s="195"/>
      <c r="AA211" s="195"/>
      <c r="AB211" s="195"/>
      <c r="AC211" s="195"/>
      <c r="AD211" s="195"/>
      <c r="AF211" s="196"/>
      <c r="AG211" s="196"/>
      <c r="AH211" s="196"/>
      <c r="AI211" s="196"/>
      <c r="AK211" s="108"/>
      <c r="AL211" s="108"/>
      <c r="AM211" s="108"/>
      <c r="AN211" s="108"/>
      <c r="AP211" s="108"/>
      <c r="AQ211" s="108"/>
      <c r="AR211" s="108"/>
      <c r="AS211" s="108"/>
      <c r="AU211" s="189"/>
      <c r="AV211" s="189"/>
      <c r="AW211" s="189"/>
      <c r="AX211" s="189"/>
      <c r="AZ211" s="197"/>
      <c r="BA211" s="197"/>
      <c r="BB211" s="197"/>
      <c r="BC211" s="197"/>
      <c r="BF211" s="197"/>
      <c r="BG211" s="197"/>
      <c r="BH211" s="197"/>
      <c r="BI211" s="197"/>
      <c r="BK211" s="198"/>
      <c r="BL211" s="198"/>
      <c r="BM211" s="198"/>
      <c r="BN211" s="198"/>
      <c r="BP211" s="191"/>
      <c r="BQ211" s="191"/>
      <c r="BR211" s="191"/>
      <c r="BS211" s="191"/>
      <c r="BV211" s="191"/>
      <c r="BW211" s="191"/>
      <c r="BX211" s="191"/>
      <c r="BY211" s="191"/>
      <c r="CA211" s="191"/>
      <c r="CB211" s="191"/>
      <c r="CC211" s="191"/>
      <c r="CD211" s="191"/>
      <c r="CF211" s="191"/>
      <c r="CG211" s="191"/>
      <c r="CH211" s="191"/>
      <c r="CI211" s="191"/>
      <c r="CK211" s="199"/>
      <c r="CL211" s="199"/>
      <c r="CM211" s="199"/>
      <c r="CN211" s="199"/>
      <c r="CP211" s="191"/>
      <c r="CQ211" s="191"/>
      <c r="CR211" s="191"/>
      <c r="CS211" s="191"/>
      <c r="CU211" s="107"/>
      <c r="CV211" s="107"/>
      <c r="CW211" s="107"/>
      <c r="CX211" s="107"/>
      <c r="CZ211" s="106"/>
      <c r="DA211" s="106"/>
      <c r="DB211" s="106"/>
      <c r="DC211" s="106"/>
      <c r="DE211" s="191"/>
      <c r="DF211" s="191"/>
      <c r="DG211" s="191"/>
      <c r="DH211" s="191"/>
      <c r="DJ211" s="191"/>
      <c r="DK211" s="191"/>
      <c r="DL211" s="191"/>
      <c r="DM211" s="191"/>
      <c r="DO211" s="191"/>
      <c r="DP211" s="191"/>
      <c r="DQ211" s="191"/>
      <c r="DR211" s="191"/>
    </row>
    <row r="212" spans="2:122" s="116" customFormat="1" x14ac:dyDescent="0.25">
      <c r="B212" s="191"/>
      <c r="C212" s="191"/>
      <c r="D212" s="191"/>
      <c r="E212" s="191"/>
      <c r="G212" s="192"/>
      <c r="H212" s="192"/>
      <c r="I212" s="192"/>
      <c r="J212" s="192"/>
      <c r="L212" s="193">
        <v>85</v>
      </c>
      <c r="M212" s="193" t="s">
        <v>257</v>
      </c>
      <c r="N212" s="193"/>
      <c r="O212" s="193"/>
      <c r="Q212" s="194"/>
      <c r="R212" s="194"/>
      <c r="S212" s="194"/>
      <c r="T212" s="194"/>
      <c r="V212" s="195"/>
      <c r="W212" s="195"/>
      <c r="X212" s="195"/>
      <c r="Y212" s="195"/>
      <c r="AA212" s="195"/>
      <c r="AB212" s="195"/>
      <c r="AC212" s="195"/>
      <c r="AD212" s="195"/>
      <c r="AF212" s="196"/>
      <c r="AG212" s="196"/>
      <c r="AH212" s="196"/>
      <c r="AI212" s="196"/>
      <c r="AK212" s="108"/>
      <c r="AL212" s="108"/>
      <c r="AM212" s="108"/>
      <c r="AN212" s="108"/>
      <c r="AP212" s="108"/>
      <c r="AQ212" s="108"/>
      <c r="AR212" s="108"/>
      <c r="AS212" s="108"/>
      <c r="AU212" s="189"/>
      <c r="AV212" s="189"/>
      <c r="AW212" s="189"/>
      <c r="AX212" s="189"/>
      <c r="AZ212" s="197"/>
      <c r="BA212" s="197"/>
      <c r="BB212" s="197"/>
      <c r="BC212" s="197"/>
      <c r="BF212" s="197"/>
      <c r="BG212" s="197"/>
      <c r="BH212" s="197"/>
      <c r="BI212" s="197"/>
      <c r="BK212" s="198"/>
      <c r="BL212" s="198"/>
      <c r="BM212" s="198"/>
      <c r="BN212" s="198"/>
      <c r="BP212" s="191"/>
      <c r="BQ212" s="191"/>
      <c r="BR212" s="191"/>
      <c r="BS212" s="191"/>
      <c r="BV212" s="191"/>
      <c r="BW212" s="191"/>
      <c r="BX212" s="191"/>
      <c r="BY212" s="191"/>
      <c r="CA212" s="191"/>
      <c r="CB212" s="191"/>
      <c r="CC212" s="191"/>
      <c r="CD212" s="191"/>
      <c r="CF212" s="191"/>
      <c r="CG212" s="191"/>
      <c r="CH212" s="191"/>
      <c r="CI212" s="191"/>
      <c r="CK212" s="199"/>
      <c r="CL212" s="199"/>
      <c r="CM212" s="199"/>
      <c r="CN212" s="199"/>
      <c r="CP212" s="191"/>
      <c r="CQ212" s="191"/>
      <c r="CR212" s="191"/>
      <c r="CS212" s="191"/>
      <c r="CU212" s="107"/>
      <c r="CV212" s="107"/>
      <c r="CW212" s="107"/>
      <c r="CX212" s="107"/>
      <c r="CZ212" s="106"/>
      <c r="DA212" s="106"/>
      <c r="DB212" s="106"/>
      <c r="DC212" s="106"/>
      <c r="DE212" s="191"/>
      <c r="DF212" s="191"/>
      <c r="DG212" s="191"/>
      <c r="DH212" s="191"/>
      <c r="DJ212" s="191"/>
      <c r="DK212" s="191"/>
      <c r="DL212" s="191"/>
      <c r="DM212" s="191"/>
      <c r="DO212" s="191"/>
      <c r="DP212" s="191"/>
      <c r="DQ212" s="191"/>
      <c r="DR212" s="191"/>
    </row>
    <row r="213" spans="2:122" x14ac:dyDescent="0.25">
      <c r="CM213" s="188"/>
      <c r="CN213" s="188"/>
      <c r="CO213" s="157"/>
      <c r="CP213" s="178"/>
      <c r="CQ213" s="178"/>
      <c r="CR213" s="178"/>
      <c r="CS213" s="178"/>
      <c r="CT213" s="157"/>
      <c r="CU213" s="202"/>
    </row>
    <row r="214" spans="2:122" x14ac:dyDescent="0.25">
      <c r="L214" s="193">
        <v>105</v>
      </c>
      <c r="M214" s="193" t="s">
        <v>122</v>
      </c>
      <c r="N214" s="193" t="s">
        <v>49</v>
      </c>
      <c r="AA214" s="78">
        <v>80</v>
      </c>
      <c r="AB214" s="78" t="s">
        <v>46</v>
      </c>
      <c r="AC214" s="78" t="s">
        <v>49</v>
      </c>
      <c r="AF214" s="196">
        <v>42.5</v>
      </c>
      <c r="AG214" s="196" t="s">
        <v>122</v>
      </c>
      <c r="AH214" s="196" t="s">
        <v>49</v>
      </c>
      <c r="AP214" s="22">
        <v>75</v>
      </c>
      <c r="AU214" s="30">
        <v>65</v>
      </c>
      <c r="AV214" s="189" t="s">
        <v>122</v>
      </c>
      <c r="AW214" s="189" t="s">
        <v>49</v>
      </c>
      <c r="AZ214" s="69">
        <v>60</v>
      </c>
      <c r="BA214" s="69" t="s">
        <v>257</v>
      </c>
      <c r="BG214" s="184" t="s">
        <v>46</v>
      </c>
      <c r="BH214" s="184" t="s">
        <v>49</v>
      </c>
      <c r="BP214" s="191">
        <v>47.5</v>
      </c>
      <c r="BQ214" s="204" t="s">
        <v>46</v>
      </c>
      <c r="BR214" s="204" t="s">
        <v>49</v>
      </c>
      <c r="CM214" s="188"/>
      <c r="CN214" s="188"/>
      <c r="CO214" s="157"/>
      <c r="CP214" s="178">
        <v>130</v>
      </c>
      <c r="CQ214" s="178" t="s">
        <v>122</v>
      </c>
      <c r="CR214" s="178" t="s">
        <v>49</v>
      </c>
      <c r="CS214" s="178"/>
      <c r="CT214" s="157"/>
      <c r="CU214" s="202"/>
      <c r="DO214" s="191">
        <v>117.5</v>
      </c>
      <c r="DP214" s="178" t="s">
        <v>46</v>
      </c>
      <c r="DQ214" s="178" t="s">
        <v>49</v>
      </c>
    </row>
    <row r="215" spans="2:122" x14ac:dyDescent="0.25">
      <c r="L215" s="193">
        <v>110</v>
      </c>
      <c r="M215" s="193" t="s">
        <v>122</v>
      </c>
      <c r="N215" s="193" t="s">
        <v>50</v>
      </c>
      <c r="AA215" s="78">
        <v>82.5</v>
      </c>
      <c r="AB215" s="78" t="s">
        <v>46</v>
      </c>
      <c r="AC215" s="78" t="s">
        <v>50</v>
      </c>
      <c r="AF215" s="196" t="s">
        <v>267</v>
      </c>
      <c r="AG215" s="196" t="s">
        <v>122</v>
      </c>
      <c r="AH215" s="196" t="s">
        <v>50</v>
      </c>
      <c r="AQ215" s="22" t="s">
        <v>45</v>
      </c>
      <c r="AU215" s="30">
        <v>70</v>
      </c>
      <c r="AV215" s="189" t="s">
        <v>122</v>
      </c>
      <c r="AW215" s="189" t="s">
        <v>50</v>
      </c>
      <c r="BA215" s="69" t="s">
        <v>47</v>
      </c>
      <c r="BG215" s="184" t="s">
        <v>46</v>
      </c>
      <c r="BH215" s="184" t="s">
        <v>50</v>
      </c>
      <c r="BP215" s="191">
        <v>52.5</v>
      </c>
      <c r="BQ215" s="204" t="s">
        <v>46</v>
      </c>
      <c r="BR215" s="204" t="s">
        <v>50</v>
      </c>
      <c r="CM215" s="188"/>
      <c r="CN215" s="188"/>
      <c r="CO215" s="157"/>
      <c r="CP215" s="178">
        <v>137.5</v>
      </c>
      <c r="CQ215" s="178" t="s">
        <v>122</v>
      </c>
      <c r="CR215" s="178" t="s">
        <v>50</v>
      </c>
      <c r="CS215" s="178"/>
      <c r="CT215" s="157"/>
      <c r="CU215" s="202"/>
      <c r="DO215" s="191">
        <v>122.5</v>
      </c>
      <c r="DP215" s="178" t="s">
        <v>46</v>
      </c>
      <c r="DQ215" s="178" t="s">
        <v>50</v>
      </c>
    </row>
    <row r="216" spans="2:122" x14ac:dyDescent="0.25">
      <c r="L216" s="193">
        <v>110</v>
      </c>
      <c r="M216" s="193" t="s">
        <v>122</v>
      </c>
      <c r="N216" s="193" t="s">
        <v>50</v>
      </c>
      <c r="AA216" s="78">
        <v>87.5</v>
      </c>
      <c r="AB216" s="78" t="s">
        <v>46</v>
      </c>
      <c r="AC216" s="78" t="s">
        <v>51</v>
      </c>
      <c r="AF216" s="196">
        <v>50</v>
      </c>
      <c r="AG216" s="196" t="s">
        <v>122</v>
      </c>
      <c r="AH216" s="196" t="s">
        <v>51</v>
      </c>
      <c r="AQ216" s="22" t="s">
        <v>45</v>
      </c>
      <c r="AU216" s="30">
        <v>71</v>
      </c>
      <c r="AV216" s="189" t="s">
        <v>122</v>
      </c>
      <c r="AW216" s="189" t="s">
        <v>51</v>
      </c>
      <c r="BA216" s="69" t="s">
        <v>47</v>
      </c>
      <c r="BG216" s="184" t="s">
        <v>46</v>
      </c>
      <c r="BH216" s="184" t="s">
        <v>51</v>
      </c>
      <c r="BP216" s="191">
        <v>52.5</v>
      </c>
      <c r="BQ216" s="204" t="s">
        <v>46</v>
      </c>
      <c r="BR216" s="204" t="s">
        <v>51</v>
      </c>
      <c r="CM216" s="188"/>
      <c r="CN216" s="188"/>
      <c r="CO216" s="157"/>
      <c r="CP216" s="178">
        <v>137.5</v>
      </c>
      <c r="CQ216" s="178" t="s">
        <v>122</v>
      </c>
      <c r="CR216" s="178" t="s">
        <v>50</v>
      </c>
      <c r="CS216" s="178"/>
      <c r="CT216" s="157"/>
      <c r="CU216" s="202"/>
      <c r="DO216" s="191">
        <v>127.5</v>
      </c>
      <c r="DP216" s="178" t="s">
        <v>46</v>
      </c>
      <c r="DQ216" s="178" t="s">
        <v>51</v>
      </c>
    </row>
    <row r="217" spans="2:122" x14ac:dyDescent="0.25">
      <c r="L217" s="193">
        <v>112.5</v>
      </c>
      <c r="M217" s="193" t="s">
        <v>122</v>
      </c>
      <c r="N217" s="193" t="s">
        <v>51</v>
      </c>
      <c r="AA217" s="78">
        <v>87.5</v>
      </c>
      <c r="AB217" s="78" t="s">
        <v>46</v>
      </c>
      <c r="AC217" s="78" t="s">
        <v>51</v>
      </c>
      <c r="AF217" s="196">
        <v>50</v>
      </c>
      <c r="AG217" s="196" t="s">
        <v>122</v>
      </c>
      <c r="AH217" s="196" t="s">
        <v>51</v>
      </c>
      <c r="AQ217" s="22" t="s">
        <v>47</v>
      </c>
      <c r="AU217" s="30">
        <v>70</v>
      </c>
      <c r="AV217" s="189" t="s">
        <v>122</v>
      </c>
      <c r="AW217" s="189" t="s">
        <v>51</v>
      </c>
      <c r="BA217" s="69" t="s">
        <v>125</v>
      </c>
      <c r="BG217" s="184" t="s">
        <v>46</v>
      </c>
      <c r="BH217" s="184" t="s">
        <v>51</v>
      </c>
      <c r="BP217" s="191">
        <v>50</v>
      </c>
      <c r="BQ217" s="204" t="s">
        <v>46</v>
      </c>
      <c r="BR217" s="204" t="s">
        <v>51</v>
      </c>
      <c r="CM217" s="188"/>
      <c r="CN217" s="188"/>
      <c r="CO217" s="157"/>
      <c r="CP217" s="178">
        <v>142.5</v>
      </c>
      <c r="CQ217" s="178" t="s">
        <v>122</v>
      </c>
      <c r="CR217" s="178" t="s">
        <v>51</v>
      </c>
      <c r="CS217" s="178"/>
      <c r="CT217" s="157"/>
      <c r="CU217" s="202"/>
      <c r="DO217" s="191">
        <v>127.5</v>
      </c>
      <c r="DP217" s="178" t="s">
        <v>46</v>
      </c>
      <c r="DQ217" s="178" t="s">
        <v>51</v>
      </c>
    </row>
    <row r="218" spans="2:122" x14ac:dyDescent="0.25">
      <c r="L218" s="193">
        <v>112.5</v>
      </c>
      <c r="M218" s="193" t="s">
        <v>122</v>
      </c>
      <c r="N218" s="193" t="s">
        <v>51</v>
      </c>
      <c r="AA218" s="78">
        <v>87.5</v>
      </c>
      <c r="AB218" s="78" t="s">
        <v>46</v>
      </c>
      <c r="AC218" s="78" t="s">
        <v>51</v>
      </c>
      <c r="AF218" s="196">
        <v>50</v>
      </c>
      <c r="AG218" s="196" t="s">
        <v>122</v>
      </c>
      <c r="AH218" s="196" t="s">
        <v>51</v>
      </c>
      <c r="AI218" s="7" t="s">
        <v>42</v>
      </c>
      <c r="AU218" s="30">
        <v>70</v>
      </c>
      <c r="AV218" s="189" t="s">
        <v>122</v>
      </c>
      <c r="AW218" s="189" t="s">
        <v>51</v>
      </c>
      <c r="BG218" s="184" t="s">
        <v>46</v>
      </c>
      <c r="BH218" s="184" t="s">
        <v>51</v>
      </c>
      <c r="BP218" s="191">
        <v>52.5</v>
      </c>
      <c r="BQ218" s="204" t="s">
        <v>46</v>
      </c>
      <c r="BR218" s="204" t="s">
        <v>51</v>
      </c>
      <c r="CM218" s="188"/>
      <c r="CN218" s="188"/>
      <c r="CO218" s="157"/>
      <c r="CP218" s="178">
        <v>142.5</v>
      </c>
      <c r="CQ218" s="178" t="s">
        <v>122</v>
      </c>
      <c r="CR218" s="178" t="s">
        <v>51</v>
      </c>
      <c r="CS218" s="178">
        <v>9</v>
      </c>
      <c r="CT218" s="157"/>
      <c r="CU218" s="202"/>
      <c r="DO218" s="191">
        <v>127.5</v>
      </c>
      <c r="DP218" s="178" t="s">
        <v>46</v>
      </c>
      <c r="DQ218" s="178" t="s">
        <v>51</v>
      </c>
    </row>
    <row r="219" spans="2:122" x14ac:dyDescent="0.25">
      <c r="CM219" s="188"/>
      <c r="CN219" s="188"/>
      <c r="CO219" s="157"/>
      <c r="CP219" s="178"/>
      <c r="CQ219" s="178"/>
      <c r="CR219" s="178"/>
      <c r="CS219" s="178"/>
      <c r="CT219" s="157"/>
      <c r="CU219" s="202"/>
    </row>
    <row r="220" spans="2:122" x14ac:dyDescent="0.25">
      <c r="L220" s="193">
        <v>85</v>
      </c>
      <c r="M220" s="70" t="s">
        <v>270</v>
      </c>
      <c r="CM220" s="188"/>
      <c r="CN220" s="188"/>
      <c r="CO220" s="157"/>
      <c r="CP220" s="178"/>
      <c r="CQ220" s="178"/>
      <c r="CR220" s="178"/>
      <c r="CS220" s="178"/>
      <c r="CT220" s="157"/>
      <c r="CU220" s="202"/>
    </row>
    <row r="221" spans="2:122" x14ac:dyDescent="0.25">
      <c r="M221" s="70" t="s">
        <v>45</v>
      </c>
      <c r="CM221" s="188"/>
      <c r="CN221" s="188"/>
      <c r="CO221" s="157"/>
      <c r="CP221" s="178"/>
      <c r="CQ221" s="178"/>
      <c r="CR221" s="178"/>
      <c r="CS221" s="178"/>
      <c r="CT221" s="157"/>
      <c r="CU221" s="202"/>
    </row>
    <row r="222" spans="2:122" x14ac:dyDescent="0.25">
      <c r="M222" s="70" t="s">
        <v>45</v>
      </c>
    </row>
    <row r="223" spans="2:122" x14ac:dyDescent="0.25">
      <c r="M223" s="70" t="s">
        <v>45</v>
      </c>
    </row>
    <row r="224" spans="2:122" x14ac:dyDescent="0.25">
      <c r="M224" s="70" t="s">
        <v>47</v>
      </c>
    </row>
    <row r="226" spans="12:121" x14ac:dyDescent="0.25">
      <c r="L226" s="70">
        <v>102.5</v>
      </c>
      <c r="M226" s="193" t="s">
        <v>122</v>
      </c>
      <c r="N226" s="193" t="s">
        <v>49</v>
      </c>
      <c r="AA226" s="78">
        <v>80</v>
      </c>
      <c r="AB226" s="78" t="s">
        <v>46</v>
      </c>
      <c r="AC226" s="78" t="s">
        <v>49</v>
      </c>
      <c r="AF226" s="7">
        <v>43.5</v>
      </c>
      <c r="AG226" s="196" t="s">
        <v>122</v>
      </c>
      <c r="AH226" s="196" t="s">
        <v>49</v>
      </c>
      <c r="AP226" s="22">
        <v>80</v>
      </c>
      <c r="AQ226" s="22" t="s">
        <v>270</v>
      </c>
      <c r="AU226" s="30">
        <v>65</v>
      </c>
      <c r="AV226" s="30" t="s">
        <v>122</v>
      </c>
      <c r="AW226" s="30" t="s">
        <v>49</v>
      </c>
      <c r="AZ226" s="69">
        <v>60</v>
      </c>
      <c r="BA226" s="69" t="s">
        <v>270</v>
      </c>
      <c r="BF226" s="69">
        <v>60</v>
      </c>
      <c r="BG226" s="184" t="s">
        <v>46</v>
      </c>
      <c r="BH226" s="184" t="s">
        <v>49</v>
      </c>
      <c r="BP226" s="183">
        <v>47.5</v>
      </c>
      <c r="BQ226" s="208" t="s">
        <v>46</v>
      </c>
      <c r="BR226" s="208" t="s">
        <v>49</v>
      </c>
      <c r="CP226" s="5">
        <v>130</v>
      </c>
      <c r="CQ226" s="178" t="s">
        <v>122</v>
      </c>
      <c r="CR226" s="178" t="s">
        <v>49</v>
      </c>
      <c r="DO226" s="183">
        <v>120</v>
      </c>
      <c r="DP226" s="183" t="s">
        <v>46</v>
      </c>
      <c r="DQ226" s="183" t="s">
        <v>49</v>
      </c>
    </row>
    <row r="227" spans="12:121" x14ac:dyDescent="0.25">
      <c r="L227" s="70">
        <v>107.5</v>
      </c>
      <c r="M227" s="193" t="s">
        <v>122</v>
      </c>
      <c r="N227" s="193" t="s">
        <v>50</v>
      </c>
      <c r="AA227" s="78">
        <v>85</v>
      </c>
      <c r="AB227" s="78" t="s">
        <v>46</v>
      </c>
      <c r="AC227" s="78" t="s">
        <v>50</v>
      </c>
      <c r="AF227" s="196" t="s">
        <v>267</v>
      </c>
      <c r="AG227" s="196" t="s">
        <v>122</v>
      </c>
      <c r="AH227" s="196" t="s">
        <v>50</v>
      </c>
      <c r="AQ227" s="22" t="s">
        <v>45</v>
      </c>
      <c r="AU227" s="30">
        <v>67.5</v>
      </c>
      <c r="AV227" s="30" t="s">
        <v>122</v>
      </c>
      <c r="AW227" s="30" t="s">
        <v>50</v>
      </c>
      <c r="BA227" s="69" t="s">
        <v>45</v>
      </c>
      <c r="BF227" s="69">
        <v>65</v>
      </c>
      <c r="BG227" s="184" t="s">
        <v>46</v>
      </c>
      <c r="BH227" s="184" t="s">
        <v>50</v>
      </c>
      <c r="BP227" s="183">
        <v>52.5</v>
      </c>
      <c r="BQ227" s="208" t="s">
        <v>46</v>
      </c>
      <c r="BR227" s="208" t="s">
        <v>50</v>
      </c>
      <c r="CP227" s="5">
        <v>132.5</v>
      </c>
      <c r="CQ227" s="178" t="s">
        <v>122</v>
      </c>
      <c r="CR227" s="178" t="s">
        <v>50</v>
      </c>
      <c r="DO227" s="183">
        <v>125</v>
      </c>
      <c r="DP227" s="183" t="s">
        <v>46</v>
      </c>
      <c r="DQ227" s="183" t="s">
        <v>50</v>
      </c>
    </row>
    <row r="228" spans="12:121" x14ac:dyDescent="0.25">
      <c r="L228" s="70">
        <v>107.5</v>
      </c>
      <c r="M228" s="193" t="s">
        <v>122</v>
      </c>
      <c r="N228" s="193" t="s">
        <v>50</v>
      </c>
      <c r="AA228" s="78">
        <v>90</v>
      </c>
      <c r="AB228" s="78" t="s">
        <v>46</v>
      </c>
      <c r="AC228" s="78" t="s">
        <v>51</v>
      </c>
      <c r="AF228" s="196" t="s">
        <v>267</v>
      </c>
      <c r="AG228" s="196" t="s">
        <v>122</v>
      </c>
      <c r="AH228" s="196" t="s">
        <v>50</v>
      </c>
      <c r="AQ228" s="22" t="s">
        <v>125</v>
      </c>
      <c r="AU228" s="30">
        <v>67.5</v>
      </c>
      <c r="AV228" s="30" t="s">
        <v>122</v>
      </c>
      <c r="AW228" s="30" t="s">
        <v>50</v>
      </c>
      <c r="BA228" s="69" t="s">
        <v>47</v>
      </c>
      <c r="BF228" s="69">
        <v>65</v>
      </c>
      <c r="BG228" s="184" t="s">
        <v>46</v>
      </c>
      <c r="BH228" s="184" t="s">
        <v>51</v>
      </c>
      <c r="BP228" s="183">
        <v>55</v>
      </c>
      <c r="BQ228" s="208" t="s">
        <v>46</v>
      </c>
      <c r="BR228" s="208" t="s">
        <v>51</v>
      </c>
      <c r="CP228" s="5">
        <v>132.5</v>
      </c>
      <c r="CQ228" s="178" t="s">
        <v>122</v>
      </c>
      <c r="CR228" s="178" t="s">
        <v>50</v>
      </c>
      <c r="DO228" s="183">
        <v>125</v>
      </c>
      <c r="DP228" s="183" t="s">
        <v>46</v>
      </c>
      <c r="DQ228" s="183" t="s">
        <v>51</v>
      </c>
    </row>
    <row r="229" spans="12:121" x14ac:dyDescent="0.25">
      <c r="L229" s="70">
        <v>105</v>
      </c>
      <c r="M229" s="193" t="s">
        <v>122</v>
      </c>
      <c r="N229" s="193" t="s">
        <v>50</v>
      </c>
      <c r="AA229" s="78">
        <v>90</v>
      </c>
      <c r="AB229" s="78" t="s">
        <v>46</v>
      </c>
      <c r="AC229" s="78" t="s">
        <v>51</v>
      </c>
      <c r="AF229" s="196" t="s">
        <v>273</v>
      </c>
      <c r="AG229" s="196" t="s">
        <v>122</v>
      </c>
      <c r="AH229" s="196" t="s">
        <v>51</v>
      </c>
      <c r="AU229" s="30">
        <v>70</v>
      </c>
      <c r="AV229" s="30" t="s">
        <v>122</v>
      </c>
      <c r="AW229" s="30" t="s">
        <v>51</v>
      </c>
      <c r="BA229" s="69" t="s">
        <v>125</v>
      </c>
      <c r="BF229" s="69">
        <v>65</v>
      </c>
      <c r="BG229" s="184" t="s">
        <v>46</v>
      </c>
      <c r="BH229" s="184" t="s">
        <v>51</v>
      </c>
      <c r="BP229" s="183">
        <v>52.5</v>
      </c>
      <c r="BQ229" s="208" t="s">
        <v>46</v>
      </c>
      <c r="BR229" s="208" t="s">
        <v>51</v>
      </c>
      <c r="CP229" s="5">
        <v>132.5</v>
      </c>
      <c r="CQ229" s="178" t="s">
        <v>122</v>
      </c>
      <c r="CR229" s="178" t="s">
        <v>50</v>
      </c>
      <c r="DO229" s="183">
        <v>125</v>
      </c>
      <c r="DP229" s="183" t="s">
        <v>46</v>
      </c>
      <c r="DQ229" s="183" t="s">
        <v>51</v>
      </c>
    </row>
    <row r="230" spans="12:121" x14ac:dyDescent="0.25">
      <c r="L230" s="70">
        <v>105</v>
      </c>
      <c r="M230" s="193" t="s">
        <v>122</v>
      </c>
      <c r="N230" s="193" t="s">
        <v>51</v>
      </c>
      <c r="AA230" s="78">
        <v>90</v>
      </c>
      <c r="AB230" s="78" t="s">
        <v>46</v>
      </c>
      <c r="AC230" s="78" t="s">
        <v>51</v>
      </c>
      <c r="AF230" s="7">
        <v>47.5</v>
      </c>
      <c r="AG230" s="196" t="s">
        <v>122</v>
      </c>
      <c r="AH230" s="196" t="s">
        <v>51</v>
      </c>
      <c r="AU230" s="30">
        <v>67.5</v>
      </c>
      <c r="AV230" s="30" t="s">
        <v>122</v>
      </c>
      <c r="AW230" s="30" t="s">
        <v>51</v>
      </c>
      <c r="BF230" s="69">
        <v>65</v>
      </c>
      <c r="BG230" s="184" t="s">
        <v>46</v>
      </c>
      <c r="BH230" s="184" t="s">
        <v>51</v>
      </c>
      <c r="BP230" s="228">
        <v>52.5</v>
      </c>
      <c r="BQ230" s="208" t="s">
        <v>46</v>
      </c>
      <c r="BR230" s="208" t="s">
        <v>51</v>
      </c>
      <c r="CP230" s="5">
        <v>135</v>
      </c>
      <c r="CQ230" s="178" t="s">
        <v>122</v>
      </c>
      <c r="CR230" s="178" t="s">
        <v>51</v>
      </c>
      <c r="DP230" s="183" t="s">
        <v>46</v>
      </c>
      <c r="DQ230" s="183" t="s">
        <v>51</v>
      </c>
    </row>
    <row r="231" spans="12:121" x14ac:dyDescent="0.25">
      <c r="L231" s="70">
        <v>102.5</v>
      </c>
      <c r="M231" s="193" t="s">
        <v>122</v>
      </c>
      <c r="N231" s="193" t="s">
        <v>51</v>
      </c>
      <c r="AF231" s="7">
        <v>47.5</v>
      </c>
      <c r="AG231" s="196" t="s">
        <v>122</v>
      </c>
      <c r="AH231" s="196" t="s">
        <v>51</v>
      </c>
      <c r="AU231" s="30">
        <v>67.5</v>
      </c>
      <c r="AV231" s="30" t="s">
        <v>122</v>
      </c>
      <c r="AW231" s="30" t="s">
        <v>51</v>
      </c>
      <c r="CP231" s="205">
        <v>135</v>
      </c>
      <c r="CQ231" s="178" t="s">
        <v>122</v>
      </c>
      <c r="CR231" s="178" t="s">
        <v>51</v>
      </c>
    </row>
    <row r="232" spans="12:121" x14ac:dyDescent="0.25">
      <c r="L232" s="70">
        <v>102.5</v>
      </c>
      <c r="M232" s="193" t="s">
        <v>122</v>
      </c>
      <c r="N232" s="193" t="s">
        <v>51</v>
      </c>
      <c r="CP232" s="5">
        <v>135</v>
      </c>
      <c r="CQ232" s="178" t="s">
        <v>122</v>
      </c>
      <c r="CR232" s="178" t="s">
        <v>51</v>
      </c>
    </row>
    <row r="234" spans="12:121" x14ac:dyDescent="0.25">
      <c r="L234" s="70">
        <v>87.5</v>
      </c>
    </row>
  </sheetData>
  <mergeCells count="24">
    <mergeCell ref="AA1:AD1"/>
    <mergeCell ref="DJ1:DM1"/>
    <mergeCell ref="CA1:CD1"/>
    <mergeCell ref="BV1:BY1"/>
    <mergeCell ref="DE1:DH1"/>
    <mergeCell ref="CK1:CN1"/>
    <mergeCell ref="CZ1:DC1"/>
    <mergeCell ref="AZ1:BC1"/>
    <mergeCell ref="DO1:DR1"/>
    <mergeCell ref="BP1:BS1"/>
    <mergeCell ref="B1:E1"/>
    <mergeCell ref="CU1:CX1"/>
    <mergeCell ref="AF1:AI1"/>
    <mergeCell ref="AK1:AN1"/>
    <mergeCell ref="L1:O1"/>
    <mergeCell ref="BK1:BN1"/>
    <mergeCell ref="AU1:AX1"/>
    <mergeCell ref="G1:J1"/>
    <mergeCell ref="CP1:CS1"/>
    <mergeCell ref="BF1:BI1"/>
    <mergeCell ref="Q1:T1"/>
    <mergeCell ref="V1:Y1"/>
    <mergeCell ref="AP1:AS1"/>
    <mergeCell ref="CF1:CI1"/>
  </mergeCells>
  <conditionalFormatting sqref="CQ39:CQ42">
    <cfRule type="uniqueValues" dxfId="1" priority="2"/>
  </conditionalFormatting>
  <conditionalFormatting sqref="CQ47:CQ50">
    <cfRule type="uniqueValues" dxfId="0" priority="1"/>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dimension ref="A3:N35"/>
  <sheetViews>
    <sheetView zoomScaleNormal="100" workbookViewId="0">
      <selection activeCell="I48" sqref="I48:K48"/>
    </sheetView>
  </sheetViews>
  <sheetFormatPr defaultColWidth="11.42578125" defaultRowHeight="15" x14ac:dyDescent="0.25"/>
  <cols>
    <col min="1" max="1" width="18.5703125" bestFit="1" customWidth="1"/>
    <col min="2" max="2" width="7.28515625" customWidth="1"/>
    <col min="4" max="4" width="17.42578125" style="2" bestFit="1" customWidth="1"/>
    <col min="7" max="7"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3" x14ac:dyDescent="0.25">
      <c r="C3" s="3" t="s">
        <v>1</v>
      </c>
      <c r="D3" s="3" t="s">
        <v>24</v>
      </c>
      <c r="E3" s="3" t="s">
        <v>0</v>
      </c>
      <c r="F3" s="3" t="s">
        <v>16</v>
      </c>
      <c r="G3" s="3" t="s">
        <v>15</v>
      </c>
      <c r="H3" s="3" t="s">
        <v>14</v>
      </c>
      <c r="I3" s="3" t="s">
        <v>29</v>
      </c>
      <c r="J3" s="3" t="s">
        <v>30</v>
      </c>
      <c r="K3" s="3" t="s">
        <v>14</v>
      </c>
      <c r="L3" s="3" t="s">
        <v>31</v>
      </c>
    </row>
    <row r="4" spans="1:13" x14ac:dyDescent="0.25">
      <c r="A4" t="s">
        <v>2</v>
      </c>
      <c r="C4" s="1">
        <v>2</v>
      </c>
      <c r="E4" s="1">
        <v>101</v>
      </c>
      <c r="F4" s="1">
        <v>6.76</v>
      </c>
      <c r="G4" s="1">
        <v>1.34</v>
      </c>
      <c r="H4" s="1">
        <v>7.45</v>
      </c>
      <c r="I4">
        <f t="shared" ref="I4:K26" si="0">IF($M4=TRUE,F4*$C4,0)</f>
        <v>13.52</v>
      </c>
      <c r="J4">
        <f t="shared" si="0"/>
        <v>2.68</v>
      </c>
      <c r="K4">
        <f t="shared" si="0"/>
        <v>14.9</v>
      </c>
      <c r="L4">
        <f t="shared" ref="L4:L26" si="1">IF($M4=TRUE, E4*C4,0)</f>
        <v>202</v>
      </c>
      <c r="M4" t="b">
        <v>1</v>
      </c>
    </row>
    <row r="5" spans="1:13" x14ac:dyDescent="0.25">
      <c r="A5" t="s">
        <v>3</v>
      </c>
      <c r="C5" s="1">
        <v>40</v>
      </c>
      <c r="E5" s="1">
        <f>371/100</f>
        <v>3.71</v>
      </c>
      <c r="F5" s="1">
        <f>12/100</f>
        <v>0.12</v>
      </c>
      <c r="G5" s="1">
        <f>60/100</f>
        <v>0.6</v>
      </c>
      <c r="H5" s="1">
        <f>7.1/100</f>
        <v>7.0999999999999994E-2</v>
      </c>
      <c r="I5">
        <f t="shared" si="0"/>
        <v>4.8</v>
      </c>
      <c r="J5">
        <f t="shared" si="0"/>
        <v>24</v>
      </c>
      <c r="K5">
        <f t="shared" si="0"/>
        <v>2.84</v>
      </c>
      <c r="L5">
        <f t="shared" si="1"/>
        <v>148.4</v>
      </c>
      <c r="M5" t="b">
        <v>1</v>
      </c>
    </row>
    <row r="6" spans="1:13" x14ac:dyDescent="0.25">
      <c r="A6" t="s">
        <v>4</v>
      </c>
      <c r="C6" s="1">
        <v>1</v>
      </c>
      <c r="E6" s="1">
        <v>400</v>
      </c>
      <c r="F6" s="1">
        <v>10.1</v>
      </c>
      <c r="G6" s="1">
        <v>34.1</v>
      </c>
      <c r="H6" s="1">
        <v>10.1</v>
      </c>
      <c r="I6">
        <f t="shared" si="0"/>
        <v>0</v>
      </c>
      <c r="J6">
        <f t="shared" si="0"/>
        <v>0</v>
      </c>
      <c r="K6">
        <f t="shared" si="0"/>
        <v>0</v>
      </c>
      <c r="L6">
        <f t="shared" si="1"/>
        <v>0</v>
      </c>
      <c r="M6" t="b">
        <v>0</v>
      </c>
    </row>
    <row r="7" spans="1:13" x14ac:dyDescent="0.25">
      <c r="A7" t="s">
        <v>5</v>
      </c>
      <c r="C7" s="1">
        <f>218+215</f>
        <v>433</v>
      </c>
      <c r="E7" s="1">
        <f>94/100</f>
        <v>0.94</v>
      </c>
      <c r="F7" s="1">
        <f>20.7/100</f>
        <v>0.20699999999999999</v>
      </c>
      <c r="G7" s="1">
        <f>2.2/100</f>
        <v>2.2000000000000002E-2</v>
      </c>
      <c r="H7" s="1">
        <f>0.9/100</f>
        <v>9.0000000000000011E-3</v>
      </c>
      <c r="I7">
        <f t="shared" si="0"/>
        <v>89.631</v>
      </c>
      <c r="J7">
        <f t="shared" si="0"/>
        <v>9.5260000000000016</v>
      </c>
      <c r="K7">
        <f t="shared" si="0"/>
        <v>3.8970000000000002</v>
      </c>
      <c r="L7">
        <f>IF($M7=TRUE, E7*C7,0)</f>
        <v>407.02</v>
      </c>
      <c r="M7" t="b">
        <v>1</v>
      </c>
    </row>
    <row r="8" spans="1:13" x14ac:dyDescent="0.25">
      <c r="A8" t="s">
        <v>6</v>
      </c>
      <c r="C8" s="1">
        <v>100</v>
      </c>
      <c r="E8" s="1">
        <f>126/100</f>
        <v>1.26</v>
      </c>
      <c r="F8" s="1">
        <f>20/100</f>
        <v>0.2</v>
      </c>
      <c r="G8" s="1">
        <f>0.2/100</f>
        <v>2E-3</v>
      </c>
      <c r="H8" s="1">
        <f>5/100</f>
        <v>0.05</v>
      </c>
      <c r="I8">
        <f t="shared" si="0"/>
        <v>0</v>
      </c>
      <c r="J8">
        <f t="shared" si="0"/>
        <v>0</v>
      </c>
      <c r="K8">
        <f t="shared" si="0"/>
        <v>0</v>
      </c>
      <c r="L8">
        <f t="shared" si="1"/>
        <v>0</v>
      </c>
      <c r="M8" t="b">
        <v>0</v>
      </c>
    </row>
    <row r="9" spans="1:13" x14ac:dyDescent="0.25">
      <c r="A9" t="s">
        <v>7</v>
      </c>
      <c r="C9" s="1"/>
      <c r="E9" s="1">
        <f>372/100</f>
        <v>3.72</v>
      </c>
      <c r="F9" s="1"/>
      <c r="G9" s="1"/>
      <c r="H9" s="1"/>
      <c r="I9">
        <f t="shared" si="0"/>
        <v>0</v>
      </c>
      <c r="J9">
        <f t="shared" si="0"/>
        <v>0</v>
      </c>
      <c r="K9">
        <f t="shared" si="0"/>
        <v>0</v>
      </c>
      <c r="L9">
        <f t="shared" si="1"/>
        <v>0</v>
      </c>
      <c r="M9" t="b">
        <v>0</v>
      </c>
    </row>
    <row r="10" spans="1:13" x14ac:dyDescent="0.25">
      <c r="A10" t="s">
        <v>8</v>
      </c>
      <c r="C10" s="1">
        <v>60</v>
      </c>
      <c r="E10" s="1">
        <f>343/100</f>
        <v>3.43</v>
      </c>
      <c r="F10" s="1">
        <f>8.8/100</f>
        <v>8.8000000000000009E-2</v>
      </c>
      <c r="G10" s="1">
        <f>72/100</f>
        <v>0.72</v>
      </c>
      <c r="H10" s="1">
        <f>2.2/100</f>
        <v>2.2000000000000002E-2</v>
      </c>
      <c r="I10">
        <f t="shared" si="0"/>
        <v>5.28</v>
      </c>
      <c r="J10">
        <f t="shared" si="0"/>
        <v>43.199999999999996</v>
      </c>
      <c r="K10">
        <f t="shared" si="0"/>
        <v>1.32</v>
      </c>
      <c r="L10">
        <f>IF($M10=TRUE, E10*C10,0)</f>
        <v>205.8</v>
      </c>
      <c r="M10" t="b">
        <v>1</v>
      </c>
    </row>
    <row r="11" spans="1:13" x14ac:dyDescent="0.25">
      <c r="A11" t="s">
        <v>9</v>
      </c>
      <c r="C11" s="1">
        <v>126</v>
      </c>
      <c r="E11" s="1">
        <f>90/100</f>
        <v>0.9</v>
      </c>
      <c r="F11" s="1">
        <f>1.5/100</f>
        <v>1.4999999999999999E-2</v>
      </c>
      <c r="G11" s="1">
        <f>20/100</f>
        <v>0.2</v>
      </c>
      <c r="H11" s="1">
        <v>0</v>
      </c>
      <c r="I11">
        <f t="shared" si="0"/>
        <v>1.89</v>
      </c>
      <c r="J11">
        <f t="shared" si="0"/>
        <v>25.200000000000003</v>
      </c>
      <c r="K11">
        <f t="shared" si="0"/>
        <v>0</v>
      </c>
      <c r="L11">
        <f t="shared" si="1"/>
        <v>113.4</v>
      </c>
      <c r="M11" t="b">
        <v>1</v>
      </c>
    </row>
    <row r="12" spans="1:13" x14ac:dyDescent="0.25">
      <c r="A12" t="s">
        <v>10</v>
      </c>
      <c r="C12" s="1">
        <v>60</v>
      </c>
      <c r="E12" s="1">
        <f>53/100</f>
        <v>0.53</v>
      </c>
      <c r="F12" s="1">
        <f>1.6/100</f>
        <v>1.6E-2</v>
      </c>
      <c r="G12" s="1">
        <f>11/100</f>
        <v>0.11</v>
      </c>
      <c r="H12" s="1">
        <f>0.3/100</f>
        <v>3.0000000000000001E-3</v>
      </c>
      <c r="I12">
        <f t="shared" si="0"/>
        <v>0</v>
      </c>
      <c r="J12">
        <f t="shared" si="0"/>
        <v>0</v>
      </c>
      <c r="K12">
        <f t="shared" si="0"/>
        <v>0</v>
      </c>
      <c r="L12">
        <f t="shared" si="1"/>
        <v>0</v>
      </c>
      <c r="M12" t="b">
        <v>0</v>
      </c>
    </row>
    <row r="13" spans="1:13" x14ac:dyDescent="0.25">
      <c r="A13" t="s">
        <v>11</v>
      </c>
      <c r="C13" s="1">
        <v>188</v>
      </c>
      <c r="E13" s="1">
        <f>45/100</f>
        <v>0.45</v>
      </c>
      <c r="F13" s="1">
        <f>1/100</f>
        <v>0.01</v>
      </c>
      <c r="G13" s="1">
        <f>9/100</f>
        <v>0.09</v>
      </c>
      <c r="H13" s="1">
        <f>0.2/100</f>
        <v>2E-3</v>
      </c>
      <c r="I13">
        <f t="shared" si="0"/>
        <v>1.8800000000000001</v>
      </c>
      <c r="J13">
        <f t="shared" si="0"/>
        <v>16.919999999999998</v>
      </c>
      <c r="K13">
        <f t="shared" si="0"/>
        <v>0.376</v>
      </c>
      <c r="L13">
        <f t="shared" si="1"/>
        <v>84.600000000000009</v>
      </c>
      <c r="M13" t="b">
        <v>1</v>
      </c>
    </row>
    <row r="14" spans="1:13" x14ac:dyDescent="0.25">
      <c r="A14" t="s">
        <v>12</v>
      </c>
      <c r="C14" s="1">
        <v>130</v>
      </c>
      <c r="E14" s="1">
        <f>293/100</f>
        <v>2.93</v>
      </c>
      <c r="F14" s="1">
        <f>11/100</f>
        <v>0.11</v>
      </c>
      <c r="G14" s="1">
        <f>54/100</f>
        <v>0.54</v>
      </c>
      <c r="H14" s="1">
        <f>3.3/100</f>
        <v>3.3000000000000002E-2</v>
      </c>
      <c r="I14">
        <f t="shared" si="0"/>
        <v>0</v>
      </c>
      <c r="J14">
        <f t="shared" si="0"/>
        <v>0</v>
      </c>
      <c r="K14">
        <f t="shared" si="0"/>
        <v>0</v>
      </c>
      <c r="L14">
        <f t="shared" si="1"/>
        <v>0</v>
      </c>
      <c r="M14" t="b">
        <v>0</v>
      </c>
    </row>
    <row r="15" spans="1:13" x14ac:dyDescent="0.25">
      <c r="A15" t="s">
        <v>13</v>
      </c>
      <c r="C15" s="1">
        <v>1</v>
      </c>
      <c r="E15" s="1">
        <v>93</v>
      </c>
      <c r="F15" s="1">
        <v>20</v>
      </c>
      <c r="G15" s="1">
        <v>1</v>
      </c>
      <c r="H15" s="1">
        <v>1</v>
      </c>
      <c r="I15">
        <f t="shared" si="0"/>
        <v>20</v>
      </c>
      <c r="J15">
        <f t="shared" si="0"/>
        <v>1</v>
      </c>
      <c r="K15">
        <f t="shared" si="0"/>
        <v>1</v>
      </c>
      <c r="L15">
        <f t="shared" si="1"/>
        <v>93</v>
      </c>
      <c r="M15" t="b">
        <v>1</v>
      </c>
    </row>
    <row r="16" spans="1:13" x14ac:dyDescent="0.25">
      <c r="A16" t="s">
        <v>17</v>
      </c>
      <c r="C16" s="1">
        <v>150</v>
      </c>
      <c r="D16" s="2" t="s">
        <v>23</v>
      </c>
      <c r="E16" s="1">
        <f>74/100</f>
        <v>0.74</v>
      </c>
      <c r="F16" s="1">
        <f>3/100</f>
        <v>0.03</v>
      </c>
      <c r="G16" s="1">
        <f>11/100</f>
        <v>0.11</v>
      </c>
      <c r="H16" s="1">
        <f>1.5/100</f>
        <v>1.4999999999999999E-2</v>
      </c>
      <c r="I16">
        <f t="shared" si="0"/>
        <v>4.5</v>
      </c>
      <c r="J16">
        <f t="shared" si="0"/>
        <v>16.5</v>
      </c>
      <c r="K16">
        <f t="shared" si="0"/>
        <v>2.25</v>
      </c>
      <c r="L16">
        <f t="shared" si="1"/>
        <v>111</v>
      </c>
      <c r="M16" t="b">
        <v>1</v>
      </c>
    </row>
    <row r="17" spans="1:13" x14ac:dyDescent="0.25">
      <c r="A17" t="s">
        <v>18</v>
      </c>
      <c r="C17" s="1">
        <v>200</v>
      </c>
      <c r="E17" s="1">
        <f>46/100</f>
        <v>0.46</v>
      </c>
      <c r="F17" s="1">
        <f>3.2/100</f>
        <v>3.2000000000000001E-2</v>
      </c>
      <c r="G17" s="1">
        <f>4.8/100</f>
        <v>4.8000000000000001E-2</v>
      </c>
      <c r="H17" s="1">
        <f>1.6/100</f>
        <v>1.6E-2</v>
      </c>
      <c r="I17">
        <f t="shared" si="0"/>
        <v>6.4</v>
      </c>
      <c r="J17">
        <f t="shared" si="0"/>
        <v>9.6</v>
      </c>
      <c r="K17">
        <f t="shared" si="0"/>
        <v>3.2</v>
      </c>
      <c r="L17">
        <f t="shared" si="1"/>
        <v>92</v>
      </c>
      <c r="M17" t="b">
        <v>1</v>
      </c>
    </row>
    <row r="18" spans="1:13" x14ac:dyDescent="0.25">
      <c r="A18" t="s">
        <v>19</v>
      </c>
      <c r="C18" s="1"/>
      <c r="D18" s="2" t="s">
        <v>25</v>
      </c>
      <c r="E18" s="1">
        <f>77/100</f>
        <v>0.77</v>
      </c>
      <c r="F18" s="1">
        <f>2/100</f>
        <v>0.02</v>
      </c>
      <c r="G18" s="1">
        <f>17/100</f>
        <v>0.17</v>
      </c>
      <c r="H18" s="1">
        <f>0.1/100</f>
        <v>1E-3</v>
      </c>
      <c r="I18">
        <f t="shared" si="0"/>
        <v>0</v>
      </c>
      <c r="J18">
        <f t="shared" si="0"/>
        <v>0</v>
      </c>
      <c r="K18">
        <f t="shared" si="0"/>
        <v>0</v>
      </c>
      <c r="L18">
        <f t="shared" si="1"/>
        <v>0</v>
      </c>
      <c r="M18" t="b">
        <v>0</v>
      </c>
    </row>
    <row r="19" spans="1:13" x14ac:dyDescent="0.25">
      <c r="A19" t="s">
        <v>20</v>
      </c>
      <c r="C19" s="1">
        <v>120</v>
      </c>
      <c r="E19" s="1">
        <f>109/100</f>
        <v>1.0900000000000001</v>
      </c>
      <c r="F19" s="1">
        <f>25/100</f>
        <v>0.25</v>
      </c>
      <c r="G19" s="1">
        <v>0</v>
      </c>
      <c r="H19" s="1">
        <f>1/100</f>
        <v>0.01</v>
      </c>
      <c r="I19">
        <f t="shared" si="0"/>
        <v>30</v>
      </c>
      <c r="J19">
        <f t="shared" si="0"/>
        <v>0</v>
      </c>
      <c r="K19">
        <f t="shared" si="0"/>
        <v>1.2</v>
      </c>
      <c r="L19">
        <f t="shared" si="1"/>
        <v>130.80000000000001</v>
      </c>
      <c r="M19" t="b">
        <v>1</v>
      </c>
    </row>
    <row r="20" spans="1:13" x14ac:dyDescent="0.25">
      <c r="A20" t="s">
        <v>21</v>
      </c>
      <c r="C20" s="1">
        <v>50</v>
      </c>
      <c r="D20" s="2" t="s">
        <v>22</v>
      </c>
      <c r="E20" s="1">
        <f>44/100</f>
        <v>0.44</v>
      </c>
      <c r="F20" s="1">
        <f>2.3/100</f>
        <v>2.3E-2</v>
      </c>
      <c r="G20" s="1">
        <f>7.2/100</f>
        <v>7.2000000000000008E-2</v>
      </c>
      <c r="H20" s="1">
        <f>0.5/100</f>
        <v>5.0000000000000001E-3</v>
      </c>
      <c r="I20">
        <f t="shared" si="0"/>
        <v>0</v>
      </c>
      <c r="J20">
        <f t="shared" si="0"/>
        <v>0</v>
      </c>
      <c r="K20">
        <f t="shared" si="0"/>
        <v>0</v>
      </c>
      <c r="L20">
        <f t="shared" si="1"/>
        <v>0</v>
      </c>
      <c r="M20" t="b">
        <v>0</v>
      </c>
    </row>
    <row r="21" spans="1:13" x14ac:dyDescent="0.25">
      <c r="A21" t="s">
        <v>26</v>
      </c>
      <c r="C21" s="1"/>
      <c r="E21" s="1">
        <f>275/100</f>
        <v>2.75</v>
      </c>
      <c r="F21" s="1">
        <v>0</v>
      </c>
      <c r="G21" s="1">
        <v>0</v>
      </c>
      <c r="H21" s="1">
        <v>0</v>
      </c>
      <c r="I21">
        <f t="shared" si="0"/>
        <v>0</v>
      </c>
      <c r="J21">
        <f t="shared" si="0"/>
        <v>0</v>
      </c>
      <c r="K21">
        <f t="shared" si="0"/>
        <v>0</v>
      </c>
      <c r="L21">
        <f t="shared" si="1"/>
        <v>0</v>
      </c>
      <c r="M21" t="b">
        <v>0</v>
      </c>
    </row>
    <row r="22" spans="1:13" x14ac:dyDescent="0.25">
      <c r="A22" t="s">
        <v>32</v>
      </c>
      <c r="C22" s="1">
        <v>15</v>
      </c>
      <c r="E22">
        <f>620/100</f>
        <v>6.2</v>
      </c>
      <c r="F22">
        <f>22/100</f>
        <v>0.22</v>
      </c>
      <c r="G22">
        <f>6.9/100</f>
        <v>6.9000000000000006E-2</v>
      </c>
      <c r="H22">
        <f>54/100</f>
        <v>0.54</v>
      </c>
      <c r="I22">
        <f t="shared" si="0"/>
        <v>3.3</v>
      </c>
      <c r="J22">
        <f t="shared" si="0"/>
        <v>1.0350000000000001</v>
      </c>
      <c r="K22">
        <f t="shared" si="0"/>
        <v>8.1000000000000014</v>
      </c>
      <c r="L22">
        <f t="shared" si="1"/>
        <v>93</v>
      </c>
      <c r="M22" t="b">
        <v>1</v>
      </c>
    </row>
    <row r="23" spans="1:13" x14ac:dyDescent="0.25">
      <c r="A23" t="s">
        <v>33</v>
      </c>
      <c r="C23" s="1">
        <v>2</v>
      </c>
      <c r="E23">
        <f>17</f>
        <v>17</v>
      </c>
      <c r="F23">
        <v>3.6</v>
      </c>
      <c r="G23">
        <v>0.2</v>
      </c>
      <c r="H23">
        <v>0.1</v>
      </c>
      <c r="I23">
        <f t="shared" si="0"/>
        <v>7.2</v>
      </c>
      <c r="J23">
        <f t="shared" si="0"/>
        <v>0.4</v>
      </c>
      <c r="K23">
        <f t="shared" si="0"/>
        <v>0.2</v>
      </c>
      <c r="L23">
        <f t="shared" si="1"/>
        <v>34</v>
      </c>
      <c r="M23" t="b">
        <v>1</v>
      </c>
    </row>
    <row r="24" spans="1:13" x14ac:dyDescent="0.25">
      <c r="A24" t="s">
        <v>34</v>
      </c>
      <c r="C24" s="1">
        <v>60</v>
      </c>
      <c r="E24">
        <f>351/100</f>
        <v>3.51</v>
      </c>
      <c r="F24">
        <f>7.4/100</f>
        <v>7.400000000000001E-2</v>
      </c>
      <c r="G24">
        <f>78.7/100</f>
        <v>0.78700000000000003</v>
      </c>
      <c r="H24">
        <f>0.7/100</f>
        <v>6.9999999999999993E-3</v>
      </c>
      <c r="I24">
        <f>IF($M24=TRUE,F24*$C24,0)</f>
        <v>0</v>
      </c>
      <c r="J24">
        <f>IF($M24=TRUE,G24*$C24,0)</f>
        <v>0</v>
      </c>
      <c r="K24">
        <f>IF($M24=TRUE,H24*$C24,0)</f>
        <v>0</v>
      </c>
      <c r="L24">
        <f>IF($M24=TRUE, E24*C24,0)</f>
        <v>0</v>
      </c>
      <c r="M24" t="b">
        <v>0</v>
      </c>
    </row>
    <row r="25" spans="1:13" x14ac:dyDescent="0.25">
      <c r="I25">
        <f t="shared" si="0"/>
        <v>0</v>
      </c>
      <c r="J25">
        <f t="shared" si="0"/>
        <v>0</v>
      </c>
      <c r="K25">
        <f t="shared" si="0"/>
        <v>0</v>
      </c>
      <c r="L25">
        <f t="shared" si="1"/>
        <v>0</v>
      </c>
    </row>
    <row r="26" spans="1:13" x14ac:dyDescent="0.25">
      <c r="I26">
        <f t="shared" si="0"/>
        <v>0</v>
      </c>
      <c r="J26">
        <f t="shared" si="0"/>
        <v>0</v>
      </c>
      <c r="K26">
        <f t="shared" si="0"/>
        <v>0</v>
      </c>
      <c r="L26">
        <f t="shared" si="1"/>
        <v>0</v>
      </c>
    </row>
    <row r="27" spans="1:13" x14ac:dyDescent="0.25">
      <c r="A27" t="s">
        <v>2</v>
      </c>
      <c r="E27">
        <f>148/100</f>
        <v>1.48</v>
      </c>
      <c r="F27">
        <f>10/100</f>
        <v>0.1</v>
      </c>
      <c r="G27">
        <f>1.6/100</f>
        <v>1.6E-2</v>
      </c>
      <c r="H27">
        <f>11/100</f>
        <v>0.11</v>
      </c>
      <c r="I27">
        <f>IF($M27=TRUE,G27*$C27,0)</f>
        <v>0</v>
      </c>
      <c r="J27">
        <f>IF($M27=TRUE,H27*$C27,0)</f>
        <v>0</v>
      </c>
      <c r="K27">
        <f>IF($M27=TRUE,#REF!*$C27,0)</f>
        <v>0</v>
      </c>
      <c r="L27">
        <f>IF($M27=TRUE, F27*C27,0)</f>
        <v>0</v>
      </c>
    </row>
    <row r="28" spans="1:13" x14ac:dyDescent="0.25">
      <c r="I28" s="4">
        <f>SUM(I4:I27)</f>
        <v>188.40099999999998</v>
      </c>
      <c r="J28" s="4">
        <f>SUM(J4:J27)</f>
        <v>150.06100000000001</v>
      </c>
      <c r="K28" s="4">
        <f>SUM(K4:K27)</f>
        <v>39.283000000000001</v>
      </c>
      <c r="L28" s="4">
        <f>SUM(L4:L27)</f>
        <v>1715.02</v>
      </c>
    </row>
    <row r="32" spans="1:13" x14ac:dyDescent="0.25">
      <c r="C32" t="s">
        <v>27</v>
      </c>
      <c r="I32">
        <f>1.25 * $C35 * $N34</f>
        <v>188.77058749999998</v>
      </c>
      <c r="J32">
        <f>1 * $C35 * $N34</f>
        <v>151.01647</v>
      </c>
      <c r="K32">
        <f>0.27 * $C35 * $N34</f>
        <v>40.774446900000001</v>
      </c>
      <c r="L32">
        <f>11.43*C35* N34</f>
        <v>1726.1182520999998</v>
      </c>
    </row>
    <row r="34" spans="3:14" x14ac:dyDescent="0.25">
      <c r="C34">
        <v>1</v>
      </c>
      <c r="M34" t="s">
        <v>28</v>
      </c>
      <c r="N34">
        <v>68.5</v>
      </c>
    </row>
    <row r="35" spans="3:14" x14ac:dyDescent="0.25">
      <c r="C35">
        <v>2.2046199999999998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ase à cocher 1">
              <controlPr defaultSize="0" autoFill="0" autoLine="0" autoPict="0">
                <anchor moveWithCells="1">
                  <from>
                    <xdr:col>1</xdr:col>
                    <xdr:colOff>171450</xdr:colOff>
                    <xdr:row>3</xdr:row>
                    <xdr:rowOff>19050</xdr:rowOff>
                  </from>
                  <to>
                    <xdr:col>1</xdr:col>
                    <xdr:colOff>352425</xdr:colOff>
                    <xdr:row>4</xdr:row>
                    <xdr:rowOff>19050</xdr:rowOff>
                  </to>
                </anchor>
              </controlPr>
            </control>
          </mc:Choice>
        </mc:AlternateContent>
        <mc:AlternateContent xmlns:mc="http://schemas.openxmlformats.org/markup-compatibility/2006">
          <mc:Choice Requires="x14">
            <control shapeId="2050" r:id="rId5" name="Case à cocher 2">
              <controlPr defaultSize="0" autoFill="0" autoLine="0" autoPict="0">
                <anchor moveWithCells="1">
                  <from>
                    <xdr:col>1</xdr:col>
                    <xdr:colOff>171450</xdr:colOff>
                    <xdr:row>4</xdr:row>
                    <xdr:rowOff>9525</xdr:rowOff>
                  </from>
                  <to>
                    <xdr:col>1</xdr:col>
                    <xdr:colOff>352425</xdr:colOff>
                    <xdr:row>5</xdr:row>
                    <xdr:rowOff>9525</xdr:rowOff>
                  </to>
                </anchor>
              </controlPr>
            </control>
          </mc:Choice>
        </mc:AlternateContent>
        <mc:AlternateContent xmlns:mc="http://schemas.openxmlformats.org/markup-compatibility/2006">
          <mc:Choice Requires="x14">
            <control shapeId="2051" r:id="rId6" name="Case à cocher 4">
              <controlPr defaultSize="0" autoFill="0" autoLine="0" autoPict="0">
                <anchor moveWithCells="1">
                  <from>
                    <xdr:col>1</xdr:col>
                    <xdr:colOff>171450</xdr:colOff>
                    <xdr:row>5</xdr:row>
                    <xdr:rowOff>19050</xdr:rowOff>
                  </from>
                  <to>
                    <xdr:col>1</xdr:col>
                    <xdr:colOff>352425</xdr:colOff>
                    <xdr:row>6</xdr:row>
                    <xdr:rowOff>19050</xdr:rowOff>
                  </to>
                </anchor>
              </controlPr>
            </control>
          </mc:Choice>
        </mc:AlternateContent>
        <mc:AlternateContent xmlns:mc="http://schemas.openxmlformats.org/markup-compatibility/2006">
          <mc:Choice Requires="x14">
            <control shapeId="2052" r:id="rId7" name="Case à cocher 5">
              <controlPr defaultSize="0" autoFill="0" autoLine="0" autoPict="0">
                <anchor moveWithCells="1">
                  <from>
                    <xdr:col>1</xdr:col>
                    <xdr:colOff>171450</xdr:colOff>
                    <xdr:row>7</xdr:row>
                    <xdr:rowOff>9525</xdr:rowOff>
                  </from>
                  <to>
                    <xdr:col>1</xdr:col>
                    <xdr:colOff>352425</xdr:colOff>
                    <xdr:row>8</xdr:row>
                    <xdr:rowOff>9525</xdr:rowOff>
                  </to>
                </anchor>
              </controlPr>
            </control>
          </mc:Choice>
        </mc:AlternateContent>
        <mc:AlternateContent xmlns:mc="http://schemas.openxmlformats.org/markup-compatibility/2006">
          <mc:Choice Requires="x14">
            <control shapeId="2053" r:id="rId8" name="Case à cocher 6">
              <controlPr defaultSize="0" autoFill="0" autoLine="0" autoPict="0">
                <anchor moveWithCells="1">
                  <from>
                    <xdr:col>1</xdr:col>
                    <xdr:colOff>171450</xdr:colOff>
                    <xdr:row>6</xdr:row>
                    <xdr:rowOff>19050</xdr:rowOff>
                  </from>
                  <to>
                    <xdr:col>1</xdr:col>
                    <xdr:colOff>352425</xdr:colOff>
                    <xdr:row>7</xdr:row>
                    <xdr:rowOff>19050</xdr:rowOff>
                  </to>
                </anchor>
              </controlPr>
            </control>
          </mc:Choice>
        </mc:AlternateContent>
        <mc:AlternateContent xmlns:mc="http://schemas.openxmlformats.org/markup-compatibility/2006">
          <mc:Choice Requires="x14">
            <control shapeId="2054" r:id="rId9" name="Case à cocher 7">
              <controlPr defaultSize="0" autoFill="0" autoLine="0" autoPict="0">
                <anchor moveWithCells="1">
                  <from>
                    <xdr:col>1</xdr:col>
                    <xdr:colOff>171450</xdr:colOff>
                    <xdr:row>8</xdr:row>
                    <xdr:rowOff>19050</xdr:rowOff>
                  </from>
                  <to>
                    <xdr:col>1</xdr:col>
                    <xdr:colOff>352425</xdr:colOff>
                    <xdr:row>9</xdr:row>
                    <xdr:rowOff>19050</xdr:rowOff>
                  </to>
                </anchor>
              </controlPr>
            </control>
          </mc:Choice>
        </mc:AlternateContent>
        <mc:AlternateContent xmlns:mc="http://schemas.openxmlformats.org/markup-compatibility/2006">
          <mc:Choice Requires="x14">
            <control shapeId="2055" r:id="rId10" name="Case à cocher 8">
              <controlPr defaultSize="0" autoFill="0" autoLine="0" autoPict="0">
                <anchor moveWithCells="1">
                  <from>
                    <xdr:col>1</xdr:col>
                    <xdr:colOff>171450</xdr:colOff>
                    <xdr:row>9</xdr:row>
                    <xdr:rowOff>9525</xdr:rowOff>
                  </from>
                  <to>
                    <xdr:col>1</xdr:col>
                    <xdr:colOff>352425</xdr:colOff>
                    <xdr:row>10</xdr:row>
                    <xdr:rowOff>9525</xdr:rowOff>
                  </to>
                </anchor>
              </controlPr>
            </control>
          </mc:Choice>
        </mc:AlternateContent>
        <mc:AlternateContent xmlns:mc="http://schemas.openxmlformats.org/markup-compatibility/2006">
          <mc:Choice Requires="x14">
            <control shapeId="2056" r:id="rId11" name="Case à cocher 9">
              <controlPr defaultSize="0" autoFill="0" autoLine="0" autoPict="0">
                <anchor moveWithCells="1">
                  <from>
                    <xdr:col>1</xdr:col>
                    <xdr:colOff>171450</xdr:colOff>
                    <xdr:row>10</xdr:row>
                    <xdr:rowOff>9525</xdr:rowOff>
                  </from>
                  <to>
                    <xdr:col>1</xdr:col>
                    <xdr:colOff>352425</xdr:colOff>
                    <xdr:row>11</xdr:row>
                    <xdr:rowOff>9525</xdr:rowOff>
                  </to>
                </anchor>
              </controlPr>
            </control>
          </mc:Choice>
        </mc:AlternateContent>
        <mc:AlternateContent xmlns:mc="http://schemas.openxmlformats.org/markup-compatibility/2006">
          <mc:Choice Requires="x14">
            <control shapeId="2057" r:id="rId12" name="Case à cocher 10">
              <controlPr defaultSize="0" autoFill="0" autoLine="0" autoPict="0">
                <anchor moveWithCells="1">
                  <from>
                    <xdr:col>1</xdr:col>
                    <xdr:colOff>171450</xdr:colOff>
                    <xdr:row>10</xdr:row>
                    <xdr:rowOff>171450</xdr:rowOff>
                  </from>
                  <to>
                    <xdr:col>1</xdr:col>
                    <xdr:colOff>352425</xdr:colOff>
                    <xdr:row>11</xdr:row>
                    <xdr:rowOff>171450</xdr:rowOff>
                  </to>
                </anchor>
              </controlPr>
            </control>
          </mc:Choice>
        </mc:AlternateContent>
        <mc:AlternateContent xmlns:mc="http://schemas.openxmlformats.org/markup-compatibility/2006">
          <mc:Choice Requires="x14">
            <control shapeId="2058" r:id="rId13" name="Case à cocher 11">
              <controlPr defaultSize="0" autoFill="0" autoLine="0" autoPict="0">
                <anchor moveWithCells="1">
                  <from>
                    <xdr:col>1</xdr:col>
                    <xdr:colOff>171450</xdr:colOff>
                    <xdr:row>11</xdr:row>
                    <xdr:rowOff>171450</xdr:rowOff>
                  </from>
                  <to>
                    <xdr:col>1</xdr:col>
                    <xdr:colOff>352425</xdr:colOff>
                    <xdr:row>12</xdr:row>
                    <xdr:rowOff>171450</xdr:rowOff>
                  </to>
                </anchor>
              </controlPr>
            </control>
          </mc:Choice>
        </mc:AlternateContent>
        <mc:AlternateContent xmlns:mc="http://schemas.openxmlformats.org/markup-compatibility/2006">
          <mc:Choice Requires="x14">
            <control shapeId="2059" r:id="rId14" name="Case à cocher 11">
              <controlPr defaultSize="0" autoFill="0" autoLine="0" autoPict="0">
                <anchor moveWithCells="1">
                  <from>
                    <xdr:col>1</xdr:col>
                    <xdr:colOff>171450</xdr:colOff>
                    <xdr:row>12</xdr:row>
                    <xdr:rowOff>171450</xdr:rowOff>
                  </from>
                  <to>
                    <xdr:col>1</xdr:col>
                    <xdr:colOff>352425</xdr:colOff>
                    <xdr:row>13</xdr:row>
                    <xdr:rowOff>171450</xdr:rowOff>
                  </to>
                </anchor>
              </controlPr>
            </control>
          </mc:Choice>
        </mc:AlternateContent>
        <mc:AlternateContent xmlns:mc="http://schemas.openxmlformats.org/markup-compatibility/2006">
          <mc:Choice Requires="x14">
            <control shapeId="2060" r:id="rId15" name="Check Box 13">
              <controlPr defaultSize="0" autoFill="0" autoLine="0" autoPict="0">
                <anchor moveWithCells="1">
                  <from>
                    <xdr:col>1</xdr:col>
                    <xdr:colOff>171450</xdr:colOff>
                    <xdr:row>13</xdr:row>
                    <xdr:rowOff>180975</xdr:rowOff>
                  </from>
                  <to>
                    <xdr:col>1</xdr:col>
                    <xdr:colOff>352425</xdr:colOff>
                    <xdr:row>15</xdr:row>
                    <xdr:rowOff>0</xdr:rowOff>
                  </to>
                </anchor>
              </controlPr>
            </control>
          </mc:Choice>
        </mc:AlternateContent>
        <mc:AlternateContent xmlns:mc="http://schemas.openxmlformats.org/markup-compatibility/2006">
          <mc:Choice Requires="x14">
            <control shapeId="2061" r:id="rId16" name="Check Box 14">
              <controlPr defaultSize="0" autoFill="0" autoLine="0" autoPict="0">
                <anchor moveWithCells="1">
                  <from>
                    <xdr:col>1</xdr:col>
                    <xdr:colOff>171450</xdr:colOff>
                    <xdr:row>14</xdr:row>
                    <xdr:rowOff>180975</xdr:rowOff>
                  </from>
                  <to>
                    <xdr:col>1</xdr:col>
                    <xdr:colOff>352425</xdr:colOff>
                    <xdr:row>16</xdr:row>
                    <xdr:rowOff>0</xdr:rowOff>
                  </to>
                </anchor>
              </controlPr>
            </control>
          </mc:Choice>
        </mc:AlternateContent>
        <mc:AlternateContent xmlns:mc="http://schemas.openxmlformats.org/markup-compatibility/2006">
          <mc:Choice Requires="x14">
            <control shapeId="2062" r:id="rId17" name="Check Box 15">
              <controlPr defaultSize="0" autoFill="0" autoLine="0" autoPict="0">
                <anchor moveWithCells="1">
                  <from>
                    <xdr:col>1</xdr:col>
                    <xdr:colOff>171450</xdr:colOff>
                    <xdr:row>16</xdr:row>
                    <xdr:rowOff>0</xdr:rowOff>
                  </from>
                  <to>
                    <xdr:col>1</xdr:col>
                    <xdr:colOff>352425</xdr:colOff>
                    <xdr:row>17</xdr:row>
                    <xdr:rowOff>0</xdr:rowOff>
                  </to>
                </anchor>
              </controlPr>
            </control>
          </mc:Choice>
        </mc:AlternateContent>
        <mc:AlternateContent xmlns:mc="http://schemas.openxmlformats.org/markup-compatibility/2006">
          <mc:Choice Requires="x14">
            <control shapeId="2063" r:id="rId18" name="Check Box 16">
              <controlPr defaultSize="0" autoFill="0" autoLine="0" autoPict="0">
                <anchor moveWithCells="1">
                  <from>
                    <xdr:col>1</xdr:col>
                    <xdr:colOff>171450</xdr:colOff>
                    <xdr:row>16</xdr:row>
                    <xdr:rowOff>180975</xdr:rowOff>
                  </from>
                  <to>
                    <xdr:col>1</xdr:col>
                    <xdr:colOff>352425</xdr:colOff>
                    <xdr:row>18</xdr:row>
                    <xdr:rowOff>0</xdr:rowOff>
                  </to>
                </anchor>
              </controlPr>
            </control>
          </mc:Choice>
        </mc:AlternateContent>
        <mc:AlternateContent xmlns:mc="http://schemas.openxmlformats.org/markup-compatibility/2006">
          <mc:Choice Requires="x14">
            <control shapeId="2064" r:id="rId19" name="Check Box 17">
              <controlPr defaultSize="0" autoFill="0" autoLine="0" autoPict="0">
                <anchor moveWithCells="1">
                  <from>
                    <xdr:col>1</xdr:col>
                    <xdr:colOff>171450</xdr:colOff>
                    <xdr:row>17</xdr:row>
                    <xdr:rowOff>180975</xdr:rowOff>
                  </from>
                  <to>
                    <xdr:col>1</xdr:col>
                    <xdr:colOff>352425</xdr:colOff>
                    <xdr:row>19</xdr:row>
                    <xdr:rowOff>0</xdr:rowOff>
                  </to>
                </anchor>
              </controlPr>
            </control>
          </mc:Choice>
        </mc:AlternateContent>
        <mc:AlternateContent xmlns:mc="http://schemas.openxmlformats.org/markup-compatibility/2006">
          <mc:Choice Requires="x14">
            <control shapeId="2065" r:id="rId20" name="Check Box 18">
              <controlPr defaultSize="0" autoFill="0" autoLine="0" autoPict="0">
                <anchor moveWithCells="1">
                  <from>
                    <xdr:col>1</xdr:col>
                    <xdr:colOff>171450</xdr:colOff>
                    <xdr:row>19</xdr:row>
                    <xdr:rowOff>0</xdr:rowOff>
                  </from>
                  <to>
                    <xdr:col>1</xdr:col>
                    <xdr:colOff>352425</xdr:colOff>
                    <xdr:row>20</xdr:row>
                    <xdr:rowOff>0</xdr:rowOff>
                  </to>
                </anchor>
              </controlPr>
            </control>
          </mc:Choice>
        </mc:AlternateContent>
        <mc:AlternateContent xmlns:mc="http://schemas.openxmlformats.org/markup-compatibility/2006">
          <mc:Choice Requires="x14">
            <control shapeId="2066" r:id="rId21" name="Check Box 19">
              <controlPr defaultSize="0" autoFill="0" autoLine="0" autoPict="0">
                <anchor moveWithCells="1">
                  <from>
                    <xdr:col>1</xdr:col>
                    <xdr:colOff>171450</xdr:colOff>
                    <xdr:row>20</xdr:row>
                    <xdr:rowOff>0</xdr:rowOff>
                  </from>
                  <to>
                    <xdr:col>1</xdr:col>
                    <xdr:colOff>352425</xdr:colOff>
                    <xdr:row>21</xdr:row>
                    <xdr:rowOff>0</xdr:rowOff>
                  </to>
                </anchor>
              </controlPr>
            </control>
          </mc:Choice>
        </mc:AlternateContent>
        <mc:AlternateContent xmlns:mc="http://schemas.openxmlformats.org/markup-compatibility/2006">
          <mc:Choice Requires="x14">
            <control shapeId="2067" r:id="rId22" name="Check Box 20">
              <controlPr defaultSize="0" autoFill="0" autoLine="0" autoPict="0">
                <anchor moveWithCells="1">
                  <from>
                    <xdr:col>1</xdr:col>
                    <xdr:colOff>171450</xdr:colOff>
                    <xdr:row>21</xdr:row>
                    <xdr:rowOff>9525</xdr:rowOff>
                  </from>
                  <to>
                    <xdr:col>1</xdr:col>
                    <xdr:colOff>352425</xdr:colOff>
                    <xdr:row>22</xdr:row>
                    <xdr:rowOff>9525</xdr:rowOff>
                  </to>
                </anchor>
              </controlPr>
            </control>
          </mc:Choice>
        </mc:AlternateContent>
        <mc:AlternateContent xmlns:mc="http://schemas.openxmlformats.org/markup-compatibility/2006">
          <mc:Choice Requires="x14">
            <control shapeId="2068" r:id="rId23" name="Check Box 21">
              <controlPr defaultSize="0" autoFill="0" autoLine="0" autoPict="0">
                <anchor moveWithCells="1">
                  <from>
                    <xdr:col>1</xdr:col>
                    <xdr:colOff>171450</xdr:colOff>
                    <xdr:row>22</xdr:row>
                    <xdr:rowOff>9525</xdr:rowOff>
                  </from>
                  <to>
                    <xdr:col>1</xdr:col>
                    <xdr:colOff>352425</xdr:colOff>
                    <xdr:row>23</xdr:row>
                    <xdr:rowOff>9525</xdr:rowOff>
                  </to>
                </anchor>
              </controlPr>
            </control>
          </mc:Choice>
        </mc:AlternateContent>
        <mc:AlternateContent xmlns:mc="http://schemas.openxmlformats.org/markup-compatibility/2006">
          <mc:Choice Requires="x14">
            <control shapeId="2069" r:id="rId24" name="Check Box 21">
              <controlPr defaultSize="0" autoFill="0" autoLine="0" autoPict="0">
                <anchor moveWithCells="1">
                  <from>
                    <xdr:col>1</xdr:col>
                    <xdr:colOff>161925</xdr:colOff>
                    <xdr:row>22</xdr:row>
                    <xdr:rowOff>180975</xdr:rowOff>
                  </from>
                  <to>
                    <xdr:col>1</xdr:col>
                    <xdr:colOff>342900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3:N35"/>
  <sheetViews>
    <sheetView zoomScaleNormal="100" workbookViewId="0">
      <selection activeCell="C32" sqref="C32"/>
    </sheetView>
  </sheetViews>
  <sheetFormatPr defaultColWidth="11.42578125" defaultRowHeight="15" x14ac:dyDescent="0.25"/>
  <cols>
    <col min="1" max="1" width="18.5703125" bestFit="1" customWidth="1"/>
    <col min="2" max="2" width="7.28515625" customWidth="1"/>
    <col min="4" max="4" width="17.42578125" style="2" bestFit="1" customWidth="1"/>
    <col min="7" max="7"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3" x14ac:dyDescent="0.25">
      <c r="C3" s="3" t="s">
        <v>1</v>
      </c>
      <c r="D3" s="3" t="s">
        <v>24</v>
      </c>
      <c r="E3" s="3" t="s">
        <v>0</v>
      </c>
      <c r="F3" s="3" t="s">
        <v>16</v>
      </c>
      <c r="G3" s="3" t="s">
        <v>15</v>
      </c>
      <c r="H3" s="3" t="s">
        <v>14</v>
      </c>
      <c r="I3" s="3" t="s">
        <v>29</v>
      </c>
      <c r="J3" s="3" t="s">
        <v>30</v>
      </c>
      <c r="K3" s="3" t="s">
        <v>14</v>
      </c>
      <c r="L3" s="3" t="s">
        <v>31</v>
      </c>
    </row>
    <row r="4" spans="1:13" x14ac:dyDescent="0.25">
      <c r="A4" t="s">
        <v>2</v>
      </c>
      <c r="C4" s="2">
        <v>155</v>
      </c>
      <c r="E4">
        <f>148/100</f>
        <v>1.48</v>
      </c>
      <c r="F4">
        <f>10/100</f>
        <v>0.1</v>
      </c>
      <c r="G4">
        <f>1.6/100</f>
        <v>1.6E-2</v>
      </c>
      <c r="H4">
        <f>11/100</f>
        <v>0.11</v>
      </c>
      <c r="I4">
        <f>IF($M4=TRUE,F4*$C4,0)</f>
        <v>15.5</v>
      </c>
      <c r="J4">
        <f>IF($M4=TRUE,G4*$C4,0)</f>
        <v>2.48</v>
      </c>
      <c r="K4">
        <f>IF($M4=TRUE,H4*$C4,0)</f>
        <v>17.05</v>
      </c>
      <c r="L4">
        <f>IF($M4=TRUE, E4*C4,0)</f>
        <v>229.4</v>
      </c>
      <c r="M4" t="b">
        <v>1</v>
      </c>
    </row>
    <row r="5" spans="1:13" x14ac:dyDescent="0.25">
      <c r="A5" t="s">
        <v>3</v>
      </c>
      <c r="C5" s="1">
        <v>52</v>
      </c>
      <c r="E5" s="1">
        <f>371/100</f>
        <v>3.71</v>
      </c>
      <c r="F5" s="1">
        <f>12/100</f>
        <v>0.12</v>
      </c>
      <c r="G5" s="1">
        <f>60/100</f>
        <v>0.6</v>
      </c>
      <c r="H5" s="1">
        <f>7.1/100</f>
        <v>7.0999999999999994E-2</v>
      </c>
      <c r="I5">
        <f t="shared" ref="I5:K26" si="0">IF($M5=TRUE,F5*$C5,0)</f>
        <v>6.24</v>
      </c>
      <c r="J5">
        <f t="shared" si="0"/>
        <v>31.2</v>
      </c>
      <c r="K5">
        <f t="shared" si="0"/>
        <v>3.6919999999999997</v>
      </c>
      <c r="L5">
        <f t="shared" ref="L5:L26" si="1">IF($M5=TRUE, E5*C5,0)</f>
        <v>192.92</v>
      </c>
      <c r="M5" t="b">
        <v>1</v>
      </c>
    </row>
    <row r="6" spans="1:13" x14ac:dyDescent="0.25">
      <c r="A6" t="s">
        <v>4</v>
      </c>
      <c r="C6" s="1">
        <v>1</v>
      </c>
      <c r="E6" s="1">
        <v>400</v>
      </c>
      <c r="F6" s="1">
        <v>10.1</v>
      </c>
      <c r="G6" s="1">
        <v>34.1</v>
      </c>
      <c r="H6" s="1">
        <v>10.1</v>
      </c>
      <c r="I6">
        <f t="shared" si="0"/>
        <v>0</v>
      </c>
      <c r="J6">
        <f t="shared" si="0"/>
        <v>0</v>
      </c>
      <c r="K6">
        <f t="shared" si="0"/>
        <v>0</v>
      </c>
      <c r="L6">
        <f t="shared" si="1"/>
        <v>0</v>
      </c>
      <c r="M6" t="b">
        <v>0</v>
      </c>
    </row>
    <row r="7" spans="1:13" x14ac:dyDescent="0.25">
      <c r="A7" t="s">
        <v>5</v>
      </c>
      <c r="C7" s="1">
        <f>258+137</f>
        <v>395</v>
      </c>
      <c r="E7" s="1">
        <f>94/100</f>
        <v>0.94</v>
      </c>
      <c r="F7" s="1">
        <f>20.7/100</f>
        <v>0.20699999999999999</v>
      </c>
      <c r="G7" s="1">
        <f>2.2/100</f>
        <v>2.2000000000000002E-2</v>
      </c>
      <c r="H7" s="1">
        <f>0.9/100</f>
        <v>9.0000000000000011E-3</v>
      </c>
      <c r="I7">
        <f t="shared" si="0"/>
        <v>81.765000000000001</v>
      </c>
      <c r="J7">
        <f t="shared" si="0"/>
        <v>8.6900000000000013</v>
      </c>
      <c r="K7">
        <f t="shared" si="0"/>
        <v>3.5550000000000006</v>
      </c>
      <c r="L7">
        <f>IF($M7=TRUE, E7*C7,0)</f>
        <v>371.29999999999995</v>
      </c>
      <c r="M7" t="b">
        <v>1</v>
      </c>
    </row>
    <row r="8" spans="1:13" x14ac:dyDescent="0.25">
      <c r="A8" t="s">
        <v>6</v>
      </c>
      <c r="C8" s="11">
        <v>100</v>
      </c>
      <c r="E8" s="1">
        <f>126/100</f>
        <v>1.26</v>
      </c>
      <c r="F8" s="1">
        <f>20/100</f>
        <v>0.2</v>
      </c>
      <c r="G8" s="1">
        <f>0.2/100</f>
        <v>2E-3</v>
      </c>
      <c r="H8" s="1">
        <f>5/100</f>
        <v>0.05</v>
      </c>
      <c r="I8">
        <f t="shared" si="0"/>
        <v>20</v>
      </c>
      <c r="J8">
        <f t="shared" si="0"/>
        <v>0.2</v>
      </c>
      <c r="K8">
        <f t="shared" si="0"/>
        <v>5</v>
      </c>
      <c r="L8">
        <f t="shared" si="1"/>
        <v>126</v>
      </c>
      <c r="M8" t="b">
        <v>1</v>
      </c>
    </row>
    <row r="9" spans="1:13" x14ac:dyDescent="0.25">
      <c r="A9" t="s">
        <v>7</v>
      </c>
      <c r="C9" s="1"/>
      <c r="E9" s="1">
        <f>372/100</f>
        <v>3.72</v>
      </c>
      <c r="F9" s="1"/>
      <c r="G9" s="1"/>
      <c r="H9" s="1"/>
      <c r="I9">
        <f t="shared" si="0"/>
        <v>0</v>
      </c>
      <c r="J9">
        <f t="shared" si="0"/>
        <v>0</v>
      </c>
      <c r="K9">
        <f t="shared" si="0"/>
        <v>0</v>
      </c>
      <c r="L9">
        <f t="shared" si="1"/>
        <v>0</v>
      </c>
      <c r="M9" t="b">
        <v>0</v>
      </c>
    </row>
    <row r="10" spans="1:13" x14ac:dyDescent="0.25">
      <c r="A10" t="s">
        <v>8</v>
      </c>
      <c r="C10" s="11">
        <v>39</v>
      </c>
      <c r="E10" s="1">
        <f>343/100</f>
        <v>3.43</v>
      </c>
      <c r="F10" s="1">
        <f>8.8/100</f>
        <v>8.8000000000000009E-2</v>
      </c>
      <c r="G10" s="1">
        <f>72/100</f>
        <v>0.72</v>
      </c>
      <c r="H10" s="1">
        <f>2.2/100</f>
        <v>2.2000000000000002E-2</v>
      </c>
      <c r="I10">
        <f t="shared" si="0"/>
        <v>3.4320000000000004</v>
      </c>
      <c r="J10">
        <f t="shared" si="0"/>
        <v>28.08</v>
      </c>
      <c r="K10">
        <f t="shared" si="0"/>
        <v>0.8580000000000001</v>
      </c>
      <c r="L10">
        <f>IF($M10=TRUE, E10*C10,0)</f>
        <v>133.77000000000001</v>
      </c>
      <c r="M10" t="b">
        <v>1</v>
      </c>
    </row>
    <row r="11" spans="1:13" x14ac:dyDescent="0.25">
      <c r="A11" t="s">
        <v>9</v>
      </c>
      <c r="C11" s="1">
        <v>136</v>
      </c>
      <c r="E11" s="1">
        <f>90/100</f>
        <v>0.9</v>
      </c>
      <c r="F11" s="1">
        <f>1.5/100</f>
        <v>1.4999999999999999E-2</v>
      </c>
      <c r="G11" s="1">
        <f>20/100</f>
        <v>0.2</v>
      </c>
      <c r="H11" s="1">
        <v>0</v>
      </c>
      <c r="I11">
        <f t="shared" si="0"/>
        <v>2.04</v>
      </c>
      <c r="J11">
        <f t="shared" si="0"/>
        <v>27.200000000000003</v>
      </c>
      <c r="K11">
        <f t="shared" si="0"/>
        <v>0</v>
      </c>
      <c r="L11">
        <f t="shared" si="1"/>
        <v>122.4</v>
      </c>
      <c r="M11" t="b">
        <v>1</v>
      </c>
    </row>
    <row r="12" spans="1:13" x14ac:dyDescent="0.25">
      <c r="A12" t="s">
        <v>10</v>
      </c>
      <c r="C12" s="1">
        <v>60</v>
      </c>
      <c r="E12" s="1">
        <f>53/100</f>
        <v>0.53</v>
      </c>
      <c r="F12" s="1">
        <f>1.6/100</f>
        <v>1.6E-2</v>
      </c>
      <c r="G12" s="1">
        <f>11/100</f>
        <v>0.11</v>
      </c>
      <c r="H12" s="1">
        <f>0.3/100</f>
        <v>3.0000000000000001E-3</v>
      </c>
      <c r="I12">
        <f t="shared" si="0"/>
        <v>0</v>
      </c>
      <c r="J12">
        <f t="shared" si="0"/>
        <v>0</v>
      </c>
      <c r="K12">
        <f t="shared" si="0"/>
        <v>0</v>
      </c>
      <c r="L12">
        <f t="shared" si="1"/>
        <v>0</v>
      </c>
      <c r="M12" t="b">
        <v>0</v>
      </c>
    </row>
    <row r="13" spans="1:13" x14ac:dyDescent="0.25">
      <c r="A13" t="s">
        <v>11</v>
      </c>
      <c r="C13" s="1">
        <v>204</v>
      </c>
      <c r="E13" s="1">
        <f>45/100</f>
        <v>0.45</v>
      </c>
      <c r="F13" s="1">
        <f>1/100</f>
        <v>0.01</v>
      </c>
      <c r="G13" s="1">
        <f>9/100</f>
        <v>0.09</v>
      </c>
      <c r="H13" s="1">
        <f>0.2/100</f>
        <v>2E-3</v>
      </c>
      <c r="I13">
        <f t="shared" si="0"/>
        <v>2.04</v>
      </c>
      <c r="J13">
        <f t="shared" si="0"/>
        <v>18.36</v>
      </c>
      <c r="K13">
        <f t="shared" si="0"/>
        <v>0.40800000000000003</v>
      </c>
      <c r="L13">
        <f t="shared" si="1"/>
        <v>91.8</v>
      </c>
      <c r="M13" t="b">
        <v>1</v>
      </c>
    </row>
    <row r="14" spans="1:13" x14ac:dyDescent="0.25">
      <c r="A14" t="s">
        <v>12</v>
      </c>
      <c r="C14" s="1">
        <v>130</v>
      </c>
      <c r="E14" s="1">
        <f>293/100</f>
        <v>2.93</v>
      </c>
      <c r="F14" s="1">
        <f>11/100</f>
        <v>0.11</v>
      </c>
      <c r="G14" s="1">
        <f>54/100</f>
        <v>0.54</v>
      </c>
      <c r="H14" s="1">
        <f>3.3/100</f>
        <v>3.3000000000000002E-2</v>
      </c>
      <c r="I14">
        <f t="shared" si="0"/>
        <v>0</v>
      </c>
      <c r="J14">
        <f t="shared" si="0"/>
        <v>0</v>
      </c>
      <c r="K14">
        <f t="shared" si="0"/>
        <v>0</v>
      </c>
      <c r="L14">
        <f t="shared" si="1"/>
        <v>0</v>
      </c>
      <c r="M14" t="b">
        <v>0</v>
      </c>
    </row>
    <row r="15" spans="1:13" x14ac:dyDescent="0.25">
      <c r="A15" t="s">
        <v>13</v>
      </c>
      <c r="C15" s="1">
        <v>1</v>
      </c>
      <c r="E15" s="1">
        <v>93</v>
      </c>
      <c r="F15" s="1">
        <v>20</v>
      </c>
      <c r="G15" s="1">
        <v>1</v>
      </c>
      <c r="H15" s="1">
        <v>1</v>
      </c>
      <c r="I15">
        <f t="shared" si="0"/>
        <v>0</v>
      </c>
      <c r="J15">
        <f t="shared" si="0"/>
        <v>0</v>
      </c>
      <c r="K15">
        <f t="shared" si="0"/>
        <v>0</v>
      </c>
      <c r="L15">
        <f t="shared" si="1"/>
        <v>0</v>
      </c>
      <c r="M15" t="b">
        <v>0</v>
      </c>
    </row>
    <row r="16" spans="1:13" x14ac:dyDescent="0.25">
      <c r="A16" t="s">
        <v>17</v>
      </c>
      <c r="C16" s="1">
        <v>24</v>
      </c>
      <c r="D16" s="2" t="s">
        <v>23</v>
      </c>
      <c r="E16" s="1">
        <f>74/100</f>
        <v>0.74</v>
      </c>
      <c r="F16" s="1">
        <f>3/100</f>
        <v>0.03</v>
      </c>
      <c r="G16" s="1">
        <f>11/100</f>
        <v>0.11</v>
      </c>
      <c r="H16" s="1">
        <f>1.5/100</f>
        <v>1.4999999999999999E-2</v>
      </c>
      <c r="I16">
        <f t="shared" si="0"/>
        <v>0.72</v>
      </c>
      <c r="J16">
        <f t="shared" si="0"/>
        <v>2.64</v>
      </c>
      <c r="K16">
        <f t="shared" si="0"/>
        <v>0.36</v>
      </c>
      <c r="L16">
        <f t="shared" si="1"/>
        <v>17.759999999999998</v>
      </c>
      <c r="M16" t="b">
        <v>1</v>
      </c>
    </row>
    <row r="17" spans="1:13" x14ac:dyDescent="0.25">
      <c r="A17" t="s">
        <v>18</v>
      </c>
      <c r="C17" s="1">
        <v>230</v>
      </c>
      <c r="E17" s="1">
        <f>46/100</f>
        <v>0.46</v>
      </c>
      <c r="F17" s="1">
        <f>3.2/100</f>
        <v>3.2000000000000001E-2</v>
      </c>
      <c r="G17" s="1">
        <f>4.8/100</f>
        <v>4.8000000000000001E-2</v>
      </c>
      <c r="H17" s="1">
        <f>1.6/100</f>
        <v>1.6E-2</v>
      </c>
      <c r="I17">
        <f t="shared" si="0"/>
        <v>7.36</v>
      </c>
      <c r="J17">
        <f t="shared" si="0"/>
        <v>11.040000000000001</v>
      </c>
      <c r="K17">
        <f t="shared" si="0"/>
        <v>3.68</v>
      </c>
      <c r="L17">
        <f t="shared" si="1"/>
        <v>105.80000000000001</v>
      </c>
      <c r="M17" t="b">
        <v>1</v>
      </c>
    </row>
    <row r="18" spans="1:13" x14ac:dyDescent="0.25">
      <c r="A18" t="s">
        <v>19</v>
      </c>
      <c r="C18" s="1">
        <v>137</v>
      </c>
      <c r="D18" s="2" t="s">
        <v>25</v>
      </c>
      <c r="E18" s="1">
        <f>77/100</f>
        <v>0.77</v>
      </c>
      <c r="F18" s="1">
        <f>2/100</f>
        <v>0.02</v>
      </c>
      <c r="G18" s="1">
        <f>17/100</f>
        <v>0.17</v>
      </c>
      <c r="H18" s="1">
        <f>0.1/100</f>
        <v>1E-3</v>
      </c>
      <c r="I18">
        <f t="shared" si="0"/>
        <v>2.74</v>
      </c>
      <c r="J18">
        <f t="shared" si="0"/>
        <v>23.290000000000003</v>
      </c>
      <c r="K18">
        <f t="shared" si="0"/>
        <v>0.13700000000000001</v>
      </c>
      <c r="L18">
        <f t="shared" si="1"/>
        <v>105.49000000000001</v>
      </c>
      <c r="M18" t="b">
        <v>1</v>
      </c>
    </row>
    <row r="19" spans="1:13" x14ac:dyDescent="0.25">
      <c r="A19" t="s">
        <v>20</v>
      </c>
      <c r="C19" s="1">
        <f>18+140</f>
        <v>158</v>
      </c>
      <c r="E19" s="1">
        <f>109/100</f>
        <v>1.0900000000000001</v>
      </c>
      <c r="F19" s="1">
        <f>25/100</f>
        <v>0.25</v>
      </c>
      <c r="G19" s="1">
        <v>0</v>
      </c>
      <c r="H19" s="1">
        <f>1/100</f>
        <v>0.01</v>
      </c>
      <c r="I19">
        <f t="shared" si="0"/>
        <v>39.5</v>
      </c>
      <c r="J19">
        <f t="shared" si="0"/>
        <v>0</v>
      </c>
      <c r="K19">
        <f t="shared" si="0"/>
        <v>1.58</v>
      </c>
      <c r="L19">
        <f t="shared" si="1"/>
        <v>172.22</v>
      </c>
      <c r="M19" t="b">
        <v>1</v>
      </c>
    </row>
    <row r="20" spans="1:13" x14ac:dyDescent="0.25">
      <c r="A20" t="s">
        <v>21</v>
      </c>
      <c r="C20" s="1">
        <v>50</v>
      </c>
      <c r="D20" s="2" t="s">
        <v>22</v>
      </c>
      <c r="E20" s="1">
        <f>44/100</f>
        <v>0.44</v>
      </c>
      <c r="F20" s="1">
        <f>2.3/100</f>
        <v>2.3E-2</v>
      </c>
      <c r="G20" s="1">
        <f>7.2/100</f>
        <v>7.2000000000000008E-2</v>
      </c>
      <c r="H20" s="1">
        <f>0.5/100</f>
        <v>5.0000000000000001E-3</v>
      </c>
      <c r="I20">
        <f t="shared" si="0"/>
        <v>0</v>
      </c>
      <c r="J20">
        <f t="shared" si="0"/>
        <v>0</v>
      </c>
      <c r="K20">
        <f t="shared" si="0"/>
        <v>0</v>
      </c>
      <c r="L20">
        <f t="shared" si="1"/>
        <v>0</v>
      </c>
      <c r="M20" t="b">
        <v>0</v>
      </c>
    </row>
    <row r="21" spans="1:13" x14ac:dyDescent="0.25">
      <c r="A21" t="s">
        <v>26</v>
      </c>
      <c r="C21" s="1"/>
      <c r="E21" s="1">
        <f>275/100</f>
        <v>2.75</v>
      </c>
      <c r="F21" s="1">
        <v>0</v>
      </c>
      <c r="G21" s="1">
        <v>0</v>
      </c>
      <c r="H21" s="1">
        <v>0</v>
      </c>
      <c r="I21">
        <f t="shared" si="0"/>
        <v>0</v>
      </c>
      <c r="J21">
        <f t="shared" si="0"/>
        <v>0</v>
      </c>
      <c r="K21">
        <f t="shared" si="0"/>
        <v>0</v>
      </c>
      <c r="L21">
        <f t="shared" si="1"/>
        <v>0</v>
      </c>
      <c r="M21" t="b">
        <v>0</v>
      </c>
    </row>
    <row r="22" spans="1:13" x14ac:dyDescent="0.25">
      <c r="A22" t="s">
        <v>32</v>
      </c>
      <c r="C22" s="11">
        <v>5</v>
      </c>
      <c r="E22">
        <f>620/100</f>
        <v>6.2</v>
      </c>
      <c r="F22">
        <f>22/100</f>
        <v>0.22</v>
      </c>
      <c r="G22">
        <f>6.9/100</f>
        <v>6.9000000000000006E-2</v>
      </c>
      <c r="H22">
        <f>54/100</f>
        <v>0.54</v>
      </c>
      <c r="I22">
        <f t="shared" si="0"/>
        <v>1.1000000000000001</v>
      </c>
      <c r="J22">
        <f t="shared" si="0"/>
        <v>0.34500000000000003</v>
      </c>
      <c r="K22">
        <f t="shared" si="0"/>
        <v>2.7</v>
      </c>
      <c r="L22">
        <f t="shared" si="1"/>
        <v>31</v>
      </c>
      <c r="M22" t="b">
        <v>1</v>
      </c>
    </row>
    <row r="23" spans="1:13" x14ac:dyDescent="0.25">
      <c r="A23" t="s">
        <v>33</v>
      </c>
      <c r="C23" s="1">
        <v>2</v>
      </c>
      <c r="E23">
        <f>17</f>
        <v>17</v>
      </c>
      <c r="F23">
        <v>3.6</v>
      </c>
      <c r="G23">
        <v>0.2</v>
      </c>
      <c r="H23">
        <v>0.1</v>
      </c>
      <c r="I23">
        <f t="shared" si="0"/>
        <v>0</v>
      </c>
      <c r="J23">
        <f t="shared" si="0"/>
        <v>0</v>
      </c>
      <c r="K23">
        <f t="shared" si="0"/>
        <v>0</v>
      </c>
      <c r="L23">
        <f t="shared" si="1"/>
        <v>0</v>
      </c>
      <c r="M23" t="b">
        <v>0</v>
      </c>
    </row>
    <row r="24" spans="1:13" x14ac:dyDescent="0.25">
      <c r="A24" t="s">
        <v>34</v>
      </c>
      <c r="C24" s="1">
        <v>60</v>
      </c>
      <c r="E24">
        <f>351/100</f>
        <v>3.51</v>
      </c>
      <c r="F24">
        <f>7.4/100</f>
        <v>7.400000000000001E-2</v>
      </c>
      <c r="G24">
        <f>78.7/100</f>
        <v>0.78700000000000003</v>
      </c>
      <c r="H24">
        <f>0.7/100</f>
        <v>6.9999999999999993E-3</v>
      </c>
      <c r="I24">
        <f t="shared" ref="I24:K25" si="2">IF($M24=TRUE,F24*$C24,0)</f>
        <v>0</v>
      </c>
      <c r="J24">
        <f t="shared" si="2"/>
        <v>0</v>
      </c>
      <c r="K24">
        <f t="shared" si="2"/>
        <v>0</v>
      </c>
      <c r="L24">
        <f>IF($M24=TRUE, E24*C24,0)</f>
        <v>0</v>
      </c>
      <c r="M24" t="b">
        <v>0</v>
      </c>
    </row>
    <row r="25" spans="1:13" x14ac:dyDescent="0.25">
      <c r="A25" t="s">
        <v>33</v>
      </c>
      <c r="C25" s="1">
        <v>50</v>
      </c>
      <c r="E25">
        <f>52/100</f>
        <v>0.52</v>
      </c>
      <c r="F25">
        <f>11/100</f>
        <v>0.11</v>
      </c>
      <c r="G25">
        <f>0.7/100</f>
        <v>6.9999999999999993E-3</v>
      </c>
      <c r="H25">
        <f>0.2/100</f>
        <v>2E-3</v>
      </c>
      <c r="I25">
        <f t="shared" si="2"/>
        <v>5.5</v>
      </c>
      <c r="J25">
        <f t="shared" si="2"/>
        <v>0.35</v>
      </c>
      <c r="K25">
        <f t="shared" si="2"/>
        <v>0.1</v>
      </c>
      <c r="L25">
        <f>IF($M25=TRUE, E25*C25,0)</f>
        <v>26</v>
      </c>
      <c r="M25" t="b">
        <v>1</v>
      </c>
    </row>
    <row r="26" spans="1:13" x14ac:dyDescent="0.25">
      <c r="I26">
        <f t="shared" si="0"/>
        <v>0</v>
      </c>
      <c r="J26">
        <f t="shared" si="0"/>
        <v>0</v>
      </c>
      <c r="K26">
        <f t="shared" si="0"/>
        <v>0</v>
      </c>
      <c r="L26">
        <f t="shared" si="1"/>
        <v>0</v>
      </c>
    </row>
    <row r="27" spans="1:13" x14ac:dyDescent="0.25">
      <c r="I27">
        <f>IF($M27=TRUE,G4*$C4,0)</f>
        <v>0</v>
      </c>
      <c r="J27">
        <f>IF($M27=TRUE,H4*$C4,0)</f>
        <v>0</v>
      </c>
      <c r="K27">
        <f>IF($M27=TRUE,#REF!*$C4,0)</f>
        <v>0</v>
      </c>
      <c r="L27">
        <f>IF($M27=TRUE, F4*C4,0)</f>
        <v>0</v>
      </c>
    </row>
    <row r="28" spans="1:13" x14ac:dyDescent="0.25">
      <c r="I28" s="4">
        <f>SUM(I4:I27)</f>
        <v>187.93700000000001</v>
      </c>
      <c r="J28" s="4">
        <f>SUM(J4:J27)</f>
        <v>153.875</v>
      </c>
      <c r="K28" s="4">
        <f>SUM(K4:K27)</f>
        <v>39.120000000000005</v>
      </c>
      <c r="L28" s="4">
        <f>SUM(L4:L27)</f>
        <v>1725.86</v>
      </c>
    </row>
    <row r="32" spans="1:13" x14ac:dyDescent="0.25">
      <c r="C32" t="s">
        <v>27</v>
      </c>
      <c r="I32">
        <f>1.25 * $C35 * $N34</f>
        <v>188.77058749999998</v>
      </c>
      <c r="J32">
        <f>1 * $C35 * $N34</f>
        <v>151.01647</v>
      </c>
      <c r="K32">
        <f>0.27 * $C35 * $N34</f>
        <v>40.774446900000001</v>
      </c>
      <c r="L32">
        <f>11.43*C35* N34</f>
        <v>1726.1182520999998</v>
      </c>
    </row>
    <row r="34" spans="3:14" x14ac:dyDescent="0.25">
      <c r="C34">
        <v>1</v>
      </c>
      <c r="M34" t="s">
        <v>28</v>
      </c>
      <c r="N34">
        <v>68.5</v>
      </c>
    </row>
    <row r="35" spans="3:14" x14ac:dyDescent="0.25">
      <c r="C35">
        <v>2.2046199999999998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ase à cocher 1">
              <controlPr defaultSize="0" autoFill="0" autoLine="0" autoPict="0">
                <anchor moveWithCells="1">
                  <from>
                    <xdr:col>1</xdr:col>
                    <xdr:colOff>171450</xdr:colOff>
                    <xdr:row>3</xdr:row>
                    <xdr:rowOff>19050</xdr:rowOff>
                  </from>
                  <to>
                    <xdr:col>1</xdr:col>
                    <xdr:colOff>352425</xdr:colOff>
                    <xdr:row>4</xdr:row>
                    <xdr:rowOff>19050</xdr:rowOff>
                  </to>
                </anchor>
              </controlPr>
            </control>
          </mc:Choice>
        </mc:AlternateContent>
        <mc:AlternateContent xmlns:mc="http://schemas.openxmlformats.org/markup-compatibility/2006">
          <mc:Choice Requires="x14">
            <control shapeId="5122" r:id="rId5" name="Case à cocher 2">
              <controlPr defaultSize="0" autoFill="0" autoLine="0" autoPict="0">
                <anchor moveWithCells="1">
                  <from>
                    <xdr:col>1</xdr:col>
                    <xdr:colOff>171450</xdr:colOff>
                    <xdr:row>4</xdr:row>
                    <xdr:rowOff>9525</xdr:rowOff>
                  </from>
                  <to>
                    <xdr:col>1</xdr:col>
                    <xdr:colOff>352425</xdr:colOff>
                    <xdr:row>5</xdr:row>
                    <xdr:rowOff>9525</xdr:rowOff>
                  </to>
                </anchor>
              </controlPr>
            </control>
          </mc:Choice>
        </mc:AlternateContent>
        <mc:AlternateContent xmlns:mc="http://schemas.openxmlformats.org/markup-compatibility/2006">
          <mc:Choice Requires="x14">
            <control shapeId="5123" r:id="rId6" name="Case à cocher 4">
              <controlPr defaultSize="0" autoFill="0" autoLine="0" autoPict="0">
                <anchor moveWithCells="1">
                  <from>
                    <xdr:col>1</xdr:col>
                    <xdr:colOff>171450</xdr:colOff>
                    <xdr:row>5</xdr:row>
                    <xdr:rowOff>19050</xdr:rowOff>
                  </from>
                  <to>
                    <xdr:col>1</xdr:col>
                    <xdr:colOff>352425</xdr:colOff>
                    <xdr:row>6</xdr:row>
                    <xdr:rowOff>19050</xdr:rowOff>
                  </to>
                </anchor>
              </controlPr>
            </control>
          </mc:Choice>
        </mc:AlternateContent>
        <mc:AlternateContent xmlns:mc="http://schemas.openxmlformats.org/markup-compatibility/2006">
          <mc:Choice Requires="x14">
            <control shapeId="5124" r:id="rId7" name="Case à cocher 5">
              <controlPr defaultSize="0" autoFill="0" autoLine="0" autoPict="0">
                <anchor moveWithCells="1">
                  <from>
                    <xdr:col>1</xdr:col>
                    <xdr:colOff>171450</xdr:colOff>
                    <xdr:row>7</xdr:row>
                    <xdr:rowOff>9525</xdr:rowOff>
                  </from>
                  <to>
                    <xdr:col>1</xdr:col>
                    <xdr:colOff>352425</xdr:colOff>
                    <xdr:row>8</xdr:row>
                    <xdr:rowOff>9525</xdr:rowOff>
                  </to>
                </anchor>
              </controlPr>
            </control>
          </mc:Choice>
        </mc:AlternateContent>
        <mc:AlternateContent xmlns:mc="http://schemas.openxmlformats.org/markup-compatibility/2006">
          <mc:Choice Requires="x14">
            <control shapeId="5125" r:id="rId8" name="Case à cocher 6">
              <controlPr defaultSize="0" autoFill="0" autoLine="0" autoPict="0">
                <anchor moveWithCells="1">
                  <from>
                    <xdr:col>1</xdr:col>
                    <xdr:colOff>171450</xdr:colOff>
                    <xdr:row>6</xdr:row>
                    <xdr:rowOff>19050</xdr:rowOff>
                  </from>
                  <to>
                    <xdr:col>1</xdr:col>
                    <xdr:colOff>352425</xdr:colOff>
                    <xdr:row>7</xdr:row>
                    <xdr:rowOff>19050</xdr:rowOff>
                  </to>
                </anchor>
              </controlPr>
            </control>
          </mc:Choice>
        </mc:AlternateContent>
        <mc:AlternateContent xmlns:mc="http://schemas.openxmlformats.org/markup-compatibility/2006">
          <mc:Choice Requires="x14">
            <control shapeId="5126" r:id="rId9" name="Case à cocher 7">
              <controlPr defaultSize="0" autoFill="0" autoLine="0" autoPict="0">
                <anchor moveWithCells="1">
                  <from>
                    <xdr:col>1</xdr:col>
                    <xdr:colOff>171450</xdr:colOff>
                    <xdr:row>8</xdr:row>
                    <xdr:rowOff>19050</xdr:rowOff>
                  </from>
                  <to>
                    <xdr:col>1</xdr:col>
                    <xdr:colOff>352425</xdr:colOff>
                    <xdr:row>9</xdr:row>
                    <xdr:rowOff>19050</xdr:rowOff>
                  </to>
                </anchor>
              </controlPr>
            </control>
          </mc:Choice>
        </mc:AlternateContent>
        <mc:AlternateContent xmlns:mc="http://schemas.openxmlformats.org/markup-compatibility/2006">
          <mc:Choice Requires="x14">
            <control shapeId="5127" r:id="rId10" name="Case à cocher 8">
              <controlPr defaultSize="0" autoFill="0" autoLine="0" autoPict="0">
                <anchor moveWithCells="1">
                  <from>
                    <xdr:col>1</xdr:col>
                    <xdr:colOff>171450</xdr:colOff>
                    <xdr:row>9</xdr:row>
                    <xdr:rowOff>9525</xdr:rowOff>
                  </from>
                  <to>
                    <xdr:col>1</xdr:col>
                    <xdr:colOff>352425</xdr:colOff>
                    <xdr:row>10</xdr:row>
                    <xdr:rowOff>9525</xdr:rowOff>
                  </to>
                </anchor>
              </controlPr>
            </control>
          </mc:Choice>
        </mc:AlternateContent>
        <mc:AlternateContent xmlns:mc="http://schemas.openxmlformats.org/markup-compatibility/2006">
          <mc:Choice Requires="x14">
            <control shapeId="5128" r:id="rId11" name="Case à cocher 9">
              <controlPr defaultSize="0" autoFill="0" autoLine="0" autoPict="0">
                <anchor moveWithCells="1">
                  <from>
                    <xdr:col>1</xdr:col>
                    <xdr:colOff>171450</xdr:colOff>
                    <xdr:row>10</xdr:row>
                    <xdr:rowOff>9525</xdr:rowOff>
                  </from>
                  <to>
                    <xdr:col>1</xdr:col>
                    <xdr:colOff>352425</xdr:colOff>
                    <xdr:row>11</xdr:row>
                    <xdr:rowOff>9525</xdr:rowOff>
                  </to>
                </anchor>
              </controlPr>
            </control>
          </mc:Choice>
        </mc:AlternateContent>
        <mc:AlternateContent xmlns:mc="http://schemas.openxmlformats.org/markup-compatibility/2006">
          <mc:Choice Requires="x14">
            <control shapeId="5129" r:id="rId12" name="Case à cocher 10">
              <controlPr defaultSize="0" autoFill="0" autoLine="0" autoPict="0">
                <anchor moveWithCells="1">
                  <from>
                    <xdr:col>1</xdr:col>
                    <xdr:colOff>171450</xdr:colOff>
                    <xdr:row>10</xdr:row>
                    <xdr:rowOff>171450</xdr:rowOff>
                  </from>
                  <to>
                    <xdr:col>1</xdr:col>
                    <xdr:colOff>352425</xdr:colOff>
                    <xdr:row>11</xdr:row>
                    <xdr:rowOff>171450</xdr:rowOff>
                  </to>
                </anchor>
              </controlPr>
            </control>
          </mc:Choice>
        </mc:AlternateContent>
        <mc:AlternateContent xmlns:mc="http://schemas.openxmlformats.org/markup-compatibility/2006">
          <mc:Choice Requires="x14">
            <control shapeId="5130" r:id="rId13" name="Case à cocher 11">
              <controlPr defaultSize="0" autoFill="0" autoLine="0" autoPict="0">
                <anchor moveWithCells="1">
                  <from>
                    <xdr:col>1</xdr:col>
                    <xdr:colOff>171450</xdr:colOff>
                    <xdr:row>11</xdr:row>
                    <xdr:rowOff>171450</xdr:rowOff>
                  </from>
                  <to>
                    <xdr:col>1</xdr:col>
                    <xdr:colOff>352425</xdr:colOff>
                    <xdr:row>12</xdr:row>
                    <xdr:rowOff>171450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1</xdr:col>
                    <xdr:colOff>171450</xdr:colOff>
                    <xdr:row>12</xdr:row>
                    <xdr:rowOff>171450</xdr:rowOff>
                  </from>
                  <to>
                    <xdr:col>1</xdr:col>
                    <xdr:colOff>352425</xdr:colOff>
                    <xdr:row>13</xdr:row>
                    <xdr:rowOff>171450</xdr:rowOff>
                  </to>
                </anchor>
              </controlPr>
            </control>
          </mc:Choice>
        </mc:AlternateContent>
        <mc:AlternateContent xmlns:mc="http://schemas.openxmlformats.org/markup-compatibility/2006">
          <mc:Choice Requires="x14">
            <control shapeId="5132" r:id="rId15" name="Check Box 13">
              <controlPr defaultSize="0" autoFill="0" autoLine="0" autoPict="0">
                <anchor moveWithCells="1">
                  <from>
                    <xdr:col>1</xdr:col>
                    <xdr:colOff>171450</xdr:colOff>
                    <xdr:row>13</xdr:row>
                    <xdr:rowOff>180975</xdr:rowOff>
                  </from>
                  <to>
                    <xdr:col>1</xdr:col>
                    <xdr:colOff>352425</xdr:colOff>
                    <xdr:row>15</xdr:row>
                    <xdr:rowOff>0</xdr:rowOff>
                  </to>
                </anchor>
              </controlPr>
            </control>
          </mc:Choice>
        </mc:AlternateContent>
        <mc:AlternateContent xmlns:mc="http://schemas.openxmlformats.org/markup-compatibility/2006">
          <mc:Choice Requires="x14">
            <control shapeId="5133" r:id="rId16" name="Check Box 14">
              <controlPr defaultSize="0" autoFill="0" autoLine="0" autoPict="0">
                <anchor moveWithCells="1">
                  <from>
                    <xdr:col>1</xdr:col>
                    <xdr:colOff>171450</xdr:colOff>
                    <xdr:row>14</xdr:row>
                    <xdr:rowOff>180975</xdr:rowOff>
                  </from>
                  <to>
                    <xdr:col>1</xdr:col>
                    <xdr:colOff>352425</xdr:colOff>
                    <xdr:row>16</xdr:row>
                    <xdr:rowOff>0</xdr:rowOff>
                  </to>
                </anchor>
              </controlPr>
            </control>
          </mc:Choice>
        </mc:AlternateContent>
        <mc:AlternateContent xmlns:mc="http://schemas.openxmlformats.org/markup-compatibility/2006">
          <mc:Choice Requires="x14">
            <control shapeId="5134" r:id="rId17" name="Check Box 15">
              <controlPr defaultSize="0" autoFill="0" autoLine="0" autoPict="0">
                <anchor moveWithCells="1">
                  <from>
                    <xdr:col>1</xdr:col>
                    <xdr:colOff>171450</xdr:colOff>
                    <xdr:row>16</xdr:row>
                    <xdr:rowOff>0</xdr:rowOff>
                  </from>
                  <to>
                    <xdr:col>1</xdr:col>
                    <xdr:colOff>352425</xdr:colOff>
                    <xdr:row>17</xdr:row>
                    <xdr:rowOff>0</xdr:rowOff>
                  </to>
                </anchor>
              </controlPr>
            </control>
          </mc:Choice>
        </mc:AlternateContent>
        <mc:AlternateContent xmlns:mc="http://schemas.openxmlformats.org/markup-compatibility/2006">
          <mc:Choice Requires="x14">
            <control shapeId="5135" r:id="rId18" name="Check Box 16">
              <controlPr defaultSize="0" autoFill="0" autoLine="0" autoPict="0">
                <anchor moveWithCells="1">
                  <from>
                    <xdr:col>1</xdr:col>
                    <xdr:colOff>171450</xdr:colOff>
                    <xdr:row>16</xdr:row>
                    <xdr:rowOff>180975</xdr:rowOff>
                  </from>
                  <to>
                    <xdr:col>1</xdr:col>
                    <xdr:colOff>352425</xdr:colOff>
                    <xdr:row>18</xdr:row>
                    <xdr:rowOff>0</xdr:rowOff>
                  </to>
                </anchor>
              </controlPr>
            </control>
          </mc:Choice>
        </mc:AlternateContent>
        <mc:AlternateContent xmlns:mc="http://schemas.openxmlformats.org/markup-compatibility/2006">
          <mc:Choice Requires="x14">
            <control shapeId="5136" r:id="rId19" name="Check Box 17">
              <controlPr defaultSize="0" autoFill="0" autoLine="0" autoPict="0">
                <anchor moveWithCells="1">
                  <from>
                    <xdr:col>1</xdr:col>
                    <xdr:colOff>171450</xdr:colOff>
                    <xdr:row>17</xdr:row>
                    <xdr:rowOff>180975</xdr:rowOff>
                  </from>
                  <to>
                    <xdr:col>1</xdr:col>
                    <xdr:colOff>352425</xdr:colOff>
                    <xdr:row>19</xdr:row>
                    <xdr:rowOff>0</xdr:rowOff>
                  </to>
                </anchor>
              </controlPr>
            </control>
          </mc:Choice>
        </mc:AlternateContent>
        <mc:AlternateContent xmlns:mc="http://schemas.openxmlformats.org/markup-compatibility/2006">
          <mc:Choice Requires="x14">
            <control shapeId="5137" r:id="rId20" name="Check Box 18">
              <controlPr defaultSize="0" autoFill="0" autoLine="0" autoPict="0">
                <anchor moveWithCells="1">
                  <from>
                    <xdr:col>1</xdr:col>
                    <xdr:colOff>171450</xdr:colOff>
                    <xdr:row>19</xdr:row>
                    <xdr:rowOff>0</xdr:rowOff>
                  </from>
                  <to>
                    <xdr:col>1</xdr:col>
                    <xdr:colOff>352425</xdr:colOff>
                    <xdr:row>20</xdr:row>
                    <xdr:rowOff>0</xdr:rowOff>
                  </to>
                </anchor>
              </controlPr>
            </control>
          </mc:Choice>
        </mc:AlternateContent>
        <mc:AlternateContent xmlns:mc="http://schemas.openxmlformats.org/markup-compatibility/2006">
          <mc:Choice Requires="x14">
            <control shapeId="5138" r:id="rId21" name="Check Box 19">
              <controlPr defaultSize="0" autoFill="0" autoLine="0" autoPict="0">
                <anchor moveWithCells="1">
                  <from>
                    <xdr:col>1</xdr:col>
                    <xdr:colOff>171450</xdr:colOff>
                    <xdr:row>20</xdr:row>
                    <xdr:rowOff>0</xdr:rowOff>
                  </from>
                  <to>
                    <xdr:col>1</xdr:col>
                    <xdr:colOff>352425</xdr:colOff>
                    <xdr:row>21</xdr:row>
                    <xdr:rowOff>0</xdr:rowOff>
                  </to>
                </anchor>
              </controlPr>
            </control>
          </mc:Choice>
        </mc:AlternateContent>
        <mc:AlternateContent xmlns:mc="http://schemas.openxmlformats.org/markup-compatibility/2006">
          <mc:Choice Requires="x14">
            <control shapeId="5139" r:id="rId22" name="Check Box 20">
              <controlPr defaultSize="0" autoFill="0" autoLine="0" autoPict="0">
                <anchor moveWithCells="1">
                  <from>
                    <xdr:col>1</xdr:col>
                    <xdr:colOff>171450</xdr:colOff>
                    <xdr:row>21</xdr:row>
                    <xdr:rowOff>9525</xdr:rowOff>
                  </from>
                  <to>
                    <xdr:col>1</xdr:col>
                    <xdr:colOff>352425</xdr:colOff>
                    <xdr:row>22</xdr:row>
                    <xdr:rowOff>9525</xdr:rowOff>
                  </to>
                </anchor>
              </controlPr>
            </control>
          </mc:Choice>
        </mc:AlternateContent>
        <mc:AlternateContent xmlns:mc="http://schemas.openxmlformats.org/markup-compatibility/2006">
          <mc:Choice Requires="x14">
            <control shapeId="5140" r:id="rId23" name="Check Box 21">
              <controlPr defaultSize="0" autoFill="0" autoLine="0" autoPict="0">
                <anchor moveWithCells="1">
                  <from>
                    <xdr:col>1</xdr:col>
                    <xdr:colOff>171450</xdr:colOff>
                    <xdr:row>22</xdr:row>
                    <xdr:rowOff>9525</xdr:rowOff>
                  </from>
                  <to>
                    <xdr:col>1</xdr:col>
                    <xdr:colOff>352425</xdr:colOff>
                    <xdr:row>23</xdr:row>
                    <xdr:rowOff>9525</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1</xdr:col>
                    <xdr:colOff>161925</xdr:colOff>
                    <xdr:row>22</xdr:row>
                    <xdr:rowOff>180975</xdr:rowOff>
                  </from>
                  <to>
                    <xdr:col>1</xdr:col>
                    <xdr:colOff>342900</xdr:colOff>
                    <xdr:row>23</xdr:row>
                    <xdr:rowOff>180975</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1</xdr:col>
                    <xdr:colOff>152400</xdr:colOff>
                    <xdr:row>24</xdr:row>
                    <xdr:rowOff>0</xdr:rowOff>
                  </from>
                  <to>
                    <xdr:col>1</xdr:col>
                    <xdr:colOff>333375</xdr:colOff>
                    <xdr:row>25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dimension ref="A3:P35"/>
  <sheetViews>
    <sheetView zoomScale="85" zoomScaleNormal="85" workbookViewId="0">
      <selection activeCell="C32" sqref="C32"/>
    </sheetView>
  </sheetViews>
  <sheetFormatPr defaultColWidth="11.42578125" defaultRowHeight="15" x14ac:dyDescent="0.25"/>
  <cols>
    <col min="1" max="1" width="18.5703125" customWidth="1"/>
    <col min="2" max="2" width="5.85546875" customWidth="1"/>
    <col min="4" max="4" width="17.42578125" style="2" bestFit="1" customWidth="1"/>
    <col min="7" max="7"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3" x14ac:dyDescent="0.25">
      <c r="C3" s="3" t="s">
        <v>1</v>
      </c>
      <c r="D3" s="3" t="s">
        <v>24</v>
      </c>
      <c r="E3" s="3" t="s">
        <v>0</v>
      </c>
      <c r="F3" s="3" t="s">
        <v>16</v>
      </c>
      <c r="G3" s="3" t="s">
        <v>15</v>
      </c>
      <c r="H3" s="3" t="s">
        <v>14</v>
      </c>
      <c r="I3" s="3" t="s">
        <v>29</v>
      </c>
      <c r="J3" s="3" t="s">
        <v>30</v>
      </c>
      <c r="K3" s="3" t="s">
        <v>14</v>
      </c>
      <c r="L3" s="3" t="s">
        <v>31</v>
      </c>
    </row>
    <row r="4" spans="1:13" x14ac:dyDescent="0.25">
      <c r="A4" t="s">
        <v>2</v>
      </c>
      <c r="C4" s="2">
        <v>98</v>
      </c>
      <c r="E4">
        <f>148/100</f>
        <v>1.48</v>
      </c>
      <c r="F4">
        <f>10/100</f>
        <v>0.1</v>
      </c>
      <c r="G4">
        <f>1.6/100</f>
        <v>1.6E-2</v>
      </c>
      <c r="H4">
        <f>11/100</f>
        <v>0.11</v>
      </c>
      <c r="I4">
        <f t="shared" ref="I4:K19" si="0">IF($M4=TRUE,F4*$C4,0)</f>
        <v>9.8000000000000007</v>
      </c>
      <c r="J4">
        <f t="shared" si="0"/>
        <v>1.5680000000000001</v>
      </c>
      <c r="K4">
        <f t="shared" si="0"/>
        <v>10.78</v>
      </c>
      <c r="L4">
        <f t="shared" ref="L4:L26" si="1">IF($M4=TRUE, E4*C4,0)</f>
        <v>145.04</v>
      </c>
      <c r="M4" t="b">
        <v>1</v>
      </c>
    </row>
    <row r="5" spans="1:13" x14ac:dyDescent="0.25">
      <c r="A5" t="s">
        <v>3</v>
      </c>
      <c r="C5" s="1">
        <v>51</v>
      </c>
      <c r="E5" s="1">
        <f>371/100</f>
        <v>3.71</v>
      </c>
      <c r="F5" s="1">
        <f>12/100</f>
        <v>0.12</v>
      </c>
      <c r="G5" s="1">
        <f>60/100</f>
        <v>0.6</v>
      </c>
      <c r="H5" s="1">
        <f>7.1/100</f>
        <v>7.0999999999999994E-2</v>
      </c>
      <c r="I5">
        <f t="shared" si="0"/>
        <v>6.12</v>
      </c>
      <c r="J5">
        <f t="shared" si="0"/>
        <v>30.599999999999998</v>
      </c>
      <c r="K5">
        <f t="shared" si="0"/>
        <v>3.6209999999999996</v>
      </c>
      <c r="L5">
        <f t="shared" si="1"/>
        <v>189.21</v>
      </c>
      <c r="M5" t="b">
        <v>1</v>
      </c>
    </row>
    <row r="6" spans="1:13" x14ac:dyDescent="0.25">
      <c r="A6" t="s">
        <v>4</v>
      </c>
      <c r="C6" s="1">
        <v>1</v>
      </c>
      <c r="E6" s="1">
        <v>400</v>
      </c>
      <c r="F6" s="1">
        <v>10.1</v>
      </c>
      <c r="G6" s="1">
        <v>34.1</v>
      </c>
      <c r="H6" s="1">
        <v>10.1</v>
      </c>
      <c r="I6">
        <f t="shared" si="0"/>
        <v>0</v>
      </c>
      <c r="J6">
        <f t="shared" si="0"/>
        <v>0</v>
      </c>
      <c r="K6">
        <f t="shared" si="0"/>
        <v>0</v>
      </c>
      <c r="L6">
        <f t="shared" si="1"/>
        <v>0</v>
      </c>
      <c r="M6" t="b">
        <v>0</v>
      </c>
    </row>
    <row r="7" spans="1:13" x14ac:dyDescent="0.25">
      <c r="A7" t="s">
        <v>5</v>
      </c>
      <c r="C7" s="1">
        <f>144+144</f>
        <v>288</v>
      </c>
      <c r="E7" s="1">
        <f>94/100</f>
        <v>0.94</v>
      </c>
      <c r="F7" s="1">
        <f>20.7/100</f>
        <v>0.20699999999999999</v>
      </c>
      <c r="G7" s="1">
        <f>2.2/100</f>
        <v>2.2000000000000002E-2</v>
      </c>
      <c r="H7" s="1">
        <f>0.9/100</f>
        <v>9.0000000000000011E-3</v>
      </c>
      <c r="I7">
        <f t="shared" si="0"/>
        <v>59.616</v>
      </c>
      <c r="J7">
        <f t="shared" si="0"/>
        <v>6.3360000000000003</v>
      </c>
      <c r="K7">
        <f t="shared" si="0"/>
        <v>2.5920000000000005</v>
      </c>
      <c r="L7">
        <f>IF($M7=TRUE, E7*C7,0)</f>
        <v>270.71999999999997</v>
      </c>
      <c r="M7" t="b">
        <v>1</v>
      </c>
    </row>
    <row r="8" spans="1:13" x14ac:dyDescent="0.25">
      <c r="A8" t="s">
        <v>6</v>
      </c>
      <c r="C8" s="12">
        <v>100</v>
      </c>
      <c r="E8" s="1">
        <f>126/100</f>
        <v>1.26</v>
      </c>
      <c r="F8" s="1">
        <f>20/100</f>
        <v>0.2</v>
      </c>
      <c r="G8" s="1">
        <f>0.2/100</f>
        <v>2E-3</v>
      </c>
      <c r="H8" s="1">
        <f>5/100</f>
        <v>0.05</v>
      </c>
      <c r="I8">
        <f t="shared" si="0"/>
        <v>0</v>
      </c>
      <c r="J8">
        <f t="shared" si="0"/>
        <v>0</v>
      </c>
      <c r="K8">
        <f t="shared" si="0"/>
        <v>0</v>
      </c>
      <c r="L8">
        <f t="shared" si="1"/>
        <v>0</v>
      </c>
      <c r="M8" t="b">
        <v>0</v>
      </c>
    </row>
    <row r="9" spans="1:13" x14ac:dyDescent="0.25">
      <c r="A9" t="s">
        <v>7</v>
      </c>
      <c r="C9" s="1">
        <v>50</v>
      </c>
      <c r="E9" s="1">
        <f>360/100</f>
        <v>3.6</v>
      </c>
      <c r="F9" s="1">
        <f>12.68/100</f>
        <v>0.1268</v>
      </c>
      <c r="G9" s="1">
        <f>72.83/100</f>
        <v>0.72829999999999995</v>
      </c>
      <c r="H9" s="1">
        <f>1.05/100</f>
        <v>1.0500000000000001E-2</v>
      </c>
      <c r="I9">
        <f t="shared" si="0"/>
        <v>0</v>
      </c>
      <c r="J9">
        <f t="shared" si="0"/>
        <v>0</v>
      </c>
      <c r="K9">
        <f t="shared" si="0"/>
        <v>0</v>
      </c>
      <c r="L9">
        <f t="shared" si="1"/>
        <v>0</v>
      </c>
      <c r="M9" t="b">
        <v>0</v>
      </c>
    </row>
    <row r="10" spans="1:13" x14ac:dyDescent="0.25">
      <c r="A10" t="s">
        <v>8</v>
      </c>
      <c r="C10" s="12">
        <v>39</v>
      </c>
      <c r="E10" s="1">
        <f>343/100</f>
        <v>3.43</v>
      </c>
      <c r="F10" s="1">
        <f>8.8/100</f>
        <v>8.8000000000000009E-2</v>
      </c>
      <c r="G10" s="1">
        <f>72/100</f>
        <v>0.72</v>
      </c>
      <c r="H10" s="1">
        <f>2.2/100</f>
        <v>2.2000000000000002E-2</v>
      </c>
      <c r="I10">
        <f t="shared" si="0"/>
        <v>0</v>
      </c>
      <c r="J10">
        <f t="shared" si="0"/>
        <v>0</v>
      </c>
      <c r="K10">
        <f t="shared" si="0"/>
        <v>0</v>
      </c>
      <c r="L10">
        <f>IF($M10=TRUE, E10*C10,0)</f>
        <v>0</v>
      </c>
      <c r="M10" t="b">
        <v>0</v>
      </c>
    </row>
    <row r="11" spans="1:13" x14ac:dyDescent="0.25">
      <c r="A11" t="s">
        <v>9</v>
      </c>
      <c r="C11" s="1">
        <v>119</v>
      </c>
      <c r="E11" s="1">
        <f>90/100</f>
        <v>0.9</v>
      </c>
      <c r="F11" s="1">
        <f>1.5/100</f>
        <v>1.4999999999999999E-2</v>
      </c>
      <c r="G11" s="1">
        <f>20/100</f>
        <v>0.2</v>
      </c>
      <c r="H11" s="1">
        <v>0</v>
      </c>
      <c r="I11">
        <f t="shared" si="0"/>
        <v>1.7849999999999999</v>
      </c>
      <c r="J11">
        <f t="shared" si="0"/>
        <v>23.8</v>
      </c>
      <c r="K11">
        <f t="shared" si="0"/>
        <v>0</v>
      </c>
      <c r="L11">
        <f t="shared" si="1"/>
        <v>107.10000000000001</v>
      </c>
      <c r="M11" t="b">
        <v>1</v>
      </c>
    </row>
    <row r="12" spans="1:13" x14ac:dyDescent="0.25">
      <c r="A12" t="s">
        <v>10</v>
      </c>
      <c r="C12" s="1">
        <v>142</v>
      </c>
      <c r="E12" s="1">
        <f>53/100</f>
        <v>0.53</v>
      </c>
      <c r="F12" s="1">
        <f>1.6/100</f>
        <v>1.6E-2</v>
      </c>
      <c r="G12" s="1">
        <f>11/100</f>
        <v>0.11</v>
      </c>
      <c r="H12" s="1">
        <f>0.3/100</f>
        <v>3.0000000000000001E-3</v>
      </c>
      <c r="I12">
        <f t="shared" si="0"/>
        <v>2.2720000000000002</v>
      </c>
      <c r="J12">
        <f t="shared" si="0"/>
        <v>15.62</v>
      </c>
      <c r="K12">
        <f t="shared" si="0"/>
        <v>0.42599999999999999</v>
      </c>
      <c r="L12">
        <f t="shared" si="1"/>
        <v>75.260000000000005</v>
      </c>
      <c r="M12" t="b">
        <v>1</v>
      </c>
    </row>
    <row r="13" spans="1:13" x14ac:dyDescent="0.25">
      <c r="A13" t="s">
        <v>11</v>
      </c>
      <c r="C13" s="1">
        <v>165</v>
      </c>
      <c r="E13" s="1">
        <f>45/100</f>
        <v>0.45</v>
      </c>
      <c r="F13" s="1">
        <f>1/100</f>
        <v>0.01</v>
      </c>
      <c r="G13" s="1">
        <f>9/100</f>
        <v>0.09</v>
      </c>
      <c r="H13" s="1">
        <f>0.2/100</f>
        <v>2E-3</v>
      </c>
      <c r="I13">
        <f t="shared" si="0"/>
        <v>0</v>
      </c>
      <c r="J13">
        <f t="shared" si="0"/>
        <v>0</v>
      </c>
      <c r="K13">
        <f t="shared" si="0"/>
        <v>0</v>
      </c>
      <c r="L13">
        <f t="shared" si="1"/>
        <v>0</v>
      </c>
      <c r="M13" t="b">
        <v>0</v>
      </c>
    </row>
    <row r="14" spans="1:13" x14ac:dyDescent="0.25">
      <c r="A14" t="s">
        <v>12</v>
      </c>
      <c r="C14" s="1">
        <v>130</v>
      </c>
      <c r="E14" s="1">
        <f>293/100</f>
        <v>2.93</v>
      </c>
      <c r="F14" s="1">
        <f>11/100</f>
        <v>0.11</v>
      </c>
      <c r="G14" s="1">
        <f>54/100</f>
        <v>0.54</v>
      </c>
      <c r="H14" s="1">
        <f>3.3/100</f>
        <v>3.3000000000000002E-2</v>
      </c>
      <c r="I14">
        <f t="shared" si="0"/>
        <v>0</v>
      </c>
      <c r="J14">
        <f t="shared" si="0"/>
        <v>0</v>
      </c>
      <c r="K14">
        <f t="shared" si="0"/>
        <v>0</v>
      </c>
      <c r="L14">
        <f t="shared" si="1"/>
        <v>0</v>
      </c>
      <c r="M14" t="b">
        <v>0</v>
      </c>
    </row>
    <row r="15" spans="1:13" x14ac:dyDescent="0.25">
      <c r="A15" t="s">
        <v>13</v>
      </c>
      <c r="C15" s="14">
        <v>1</v>
      </c>
      <c r="E15" s="1">
        <v>93</v>
      </c>
      <c r="F15" s="1">
        <v>20</v>
      </c>
      <c r="G15" s="1">
        <v>1</v>
      </c>
      <c r="H15" s="1">
        <v>1</v>
      </c>
      <c r="I15">
        <f t="shared" si="0"/>
        <v>20</v>
      </c>
      <c r="J15">
        <f t="shared" si="0"/>
        <v>1</v>
      </c>
      <c r="K15">
        <f t="shared" si="0"/>
        <v>1</v>
      </c>
      <c r="L15">
        <f t="shared" si="1"/>
        <v>93</v>
      </c>
      <c r="M15" t="b">
        <v>1</v>
      </c>
    </row>
    <row r="16" spans="1:13" x14ac:dyDescent="0.25">
      <c r="A16" t="s">
        <v>17</v>
      </c>
      <c r="C16" s="1">
        <v>24</v>
      </c>
      <c r="D16" s="2" t="s">
        <v>23</v>
      </c>
      <c r="E16" s="1">
        <f>74/100</f>
        <v>0.74</v>
      </c>
      <c r="F16" s="1">
        <f>3/100</f>
        <v>0.03</v>
      </c>
      <c r="G16" s="1">
        <f>11/100</f>
        <v>0.11</v>
      </c>
      <c r="H16" s="1">
        <f>1.5/100</f>
        <v>1.4999999999999999E-2</v>
      </c>
      <c r="I16">
        <f t="shared" si="0"/>
        <v>0</v>
      </c>
      <c r="J16">
        <f t="shared" si="0"/>
        <v>0</v>
      </c>
      <c r="K16">
        <f t="shared" si="0"/>
        <v>0</v>
      </c>
      <c r="L16">
        <f t="shared" si="1"/>
        <v>0</v>
      </c>
      <c r="M16" t="b">
        <v>0</v>
      </c>
    </row>
    <row r="17" spans="1:13" x14ac:dyDescent="0.25">
      <c r="A17" t="s">
        <v>18</v>
      </c>
      <c r="C17" s="1">
        <v>235</v>
      </c>
      <c r="E17" s="1">
        <f>46/100</f>
        <v>0.46</v>
      </c>
      <c r="F17" s="1">
        <f>3.2/100</f>
        <v>3.2000000000000001E-2</v>
      </c>
      <c r="G17" s="1">
        <f>4.8/100</f>
        <v>4.8000000000000001E-2</v>
      </c>
      <c r="H17" s="1">
        <f>1.6/100</f>
        <v>1.6E-2</v>
      </c>
      <c r="I17">
        <f t="shared" si="0"/>
        <v>7.5200000000000005</v>
      </c>
      <c r="J17">
        <f t="shared" si="0"/>
        <v>11.28</v>
      </c>
      <c r="K17">
        <f t="shared" si="0"/>
        <v>3.7600000000000002</v>
      </c>
      <c r="L17">
        <f t="shared" si="1"/>
        <v>108.10000000000001</v>
      </c>
      <c r="M17" t="b">
        <v>1</v>
      </c>
    </row>
    <row r="18" spans="1:13" x14ac:dyDescent="0.25">
      <c r="A18" t="s">
        <v>19</v>
      </c>
      <c r="C18" s="1">
        <v>137</v>
      </c>
      <c r="D18" s="2" t="s">
        <v>25</v>
      </c>
      <c r="E18" s="1">
        <f>77/100</f>
        <v>0.77</v>
      </c>
      <c r="F18" s="1">
        <f>2/100</f>
        <v>0.02</v>
      </c>
      <c r="G18" s="1">
        <f>17/100</f>
        <v>0.17</v>
      </c>
      <c r="H18" s="1">
        <f>0.1/100</f>
        <v>1E-3</v>
      </c>
      <c r="I18">
        <f t="shared" si="0"/>
        <v>0</v>
      </c>
      <c r="J18">
        <f t="shared" si="0"/>
        <v>0</v>
      </c>
      <c r="K18">
        <f t="shared" si="0"/>
        <v>0</v>
      </c>
      <c r="L18">
        <f t="shared" si="1"/>
        <v>0</v>
      </c>
      <c r="M18" t="b">
        <v>0</v>
      </c>
    </row>
    <row r="19" spans="1:13" x14ac:dyDescent="0.25">
      <c r="A19" t="s">
        <v>20</v>
      </c>
      <c r="C19" s="14">
        <f>44+130</f>
        <v>174</v>
      </c>
      <c r="E19" s="1">
        <f>109/100</f>
        <v>1.0900000000000001</v>
      </c>
      <c r="F19" s="1">
        <f>25/100</f>
        <v>0.25</v>
      </c>
      <c r="G19" s="1">
        <v>0</v>
      </c>
      <c r="H19" s="1">
        <f>1/100</f>
        <v>0.01</v>
      </c>
      <c r="I19">
        <f t="shared" si="0"/>
        <v>43.5</v>
      </c>
      <c r="J19">
        <f t="shared" si="0"/>
        <v>0</v>
      </c>
      <c r="K19">
        <f t="shared" si="0"/>
        <v>1.74</v>
      </c>
      <c r="L19">
        <f t="shared" si="1"/>
        <v>189.66000000000003</v>
      </c>
      <c r="M19" t="b">
        <v>1</v>
      </c>
    </row>
    <row r="20" spans="1:13" x14ac:dyDescent="0.25">
      <c r="A20" t="s">
        <v>21</v>
      </c>
      <c r="C20" s="1">
        <v>50</v>
      </c>
      <c r="D20" s="2" t="s">
        <v>22</v>
      </c>
      <c r="E20" s="1">
        <f>44/100</f>
        <v>0.44</v>
      </c>
      <c r="F20" s="1">
        <f>2.3/100</f>
        <v>2.3E-2</v>
      </c>
      <c r="G20" s="1">
        <f>7.2/100</f>
        <v>7.2000000000000008E-2</v>
      </c>
      <c r="H20" s="1">
        <f>0.5/100</f>
        <v>5.0000000000000001E-3</v>
      </c>
      <c r="I20">
        <f t="shared" ref="I20:K26" si="2">IF($M20=TRUE,F20*$C20,0)</f>
        <v>0</v>
      </c>
      <c r="J20">
        <f t="shared" si="2"/>
        <v>0</v>
      </c>
      <c r="K20">
        <f t="shared" si="2"/>
        <v>0</v>
      </c>
      <c r="L20">
        <f t="shared" si="1"/>
        <v>0</v>
      </c>
      <c r="M20" t="b">
        <v>0</v>
      </c>
    </row>
    <row r="21" spans="1:13" x14ac:dyDescent="0.25">
      <c r="A21" t="s">
        <v>26</v>
      </c>
      <c r="C21" s="1"/>
      <c r="E21" s="1">
        <f>275/100</f>
        <v>2.75</v>
      </c>
      <c r="F21" s="1">
        <v>0</v>
      </c>
      <c r="G21" s="1">
        <v>0</v>
      </c>
      <c r="H21" s="1">
        <v>0</v>
      </c>
      <c r="I21">
        <f t="shared" si="2"/>
        <v>0</v>
      </c>
      <c r="J21">
        <f t="shared" si="2"/>
        <v>0</v>
      </c>
      <c r="K21">
        <f t="shared" si="2"/>
        <v>0</v>
      </c>
      <c r="L21">
        <f t="shared" si="1"/>
        <v>0</v>
      </c>
      <c r="M21" t="b">
        <v>0</v>
      </c>
    </row>
    <row r="22" spans="1:13" x14ac:dyDescent="0.25">
      <c r="A22" t="s">
        <v>32</v>
      </c>
      <c r="C22" s="11">
        <v>5</v>
      </c>
      <c r="E22">
        <f>620/100</f>
        <v>6.2</v>
      </c>
      <c r="F22">
        <f>22/100</f>
        <v>0.22</v>
      </c>
      <c r="G22">
        <f>6.9/100</f>
        <v>6.9000000000000006E-2</v>
      </c>
      <c r="H22">
        <f>54/100</f>
        <v>0.54</v>
      </c>
      <c r="I22">
        <f t="shared" si="2"/>
        <v>1.1000000000000001</v>
      </c>
      <c r="J22">
        <f t="shared" si="2"/>
        <v>0.34500000000000003</v>
      </c>
      <c r="K22">
        <f t="shared" si="2"/>
        <v>2.7</v>
      </c>
      <c r="L22">
        <f t="shared" si="1"/>
        <v>31</v>
      </c>
      <c r="M22" t="b">
        <v>1</v>
      </c>
    </row>
    <row r="23" spans="1:13" x14ac:dyDescent="0.25">
      <c r="A23" t="s">
        <v>33</v>
      </c>
      <c r="C23" s="1">
        <v>2</v>
      </c>
      <c r="E23">
        <f>17</f>
        <v>17</v>
      </c>
      <c r="F23">
        <v>3.6</v>
      </c>
      <c r="G23">
        <v>0.2</v>
      </c>
      <c r="H23">
        <v>0.1</v>
      </c>
      <c r="I23">
        <f t="shared" si="2"/>
        <v>0</v>
      </c>
      <c r="J23">
        <f t="shared" si="2"/>
        <v>0</v>
      </c>
      <c r="K23">
        <f t="shared" si="2"/>
        <v>0</v>
      </c>
      <c r="L23">
        <f t="shared" si="1"/>
        <v>0</v>
      </c>
      <c r="M23" t="b">
        <v>0</v>
      </c>
    </row>
    <row r="24" spans="1:13" x14ac:dyDescent="0.25">
      <c r="A24" t="s">
        <v>34</v>
      </c>
      <c r="C24" s="1">
        <v>60</v>
      </c>
      <c r="E24">
        <f>351/100</f>
        <v>3.51</v>
      </c>
      <c r="F24">
        <f>7.4/100</f>
        <v>7.400000000000001E-2</v>
      </c>
      <c r="G24">
        <f>78.7/100</f>
        <v>0.78700000000000003</v>
      </c>
      <c r="H24">
        <f>0.7/100</f>
        <v>6.9999999999999993E-3</v>
      </c>
      <c r="I24">
        <f t="shared" ref="I24:K25" si="3">IF($M24=TRUE,F24*$C24,0)</f>
        <v>0</v>
      </c>
      <c r="J24">
        <f t="shared" si="3"/>
        <v>0</v>
      </c>
      <c r="K24">
        <f t="shared" si="3"/>
        <v>0</v>
      </c>
      <c r="L24">
        <f>IF($M24=TRUE, E24*C24,0)</f>
        <v>0</v>
      </c>
      <c r="M24" t="b">
        <v>0</v>
      </c>
    </row>
    <row r="25" spans="1:13" x14ac:dyDescent="0.25">
      <c r="A25" t="s">
        <v>33</v>
      </c>
      <c r="C25" s="1">
        <f>172-98</f>
        <v>74</v>
      </c>
      <c r="E25">
        <v>0.52</v>
      </c>
      <c r="F25">
        <v>0.11</v>
      </c>
      <c r="G25">
        <v>6.9999999999999993E-3</v>
      </c>
      <c r="H25">
        <v>2E-3</v>
      </c>
      <c r="I25">
        <f t="shared" si="3"/>
        <v>8.14</v>
      </c>
      <c r="J25">
        <f t="shared" si="3"/>
        <v>0.5179999999999999</v>
      </c>
      <c r="K25">
        <f t="shared" si="3"/>
        <v>0.14799999999999999</v>
      </c>
      <c r="L25">
        <f>IF($M25=TRUE, E25*C25,0)</f>
        <v>38.480000000000004</v>
      </c>
      <c r="M25" t="b">
        <v>1</v>
      </c>
    </row>
    <row r="26" spans="1:13" x14ac:dyDescent="0.25">
      <c r="A26" t="s">
        <v>55</v>
      </c>
      <c r="E26">
        <f>364/100</f>
        <v>3.64</v>
      </c>
      <c r="F26">
        <f>19/100</f>
        <v>0.19</v>
      </c>
      <c r="G26">
        <f>61/100</f>
        <v>0.61</v>
      </c>
      <c r="H26">
        <f>6/100</f>
        <v>0.06</v>
      </c>
      <c r="I26">
        <f t="shared" si="2"/>
        <v>0</v>
      </c>
      <c r="J26">
        <f t="shared" si="2"/>
        <v>0</v>
      </c>
      <c r="K26">
        <f t="shared" si="2"/>
        <v>0</v>
      </c>
      <c r="L26">
        <f t="shared" si="1"/>
        <v>0</v>
      </c>
      <c r="M26" t="b">
        <v>0</v>
      </c>
    </row>
    <row r="27" spans="1:13" x14ac:dyDescent="0.25">
      <c r="A27" t="s">
        <v>57</v>
      </c>
      <c r="C27" s="14">
        <v>130</v>
      </c>
      <c r="E27">
        <f>184/100</f>
        <v>1.84</v>
      </c>
      <c r="F27">
        <f>19/100</f>
        <v>0.19</v>
      </c>
      <c r="G27">
        <v>0</v>
      </c>
      <c r="H27">
        <f>12/100</f>
        <v>0.12</v>
      </c>
      <c r="I27">
        <f t="shared" ref="I27:K30" si="4">IF($M27=TRUE,F27*$C27,0)</f>
        <v>24.7</v>
      </c>
      <c r="J27">
        <f t="shared" si="4"/>
        <v>0</v>
      </c>
      <c r="K27">
        <f t="shared" si="4"/>
        <v>15.6</v>
      </c>
      <c r="L27">
        <f>IF($M27=TRUE, E27*C27,0)</f>
        <v>239.20000000000002</v>
      </c>
      <c r="M27" t="b">
        <v>1</v>
      </c>
    </row>
    <row r="28" spans="1:13" x14ac:dyDescent="0.25">
      <c r="A28" t="s">
        <v>58</v>
      </c>
      <c r="C28" s="14">
        <v>50</v>
      </c>
      <c r="E28">
        <f>86/100</f>
        <v>0.86</v>
      </c>
      <c r="F28">
        <f>1.6/100</f>
        <v>1.6E-2</v>
      </c>
      <c r="G28">
        <f>20/100</f>
        <v>0.2</v>
      </c>
      <c r="H28">
        <f>0.1/100</f>
        <v>1E-3</v>
      </c>
      <c r="I28">
        <f t="shared" si="4"/>
        <v>0.8</v>
      </c>
      <c r="J28">
        <f t="shared" si="4"/>
        <v>10</v>
      </c>
      <c r="K28">
        <f t="shared" si="4"/>
        <v>0.05</v>
      </c>
      <c r="L28">
        <f>IF($M28=TRUE, E28*C28,0)</f>
        <v>43</v>
      </c>
      <c r="M28" t="b">
        <v>1</v>
      </c>
    </row>
    <row r="29" spans="1:13" x14ac:dyDescent="0.25">
      <c r="A29" t="s">
        <v>59</v>
      </c>
      <c r="C29" s="1">
        <v>100</v>
      </c>
      <c r="E29">
        <f>121/100</f>
        <v>1.21</v>
      </c>
      <c r="F29">
        <f>20/100</f>
        <v>0.2</v>
      </c>
      <c r="G29">
        <v>0</v>
      </c>
      <c r="H29">
        <f>5/100</f>
        <v>0.05</v>
      </c>
      <c r="I29">
        <f t="shared" si="4"/>
        <v>0</v>
      </c>
      <c r="J29">
        <f t="shared" si="4"/>
        <v>0</v>
      </c>
      <c r="K29">
        <f t="shared" si="4"/>
        <v>0</v>
      </c>
      <c r="L29">
        <f>IF($M29=TRUE, E29*C29,0)</f>
        <v>0</v>
      </c>
      <c r="M29" t="b">
        <v>0</v>
      </c>
    </row>
    <row r="30" spans="1:13" x14ac:dyDescent="0.25">
      <c r="A30" t="s">
        <v>60</v>
      </c>
      <c r="C30" s="13">
        <v>67</v>
      </c>
      <c r="E30">
        <f>347/100</f>
        <v>3.47</v>
      </c>
      <c r="F30">
        <f>7.5/100</f>
        <v>7.4999999999999997E-2</v>
      </c>
      <c r="G30">
        <f>78/100</f>
        <v>0.78</v>
      </c>
      <c r="H30">
        <f>0.6/100</f>
        <v>6.0000000000000001E-3</v>
      </c>
      <c r="I30">
        <f t="shared" si="4"/>
        <v>5.0249999999999995</v>
      </c>
      <c r="J30">
        <f t="shared" si="4"/>
        <v>52.260000000000005</v>
      </c>
      <c r="K30">
        <f t="shared" si="4"/>
        <v>0.40200000000000002</v>
      </c>
      <c r="L30">
        <f>IF($M30=TRUE, E30*C30,0)</f>
        <v>232.49</v>
      </c>
      <c r="M30" t="b">
        <v>1</v>
      </c>
    </row>
    <row r="34" spans="9:16" x14ac:dyDescent="0.25">
      <c r="I34" s="4">
        <f>SUM(I4:I33)</f>
        <v>190.37800000000001</v>
      </c>
      <c r="J34" s="4">
        <f>SUM(J4:J33)</f>
        <v>153.327</v>
      </c>
      <c r="K34" s="4">
        <f>SUM(K4:K33)</f>
        <v>42.818999999999996</v>
      </c>
      <c r="L34" s="4">
        <f>SUM(L4:L33)</f>
        <v>1762.2600000000002</v>
      </c>
      <c r="M34" t="s">
        <v>28</v>
      </c>
      <c r="N34">
        <v>68.5</v>
      </c>
      <c r="P34">
        <v>1</v>
      </c>
    </row>
    <row r="35" spans="9:16" x14ac:dyDescent="0.25">
      <c r="I35">
        <f>1.25 * $P35 * $N34</f>
        <v>188.77058749999998</v>
      </c>
      <c r="J35">
        <f>1 * $P35 * $N34</f>
        <v>151.01647</v>
      </c>
      <c r="K35">
        <f>0.27 * $P35 * $N34</f>
        <v>40.774446900000001</v>
      </c>
      <c r="L35">
        <f>11.43*P35* N34</f>
        <v>1726.1182520999998</v>
      </c>
      <c r="P35">
        <v>2.2046199999999998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ase à cocher 1">
              <controlPr defaultSize="0" autoFill="0" autoLine="0" autoPict="0">
                <anchor moveWithCells="1">
                  <from>
                    <xdr:col>1</xdr:col>
                    <xdr:colOff>161925</xdr:colOff>
                    <xdr:row>3</xdr:row>
                    <xdr:rowOff>19050</xdr:rowOff>
                  </from>
                  <to>
                    <xdr:col>1</xdr:col>
                    <xdr:colOff>342900</xdr:colOff>
                    <xdr:row>4</xdr:row>
                    <xdr:rowOff>19050</xdr:rowOff>
                  </to>
                </anchor>
              </controlPr>
            </control>
          </mc:Choice>
        </mc:AlternateContent>
        <mc:AlternateContent xmlns:mc="http://schemas.openxmlformats.org/markup-compatibility/2006">
          <mc:Choice Requires="x14">
            <control shapeId="7170" r:id="rId5" name="Case à cocher 2">
              <controlPr defaultSize="0" autoFill="0" autoLine="0" autoPict="0">
                <anchor moveWithCells="1">
                  <from>
                    <xdr:col>1</xdr:col>
                    <xdr:colOff>161925</xdr:colOff>
                    <xdr:row>4</xdr:row>
                    <xdr:rowOff>9525</xdr:rowOff>
                  </from>
                  <to>
                    <xdr:col>1</xdr:col>
                    <xdr:colOff>342900</xdr:colOff>
                    <xdr:row>5</xdr:row>
                    <xdr:rowOff>9525</xdr:rowOff>
                  </to>
                </anchor>
              </controlPr>
            </control>
          </mc:Choice>
        </mc:AlternateContent>
        <mc:AlternateContent xmlns:mc="http://schemas.openxmlformats.org/markup-compatibility/2006">
          <mc:Choice Requires="x14">
            <control shapeId="7171" r:id="rId6" name="Case à cocher 4">
              <controlPr defaultSize="0" autoFill="0" autoLine="0" autoPict="0">
                <anchor moveWithCells="1">
                  <from>
                    <xdr:col>1</xdr:col>
                    <xdr:colOff>161925</xdr:colOff>
                    <xdr:row>5</xdr:row>
                    <xdr:rowOff>19050</xdr:rowOff>
                  </from>
                  <to>
                    <xdr:col>1</xdr:col>
                    <xdr:colOff>342900</xdr:colOff>
                    <xdr:row>6</xdr:row>
                    <xdr:rowOff>19050</xdr:rowOff>
                  </to>
                </anchor>
              </controlPr>
            </control>
          </mc:Choice>
        </mc:AlternateContent>
        <mc:AlternateContent xmlns:mc="http://schemas.openxmlformats.org/markup-compatibility/2006">
          <mc:Choice Requires="x14">
            <control shapeId="7172" r:id="rId7" name="Case à cocher 5">
              <controlPr defaultSize="0" autoFill="0" autoLine="0" autoPict="0">
                <anchor moveWithCells="1">
                  <from>
                    <xdr:col>1</xdr:col>
                    <xdr:colOff>161925</xdr:colOff>
                    <xdr:row>7</xdr:row>
                    <xdr:rowOff>9525</xdr:rowOff>
                  </from>
                  <to>
                    <xdr:col>1</xdr:col>
                    <xdr:colOff>342900</xdr:colOff>
                    <xdr:row>8</xdr:row>
                    <xdr:rowOff>9525</xdr:rowOff>
                  </to>
                </anchor>
              </controlPr>
            </control>
          </mc:Choice>
        </mc:AlternateContent>
        <mc:AlternateContent xmlns:mc="http://schemas.openxmlformats.org/markup-compatibility/2006">
          <mc:Choice Requires="x14">
            <control shapeId="7173" r:id="rId8" name="Case à cocher 6">
              <controlPr defaultSize="0" autoFill="0" autoLine="0" autoPict="0">
                <anchor moveWithCells="1">
                  <from>
                    <xdr:col>1</xdr:col>
                    <xdr:colOff>161925</xdr:colOff>
                    <xdr:row>6</xdr:row>
                    <xdr:rowOff>19050</xdr:rowOff>
                  </from>
                  <to>
                    <xdr:col>1</xdr:col>
                    <xdr:colOff>342900</xdr:colOff>
                    <xdr:row>7</xdr:row>
                    <xdr:rowOff>19050</xdr:rowOff>
                  </to>
                </anchor>
              </controlPr>
            </control>
          </mc:Choice>
        </mc:AlternateContent>
        <mc:AlternateContent xmlns:mc="http://schemas.openxmlformats.org/markup-compatibility/2006">
          <mc:Choice Requires="x14">
            <control shapeId="7174" r:id="rId9" name="Case à cocher 7">
              <controlPr defaultSize="0" autoFill="0" autoLine="0" autoPict="0">
                <anchor moveWithCells="1">
                  <from>
                    <xdr:col>1</xdr:col>
                    <xdr:colOff>161925</xdr:colOff>
                    <xdr:row>8</xdr:row>
                    <xdr:rowOff>19050</xdr:rowOff>
                  </from>
                  <to>
                    <xdr:col>1</xdr:col>
                    <xdr:colOff>342900</xdr:colOff>
                    <xdr:row>9</xdr:row>
                    <xdr:rowOff>19050</xdr:rowOff>
                  </to>
                </anchor>
              </controlPr>
            </control>
          </mc:Choice>
        </mc:AlternateContent>
        <mc:AlternateContent xmlns:mc="http://schemas.openxmlformats.org/markup-compatibility/2006">
          <mc:Choice Requires="x14">
            <control shapeId="7175" r:id="rId10" name="Case à cocher 8">
              <controlPr defaultSize="0" autoFill="0" autoLine="0" autoPict="0">
                <anchor moveWithCells="1">
                  <from>
                    <xdr:col>1</xdr:col>
                    <xdr:colOff>161925</xdr:colOff>
                    <xdr:row>9</xdr:row>
                    <xdr:rowOff>9525</xdr:rowOff>
                  </from>
                  <to>
                    <xdr:col>1</xdr:col>
                    <xdr:colOff>342900</xdr:colOff>
                    <xdr:row>10</xdr:row>
                    <xdr:rowOff>9525</xdr:rowOff>
                  </to>
                </anchor>
              </controlPr>
            </control>
          </mc:Choice>
        </mc:AlternateContent>
        <mc:AlternateContent xmlns:mc="http://schemas.openxmlformats.org/markup-compatibility/2006">
          <mc:Choice Requires="x14">
            <control shapeId="7176" r:id="rId11" name="Case à cocher 9">
              <controlPr defaultSize="0" autoFill="0" autoLine="0" autoPict="0">
                <anchor moveWithCells="1">
                  <from>
                    <xdr:col>1</xdr:col>
                    <xdr:colOff>161925</xdr:colOff>
                    <xdr:row>10</xdr:row>
                    <xdr:rowOff>9525</xdr:rowOff>
                  </from>
                  <to>
                    <xdr:col>1</xdr:col>
                    <xdr:colOff>342900</xdr:colOff>
                    <xdr:row>11</xdr:row>
                    <xdr:rowOff>9525</xdr:rowOff>
                  </to>
                </anchor>
              </controlPr>
            </control>
          </mc:Choice>
        </mc:AlternateContent>
        <mc:AlternateContent xmlns:mc="http://schemas.openxmlformats.org/markup-compatibility/2006">
          <mc:Choice Requires="x14">
            <control shapeId="7177" r:id="rId12" name="Case à cocher 10">
              <controlPr defaultSize="0" autoFill="0" autoLine="0" autoPict="0">
                <anchor moveWithCells="1">
                  <from>
                    <xdr:col>1</xdr:col>
                    <xdr:colOff>161925</xdr:colOff>
                    <xdr:row>10</xdr:row>
                    <xdr:rowOff>171450</xdr:rowOff>
                  </from>
                  <to>
                    <xdr:col>1</xdr:col>
                    <xdr:colOff>342900</xdr:colOff>
                    <xdr:row>11</xdr:row>
                    <xdr:rowOff>171450</xdr:rowOff>
                  </to>
                </anchor>
              </controlPr>
            </control>
          </mc:Choice>
        </mc:AlternateContent>
        <mc:AlternateContent xmlns:mc="http://schemas.openxmlformats.org/markup-compatibility/2006">
          <mc:Choice Requires="x14">
            <control shapeId="7178" r:id="rId13" name="Case à cocher 11">
              <controlPr defaultSize="0" autoFill="0" autoLine="0" autoPict="0">
                <anchor moveWithCells="1">
                  <from>
                    <xdr:col>1</xdr:col>
                    <xdr:colOff>161925</xdr:colOff>
                    <xdr:row>11</xdr:row>
                    <xdr:rowOff>171450</xdr:rowOff>
                  </from>
                  <to>
                    <xdr:col>1</xdr:col>
                    <xdr:colOff>342900</xdr:colOff>
                    <xdr:row>12</xdr:row>
                    <xdr:rowOff>171450</xdr:rowOff>
                  </to>
                </anchor>
              </controlPr>
            </control>
          </mc:Choice>
        </mc:AlternateContent>
        <mc:AlternateContent xmlns:mc="http://schemas.openxmlformats.org/markup-compatibility/2006">
          <mc:Choice Requires="x14">
            <control shapeId="7179" r:id="rId14" name="Check Box 11">
              <controlPr defaultSize="0" autoFill="0" autoLine="0" autoPict="0">
                <anchor moveWithCells="1">
                  <from>
                    <xdr:col>1</xdr:col>
                    <xdr:colOff>161925</xdr:colOff>
                    <xdr:row>12</xdr:row>
                    <xdr:rowOff>171450</xdr:rowOff>
                  </from>
                  <to>
                    <xdr:col>1</xdr:col>
                    <xdr:colOff>342900</xdr:colOff>
                    <xdr:row>13</xdr:row>
                    <xdr:rowOff>171450</xdr:rowOff>
                  </to>
                </anchor>
              </controlPr>
            </control>
          </mc:Choice>
        </mc:AlternateContent>
        <mc:AlternateContent xmlns:mc="http://schemas.openxmlformats.org/markup-compatibility/2006">
          <mc:Choice Requires="x14">
            <control shapeId="7180" r:id="rId15" name="Check Box 13">
              <controlPr defaultSize="0" autoFill="0" autoLine="0" autoPict="0">
                <anchor moveWithCells="1">
                  <from>
                    <xdr:col>1</xdr:col>
                    <xdr:colOff>161925</xdr:colOff>
                    <xdr:row>13</xdr:row>
                    <xdr:rowOff>180975</xdr:rowOff>
                  </from>
                  <to>
                    <xdr:col>1</xdr:col>
                    <xdr:colOff>342900</xdr:colOff>
                    <xdr:row>15</xdr:row>
                    <xdr:rowOff>0</xdr:rowOff>
                  </to>
                </anchor>
              </controlPr>
            </control>
          </mc:Choice>
        </mc:AlternateContent>
        <mc:AlternateContent xmlns:mc="http://schemas.openxmlformats.org/markup-compatibility/2006">
          <mc:Choice Requires="x14">
            <control shapeId="7181" r:id="rId16" name="Check Box 14">
              <controlPr defaultSize="0" autoFill="0" autoLine="0" autoPict="0">
                <anchor moveWithCells="1">
                  <from>
                    <xdr:col>1</xdr:col>
                    <xdr:colOff>161925</xdr:colOff>
                    <xdr:row>14</xdr:row>
                    <xdr:rowOff>180975</xdr:rowOff>
                  </from>
                  <to>
                    <xdr:col>1</xdr:col>
                    <xdr:colOff>342900</xdr:colOff>
                    <xdr:row>16</xdr:row>
                    <xdr:rowOff>0</xdr:rowOff>
                  </to>
                </anchor>
              </controlPr>
            </control>
          </mc:Choice>
        </mc:AlternateContent>
        <mc:AlternateContent xmlns:mc="http://schemas.openxmlformats.org/markup-compatibility/2006">
          <mc:Choice Requires="x14">
            <control shapeId="7182" r:id="rId17" name="Check Box 15">
              <controlPr defaultSize="0" autoFill="0" autoLine="0" autoPict="0">
                <anchor moveWithCells="1">
                  <from>
                    <xdr:col>1</xdr:col>
                    <xdr:colOff>161925</xdr:colOff>
                    <xdr:row>16</xdr:row>
                    <xdr:rowOff>0</xdr:rowOff>
                  </from>
                  <to>
                    <xdr:col>1</xdr:col>
                    <xdr:colOff>342900</xdr:colOff>
                    <xdr:row>17</xdr:row>
                    <xdr:rowOff>0</xdr:rowOff>
                  </to>
                </anchor>
              </controlPr>
            </control>
          </mc:Choice>
        </mc:AlternateContent>
        <mc:AlternateContent xmlns:mc="http://schemas.openxmlformats.org/markup-compatibility/2006">
          <mc:Choice Requires="x14">
            <control shapeId="7183" r:id="rId18" name="Check Box 16">
              <controlPr defaultSize="0" autoFill="0" autoLine="0" autoPict="0">
                <anchor moveWithCells="1">
                  <from>
                    <xdr:col>1</xdr:col>
                    <xdr:colOff>161925</xdr:colOff>
                    <xdr:row>16</xdr:row>
                    <xdr:rowOff>180975</xdr:rowOff>
                  </from>
                  <to>
                    <xdr:col>1</xdr:col>
                    <xdr:colOff>342900</xdr:colOff>
                    <xdr:row>18</xdr:row>
                    <xdr:rowOff>0</xdr:rowOff>
                  </to>
                </anchor>
              </controlPr>
            </control>
          </mc:Choice>
        </mc:AlternateContent>
        <mc:AlternateContent xmlns:mc="http://schemas.openxmlformats.org/markup-compatibility/2006">
          <mc:Choice Requires="x14">
            <control shapeId="7184" r:id="rId19" name="Check Box 17">
              <controlPr defaultSize="0" autoFill="0" autoLine="0" autoPict="0">
                <anchor moveWithCells="1">
                  <from>
                    <xdr:col>1</xdr:col>
                    <xdr:colOff>161925</xdr:colOff>
                    <xdr:row>17</xdr:row>
                    <xdr:rowOff>180975</xdr:rowOff>
                  </from>
                  <to>
                    <xdr:col>1</xdr:col>
                    <xdr:colOff>342900</xdr:colOff>
                    <xdr:row>19</xdr:row>
                    <xdr:rowOff>0</xdr:rowOff>
                  </to>
                </anchor>
              </controlPr>
            </control>
          </mc:Choice>
        </mc:AlternateContent>
        <mc:AlternateContent xmlns:mc="http://schemas.openxmlformats.org/markup-compatibility/2006">
          <mc:Choice Requires="x14">
            <control shapeId="7185" r:id="rId20" name="Check Box 18">
              <controlPr defaultSize="0" autoFill="0" autoLine="0" autoPict="0">
                <anchor moveWithCells="1">
                  <from>
                    <xdr:col>1</xdr:col>
                    <xdr:colOff>161925</xdr:colOff>
                    <xdr:row>19</xdr:row>
                    <xdr:rowOff>0</xdr:rowOff>
                  </from>
                  <to>
                    <xdr:col>1</xdr:col>
                    <xdr:colOff>342900</xdr:colOff>
                    <xdr:row>20</xdr:row>
                    <xdr:rowOff>0</xdr:rowOff>
                  </to>
                </anchor>
              </controlPr>
            </control>
          </mc:Choice>
        </mc:AlternateContent>
        <mc:AlternateContent xmlns:mc="http://schemas.openxmlformats.org/markup-compatibility/2006">
          <mc:Choice Requires="x14">
            <control shapeId="7186" r:id="rId21" name="Check Box 19">
              <controlPr defaultSize="0" autoFill="0" autoLine="0" autoPict="0">
                <anchor moveWithCells="1">
                  <from>
                    <xdr:col>1</xdr:col>
                    <xdr:colOff>161925</xdr:colOff>
                    <xdr:row>20</xdr:row>
                    <xdr:rowOff>0</xdr:rowOff>
                  </from>
                  <to>
                    <xdr:col>1</xdr:col>
                    <xdr:colOff>342900</xdr:colOff>
                    <xdr:row>21</xdr:row>
                    <xdr:rowOff>0</xdr:rowOff>
                  </to>
                </anchor>
              </controlPr>
            </control>
          </mc:Choice>
        </mc:AlternateContent>
        <mc:AlternateContent xmlns:mc="http://schemas.openxmlformats.org/markup-compatibility/2006">
          <mc:Choice Requires="x14">
            <control shapeId="7187" r:id="rId22" name="Check Box 20">
              <controlPr defaultSize="0" autoFill="0" autoLine="0" autoPict="0">
                <anchor moveWithCells="1">
                  <from>
                    <xdr:col>1</xdr:col>
                    <xdr:colOff>161925</xdr:colOff>
                    <xdr:row>21</xdr:row>
                    <xdr:rowOff>9525</xdr:rowOff>
                  </from>
                  <to>
                    <xdr:col>1</xdr:col>
                    <xdr:colOff>342900</xdr:colOff>
                    <xdr:row>22</xdr:row>
                    <xdr:rowOff>9525</xdr:rowOff>
                  </to>
                </anchor>
              </controlPr>
            </control>
          </mc:Choice>
        </mc:AlternateContent>
        <mc:AlternateContent xmlns:mc="http://schemas.openxmlformats.org/markup-compatibility/2006">
          <mc:Choice Requires="x14">
            <control shapeId="7188" r:id="rId23" name="Check Box 21">
              <controlPr defaultSize="0" autoFill="0" autoLine="0" autoPict="0">
                <anchor moveWithCells="1">
                  <from>
                    <xdr:col>1</xdr:col>
                    <xdr:colOff>161925</xdr:colOff>
                    <xdr:row>22</xdr:row>
                    <xdr:rowOff>9525</xdr:rowOff>
                  </from>
                  <to>
                    <xdr:col>1</xdr:col>
                    <xdr:colOff>342900</xdr:colOff>
                    <xdr:row>23</xdr:row>
                    <xdr:rowOff>9525</xdr:rowOff>
                  </to>
                </anchor>
              </controlPr>
            </control>
          </mc:Choice>
        </mc:AlternateContent>
        <mc:AlternateContent xmlns:mc="http://schemas.openxmlformats.org/markup-compatibility/2006">
          <mc:Choice Requires="x14">
            <control shapeId="7189" r:id="rId24" name="Check Box 21">
              <controlPr defaultSize="0" autoFill="0" autoLine="0" autoPict="0">
                <anchor moveWithCells="1">
                  <from>
                    <xdr:col>1</xdr:col>
                    <xdr:colOff>161925</xdr:colOff>
                    <xdr:row>22</xdr:row>
                    <xdr:rowOff>180975</xdr:rowOff>
                  </from>
                  <to>
                    <xdr:col>1</xdr:col>
                    <xdr:colOff>342900</xdr:colOff>
                    <xdr:row>23</xdr:row>
                    <xdr:rowOff>180975</xdr:rowOff>
                  </to>
                </anchor>
              </controlPr>
            </control>
          </mc:Choice>
        </mc:AlternateContent>
        <mc:AlternateContent xmlns:mc="http://schemas.openxmlformats.org/markup-compatibility/2006">
          <mc:Choice Requires="x14">
            <control shapeId="7190" r:id="rId25" name="Check Box 22">
              <controlPr defaultSize="0" autoFill="0" autoLine="0" autoPict="0">
                <anchor moveWithCells="1">
                  <from>
                    <xdr:col>1</xdr:col>
                    <xdr:colOff>161925</xdr:colOff>
                    <xdr:row>24</xdr:row>
                    <xdr:rowOff>0</xdr:rowOff>
                  </from>
                  <to>
                    <xdr:col>1</xdr:col>
                    <xdr:colOff>342900</xdr:colOff>
                    <xdr:row>25</xdr:row>
                    <xdr:rowOff>0</xdr:rowOff>
                  </to>
                </anchor>
              </controlPr>
            </control>
          </mc:Choice>
        </mc:AlternateContent>
        <mc:AlternateContent xmlns:mc="http://schemas.openxmlformats.org/markup-compatibility/2006">
          <mc:Choice Requires="x14">
            <control shapeId="7191" r:id="rId26" name="Check Box 23">
              <controlPr defaultSize="0" autoFill="0" autoLine="0" autoPict="0">
                <anchor moveWithCells="1">
                  <from>
                    <xdr:col>1</xdr:col>
                    <xdr:colOff>161925</xdr:colOff>
                    <xdr:row>25</xdr:row>
                    <xdr:rowOff>171450</xdr:rowOff>
                  </from>
                  <to>
                    <xdr:col>1</xdr:col>
                    <xdr:colOff>342900</xdr:colOff>
                    <xdr:row>26</xdr:row>
                    <xdr:rowOff>171450</xdr:rowOff>
                  </to>
                </anchor>
              </controlPr>
            </control>
          </mc:Choice>
        </mc:AlternateContent>
        <mc:AlternateContent xmlns:mc="http://schemas.openxmlformats.org/markup-compatibility/2006">
          <mc:Choice Requires="x14">
            <control shapeId="7192" r:id="rId27" name="Check Box 24">
              <controlPr defaultSize="0" autoFill="0" autoLine="0" autoPict="0">
                <anchor moveWithCells="1">
                  <from>
                    <xdr:col>1</xdr:col>
                    <xdr:colOff>161925</xdr:colOff>
                    <xdr:row>26</xdr:row>
                    <xdr:rowOff>180975</xdr:rowOff>
                  </from>
                  <to>
                    <xdr:col>1</xdr:col>
                    <xdr:colOff>342900</xdr:colOff>
                    <xdr:row>27</xdr:row>
                    <xdr:rowOff>180975</xdr:rowOff>
                  </to>
                </anchor>
              </controlPr>
            </control>
          </mc:Choice>
        </mc:AlternateContent>
        <mc:AlternateContent xmlns:mc="http://schemas.openxmlformats.org/markup-compatibility/2006">
          <mc:Choice Requires="x14">
            <control shapeId="7193" r:id="rId28" name="Check Box 25">
              <controlPr defaultSize="0" autoFill="0" autoLine="0" autoPict="0">
                <anchor moveWithCells="1">
                  <from>
                    <xdr:col>1</xdr:col>
                    <xdr:colOff>161925</xdr:colOff>
                    <xdr:row>28</xdr:row>
                    <xdr:rowOff>9525</xdr:rowOff>
                  </from>
                  <to>
                    <xdr:col>1</xdr:col>
                    <xdr:colOff>342900</xdr:colOff>
                    <xdr:row>29</xdr:row>
                    <xdr:rowOff>9525</xdr:rowOff>
                  </to>
                </anchor>
              </controlPr>
            </control>
          </mc:Choice>
        </mc:AlternateContent>
        <mc:AlternateContent xmlns:mc="http://schemas.openxmlformats.org/markup-compatibility/2006">
          <mc:Choice Requires="x14">
            <control shapeId="7194" r:id="rId29" name="Check Box 26">
              <controlPr defaultSize="0" autoFill="0" autoLine="0" autoPict="0">
                <anchor moveWithCells="1">
                  <from>
                    <xdr:col>1</xdr:col>
                    <xdr:colOff>161925</xdr:colOff>
                    <xdr:row>29</xdr:row>
                    <xdr:rowOff>0</xdr:rowOff>
                  </from>
                  <to>
                    <xdr:col>1</xdr:col>
                    <xdr:colOff>342900</xdr:colOff>
                    <xdr:row>30</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dimension ref="A3:P40"/>
  <sheetViews>
    <sheetView zoomScale="85" zoomScaleNormal="85" workbookViewId="0">
      <selection activeCell="C32" sqref="C32"/>
    </sheetView>
  </sheetViews>
  <sheetFormatPr defaultColWidth="11.42578125" defaultRowHeight="15" x14ac:dyDescent="0.25"/>
  <cols>
    <col min="1" max="1" width="18.5703125" customWidth="1"/>
    <col min="2" max="2" width="5.85546875" customWidth="1"/>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3" x14ac:dyDescent="0.25">
      <c r="C3" s="3" t="s">
        <v>1</v>
      </c>
      <c r="D3" s="3" t="s">
        <v>24</v>
      </c>
      <c r="E3" s="19" t="s">
        <v>16</v>
      </c>
      <c r="F3" s="16" t="s">
        <v>15</v>
      </c>
      <c r="G3" s="21" t="s">
        <v>14</v>
      </c>
      <c r="H3" s="17" t="s">
        <v>0</v>
      </c>
      <c r="I3" s="19" t="s">
        <v>29</v>
      </c>
      <c r="J3" s="16" t="s">
        <v>30</v>
      </c>
      <c r="K3" s="21" t="s">
        <v>14</v>
      </c>
      <c r="L3" s="17" t="s">
        <v>31</v>
      </c>
    </row>
    <row r="4" spans="1:13" x14ac:dyDescent="0.25">
      <c r="A4" t="s">
        <v>2</v>
      </c>
      <c r="C4" s="2">
        <v>5</v>
      </c>
      <c r="E4" s="20">
        <f>10/100</f>
        <v>0.1</v>
      </c>
      <c r="F4" s="6">
        <f>1.6/100</f>
        <v>1.6E-2</v>
      </c>
      <c r="G4" s="22">
        <f>11/100</f>
        <v>0.11</v>
      </c>
      <c r="H4" s="18">
        <f>148/100</f>
        <v>1.48</v>
      </c>
      <c r="I4" s="20">
        <f t="shared" ref="I4:I33" si="0">IF($M4=TRUE,E4*$C4,0)</f>
        <v>0.5</v>
      </c>
      <c r="J4" s="6">
        <f t="shared" ref="J4:J33" si="1">IF($M4=TRUE,F4*$C4,0)</f>
        <v>0.08</v>
      </c>
      <c r="K4" s="22">
        <f t="shared" ref="K4:K33" si="2">IF($M4=TRUE,G4*$C4,0)</f>
        <v>0.55000000000000004</v>
      </c>
      <c r="L4" s="18">
        <f t="shared" ref="L4:L33" si="3">IF($M4=TRUE, H4*C4,0)</f>
        <v>7.4</v>
      </c>
      <c r="M4" t="b">
        <v>1</v>
      </c>
    </row>
    <row r="5" spans="1:13" x14ac:dyDescent="0.25">
      <c r="A5" t="s">
        <v>3</v>
      </c>
      <c r="C5" s="13">
        <v>51</v>
      </c>
      <c r="E5" s="20">
        <f>12/100</f>
        <v>0.12</v>
      </c>
      <c r="F5" s="6">
        <f>60/100</f>
        <v>0.6</v>
      </c>
      <c r="G5" s="22">
        <f>7.1/100</f>
        <v>7.0999999999999994E-2</v>
      </c>
      <c r="H5" s="18">
        <f>371/100</f>
        <v>3.71</v>
      </c>
      <c r="I5" s="20">
        <f t="shared" si="0"/>
        <v>6.12</v>
      </c>
      <c r="J5" s="6">
        <f t="shared" si="1"/>
        <v>30.599999999999998</v>
      </c>
      <c r="K5" s="22">
        <f t="shared" si="2"/>
        <v>3.6209999999999996</v>
      </c>
      <c r="L5" s="18">
        <f t="shared" si="3"/>
        <v>189.21</v>
      </c>
      <c r="M5" t="b">
        <v>1</v>
      </c>
    </row>
    <row r="6" spans="1:13" x14ac:dyDescent="0.25">
      <c r="A6" t="s">
        <v>4</v>
      </c>
      <c r="C6" s="13">
        <v>1</v>
      </c>
      <c r="E6" s="20">
        <v>10.1</v>
      </c>
      <c r="F6" s="6">
        <v>34.1</v>
      </c>
      <c r="G6" s="22">
        <v>10.1</v>
      </c>
      <c r="H6" s="18">
        <v>400</v>
      </c>
      <c r="I6" s="20">
        <f t="shared" si="0"/>
        <v>0</v>
      </c>
      <c r="J6" s="6">
        <f t="shared" si="1"/>
        <v>0</v>
      </c>
      <c r="K6" s="22">
        <f t="shared" si="2"/>
        <v>0</v>
      </c>
      <c r="L6" s="18">
        <f t="shared" si="3"/>
        <v>0</v>
      </c>
      <c r="M6" t="b">
        <v>0</v>
      </c>
    </row>
    <row r="7" spans="1:13" x14ac:dyDescent="0.25">
      <c r="A7" t="s">
        <v>5</v>
      </c>
      <c r="C7" s="11">
        <f>144+158</f>
        <v>302</v>
      </c>
      <c r="E7" s="20">
        <f>20.7/100</f>
        <v>0.20699999999999999</v>
      </c>
      <c r="F7" s="6">
        <f>2.2/100</f>
        <v>2.2000000000000002E-2</v>
      </c>
      <c r="G7" s="22">
        <f>0.9/100</f>
        <v>9.0000000000000011E-3</v>
      </c>
      <c r="H7" s="18">
        <f>94/100</f>
        <v>0.94</v>
      </c>
      <c r="I7" s="20">
        <f t="shared" si="0"/>
        <v>62.513999999999996</v>
      </c>
      <c r="J7" s="6">
        <f t="shared" si="1"/>
        <v>6.644000000000001</v>
      </c>
      <c r="K7" s="22">
        <f t="shared" si="2"/>
        <v>2.7180000000000004</v>
      </c>
      <c r="L7" s="18">
        <f t="shared" si="3"/>
        <v>283.88</v>
      </c>
      <c r="M7" t="b">
        <v>1</v>
      </c>
    </row>
    <row r="8" spans="1:13" x14ac:dyDescent="0.25">
      <c r="A8" t="s">
        <v>6</v>
      </c>
      <c r="C8" s="12">
        <v>100</v>
      </c>
      <c r="E8" s="20">
        <f>20/100</f>
        <v>0.2</v>
      </c>
      <c r="F8" s="6">
        <f>0.2/100</f>
        <v>2E-3</v>
      </c>
      <c r="G8" s="22">
        <f>5/100</f>
        <v>0.05</v>
      </c>
      <c r="H8" s="18">
        <f>126/100</f>
        <v>1.26</v>
      </c>
      <c r="I8" s="20">
        <f t="shared" si="0"/>
        <v>0</v>
      </c>
      <c r="J8" s="6">
        <f t="shared" si="1"/>
        <v>0</v>
      </c>
      <c r="K8" s="22">
        <f t="shared" si="2"/>
        <v>0</v>
      </c>
      <c r="L8" s="18">
        <f t="shared" si="3"/>
        <v>0</v>
      </c>
      <c r="M8" t="b">
        <v>0</v>
      </c>
    </row>
    <row r="9" spans="1:13" x14ac:dyDescent="0.25">
      <c r="A9" t="s">
        <v>7</v>
      </c>
      <c r="C9" s="13">
        <v>50</v>
      </c>
      <c r="E9" s="20">
        <f>12.68/100</f>
        <v>0.1268</v>
      </c>
      <c r="F9" s="6">
        <f>72.83/100</f>
        <v>0.72829999999999995</v>
      </c>
      <c r="G9" s="22">
        <f>1.05/100</f>
        <v>1.0500000000000001E-2</v>
      </c>
      <c r="H9" s="18">
        <f>360/100</f>
        <v>3.6</v>
      </c>
      <c r="I9" s="20">
        <f t="shared" si="0"/>
        <v>0</v>
      </c>
      <c r="J9" s="6">
        <f t="shared" si="1"/>
        <v>0</v>
      </c>
      <c r="K9" s="22">
        <f t="shared" si="2"/>
        <v>0</v>
      </c>
      <c r="L9" s="18">
        <f t="shared" si="3"/>
        <v>0</v>
      </c>
      <c r="M9" t="b">
        <v>0</v>
      </c>
    </row>
    <row r="10" spans="1:13" x14ac:dyDescent="0.25">
      <c r="A10" t="s">
        <v>8</v>
      </c>
      <c r="C10" s="12">
        <v>39</v>
      </c>
      <c r="E10" s="20">
        <f>8.8/100</f>
        <v>8.8000000000000009E-2</v>
      </c>
      <c r="F10" s="6">
        <f>72/100</f>
        <v>0.72</v>
      </c>
      <c r="G10" s="22">
        <f>2.2/100</f>
        <v>2.2000000000000002E-2</v>
      </c>
      <c r="H10" s="18">
        <f>343/100</f>
        <v>3.43</v>
      </c>
      <c r="I10" s="20">
        <f t="shared" si="0"/>
        <v>0</v>
      </c>
      <c r="J10" s="6">
        <f t="shared" si="1"/>
        <v>0</v>
      </c>
      <c r="K10" s="22">
        <f t="shared" si="2"/>
        <v>0</v>
      </c>
      <c r="L10" s="18">
        <f t="shared" si="3"/>
        <v>0</v>
      </c>
      <c r="M10" t="b">
        <v>0</v>
      </c>
    </row>
    <row r="11" spans="1:13" x14ac:dyDescent="0.25">
      <c r="A11" t="s">
        <v>9</v>
      </c>
      <c r="C11" s="13">
        <v>119</v>
      </c>
      <c r="E11" s="20">
        <f>1.5/100</f>
        <v>1.4999999999999999E-2</v>
      </c>
      <c r="F11" s="6">
        <f>20/100</f>
        <v>0.2</v>
      </c>
      <c r="G11" s="22">
        <v>0</v>
      </c>
      <c r="H11" s="18">
        <f>90/100</f>
        <v>0.9</v>
      </c>
      <c r="I11" s="20">
        <f t="shared" si="0"/>
        <v>0</v>
      </c>
      <c r="J11" s="6">
        <f t="shared" si="1"/>
        <v>0</v>
      </c>
      <c r="K11" s="22">
        <f t="shared" si="2"/>
        <v>0</v>
      </c>
      <c r="L11" s="18">
        <f t="shared" si="3"/>
        <v>0</v>
      </c>
      <c r="M11" t="b">
        <v>0</v>
      </c>
    </row>
    <row r="12" spans="1:13" x14ac:dyDescent="0.25">
      <c r="A12" t="s">
        <v>10</v>
      </c>
      <c r="C12" s="13">
        <v>69</v>
      </c>
      <c r="E12" s="20">
        <f>1.6/100</f>
        <v>1.6E-2</v>
      </c>
      <c r="F12" s="6">
        <f>11/100</f>
        <v>0.11</v>
      </c>
      <c r="G12" s="22">
        <f>0.3/100</f>
        <v>3.0000000000000001E-3</v>
      </c>
      <c r="H12" s="18">
        <f>53/100</f>
        <v>0.53</v>
      </c>
      <c r="I12" s="20">
        <f t="shared" si="0"/>
        <v>1.1040000000000001</v>
      </c>
      <c r="J12" s="6">
        <f t="shared" si="1"/>
        <v>7.59</v>
      </c>
      <c r="K12" s="22">
        <f t="shared" si="2"/>
        <v>0.20700000000000002</v>
      </c>
      <c r="L12" s="18">
        <f t="shared" si="3"/>
        <v>36.57</v>
      </c>
      <c r="M12" t="b">
        <v>1</v>
      </c>
    </row>
    <row r="13" spans="1:13" x14ac:dyDescent="0.25">
      <c r="A13" t="s">
        <v>11</v>
      </c>
      <c r="C13" s="13">
        <v>188</v>
      </c>
      <c r="E13" s="20">
        <f>1/100</f>
        <v>0.01</v>
      </c>
      <c r="F13" s="6">
        <f>9/100</f>
        <v>0.09</v>
      </c>
      <c r="G13" s="22">
        <f>0.2/100</f>
        <v>2E-3</v>
      </c>
      <c r="H13" s="18">
        <f>45/100</f>
        <v>0.45</v>
      </c>
      <c r="I13" s="20">
        <f t="shared" si="0"/>
        <v>1.8800000000000001</v>
      </c>
      <c r="J13" s="6">
        <f t="shared" si="1"/>
        <v>16.919999999999998</v>
      </c>
      <c r="K13" s="22">
        <f t="shared" si="2"/>
        <v>0.376</v>
      </c>
      <c r="L13" s="18">
        <f t="shared" si="3"/>
        <v>84.600000000000009</v>
      </c>
      <c r="M13" t="b">
        <v>1</v>
      </c>
    </row>
    <row r="14" spans="1:13" x14ac:dyDescent="0.25">
      <c r="A14" t="s">
        <v>12</v>
      </c>
      <c r="C14" s="13">
        <v>130</v>
      </c>
      <c r="E14" s="20">
        <f>11/100</f>
        <v>0.11</v>
      </c>
      <c r="F14" s="6">
        <f>54/100</f>
        <v>0.54</v>
      </c>
      <c r="G14" s="22">
        <f>3.3/100</f>
        <v>3.3000000000000002E-2</v>
      </c>
      <c r="H14" s="18">
        <f>293/100</f>
        <v>2.93</v>
      </c>
      <c r="I14" s="20">
        <f t="shared" si="0"/>
        <v>0</v>
      </c>
      <c r="J14" s="6">
        <f t="shared" si="1"/>
        <v>0</v>
      </c>
      <c r="K14" s="22">
        <f t="shared" si="2"/>
        <v>0</v>
      </c>
      <c r="L14" s="18">
        <f t="shared" si="3"/>
        <v>0</v>
      </c>
      <c r="M14" t="b">
        <v>0</v>
      </c>
    </row>
    <row r="15" spans="1:13" x14ac:dyDescent="0.25">
      <c r="A15" t="s">
        <v>13</v>
      </c>
      <c r="C15" s="14">
        <v>1</v>
      </c>
      <c r="E15" s="20">
        <v>20</v>
      </c>
      <c r="F15" s="6">
        <v>1</v>
      </c>
      <c r="G15" s="22">
        <v>1</v>
      </c>
      <c r="H15" s="18">
        <v>93</v>
      </c>
      <c r="I15" s="20">
        <f t="shared" si="0"/>
        <v>0</v>
      </c>
      <c r="J15" s="6">
        <f t="shared" si="1"/>
        <v>0</v>
      </c>
      <c r="K15" s="22">
        <f t="shared" si="2"/>
        <v>0</v>
      </c>
      <c r="L15" s="18">
        <f t="shared" si="3"/>
        <v>0</v>
      </c>
      <c r="M15" t="b">
        <v>0</v>
      </c>
    </row>
    <row r="16" spans="1:13" x14ac:dyDescent="0.25">
      <c r="A16" t="s">
        <v>17</v>
      </c>
      <c r="C16" s="13">
        <v>24</v>
      </c>
      <c r="D16" s="2" t="s">
        <v>23</v>
      </c>
      <c r="E16" s="20">
        <f>3/100</f>
        <v>0.03</v>
      </c>
      <c r="F16" s="6">
        <f>11/100</f>
        <v>0.11</v>
      </c>
      <c r="G16" s="22">
        <f>1.5/100</f>
        <v>1.4999999999999999E-2</v>
      </c>
      <c r="H16" s="18">
        <f>74/100</f>
        <v>0.74</v>
      </c>
      <c r="I16" s="20">
        <f t="shared" si="0"/>
        <v>0</v>
      </c>
      <c r="J16" s="6">
        <f t="shared" si="1"/>
        <v>0</v>
      </c>
      <c r="K16" s="22">
        <f t="shared" si="2"/>
        <v>0</v>
      </c>
      <c r="L16" s="18">
        <f t="shared" si="3"/>
        <v>0</v>
      </c>
      <c r="M16" t="b">
        <v>0</v>
      </c>
    </row>
    <row r="17" spans="1:13" x14ac:dyDescent="0.25">
      <c r="A17" t="s">
        <v>18</v>
      </c>
      <c r="C17" s="13">
        <v>219</v>
      </c>
      <c r="E17" s="20">
        <f>3.2/100</f>
        <v>3.2000000000000001E-2</v>
      </c>
      <c r="F17" s="6">
        <f>4.8/100</f>
        <v>4.8000000000000001E-2</v>
      </c>
      <c r="G17" s="22">
        <f>1.6/100</f>
        <v>1.6E-2</v>
      </c>
      <c r="H17" s="18">
        <f>46/100</f>
        <v>0.46</v>
      </c>
      <c r="I17" s="20">
        <f t="shared" si="0"/>
        <v>7.008</v>
      </c>
      <c r="J17" s="6">
        <f t="shared" si="1"/>
        <v>10.512</v>
      </c>
      <c r="K17" s="22">
        <f t="shared" si="2"/>
        <v>3.504</v>
      </c>
      <c r="L17" s="18">
        <f t="shared" si="3"/>
        <v>100.74000000000001</v>
      </c>
      <c r="M17" t="b">
        <v>1</v>
      </c>
    </row>
    <row r="18" spans="1:13" x14ac:dyDescent="0.25">
      <c r="A18" t="s">
        <v>19</v>
      </c>
      <c r="C18" s="13">
        <v>137</v>
      </c>
      <c r="D18" s="2" t="s">
        <v>25</v>
      </c>
      <c r="E18" s="20">
        <f>2/100</f>
        <v>0.02</v>
      </c>
      <c r="F18" s="6">
        <f>17/100</f>
        <v>0.17</v>
      </c>
      <c r="G18" s="22">
        <f>0.1/100</f>
        <v>1E-3</v>
      </c>
      <c r="H18" s="18">
        <f>77/100</f>
        <v>0.77</v>
      </c>
      <c r="I18" s="20">
        <f t="shared" si="0"/>
        <v>0</v>
      </c>
      <c r="J18" s="6">
        <f t="shared" si="1"/>
        <v>0</v>
      </c>
      <c r="K18" s="22">
        <f t="shared" si="2"/>
        <v>0</v>
      </c>
      <c r="L18" s="18">
        <f t="shared" si="3"/>
        <v>0</v>
      </c>
      <c r="M18" t="b">
        <v>0</v>
      </c>
    </row>
    <row r="19" spans="1:13" x14ac:dyDescent="0.25">
      <c r="A19" t="s">
        <v>20</v>
      </c>
      <c r="C19" s="14">
        <f>44+130</f>
        <v>174</v>
      </c>
      <c r="E19" s="20">
        <f>25/100</f>
        <v>0.25</v>
      </c>
      <c r="F19" s="6">
        <v>0</v>
      </c>
      <c r="G19" s="22">
        <f>1/100</f>
        <v>0.01</v>
      </c>
      <c r="H19" s="18">
        <f>109/100</f>
        <v>1.0900000000000001</v>
      </c>
      <c r="I19" s="20">
        <f t="shared" si="0"/>
        <v>0</v>
      </c>
      <c r="J19" s="6">
        <f t="shared" si="1"/>
        <v>0</v>
      </c>
      <c r="K19" s="22">
        <f t="shared" si="2"/>
        <v>0</v>
      </c>
      <c r="L19" s="18">
        <f t="shared" si="3"/>
        <v>0</v>
      </c>
      <c r="M19" t="b">
        <v>0</v>
      </c>
    </row>
    <row r="20" spans="1:13" x14ac:dyDescent="0.25">
      <c r="A20" t="s">
        <v>21</v>
      </c>
      <c r="C20" s="13">
        <v>50</v>
      </c>
      <c r="D20" s="2" t="s">
        <v>22</v>
      </c>
      <c r="E20" s="20">
        <f>2.3/100</f>
        <v>2.3E-2</v>
      </c>
      <c r="F20" s="6">
        <f>7.2/100</f>
        <v>7.2000000000000008E-2</v>
      </c>
      <c r="G20" s="22">
        <f>0.5/100</f>
        <v>5.0000000000000001E-3</v>
      </c>
      <c r="H20" s="18">
        <f>44/100</f>
        <v>0.44</v>
      </c>
      <c r="I20" s="20">
        <f t="shared" si="0"/>
        <v>0</v>
      </c>
      <c r="J20" s="6">
        <f t="shared" si="1"/>
        <v>0</v>
      </c>
      <c r="K20" s="22">
        <f t="shared" si="2"/>
        <v>0</v>
      </c>
      <c r="L20" s="18">
        <f t="shared" si="3"/>
        <v>0</v>
      </c>
      <c r="M20" t="b">
        <v>0</v>
      </c>
    </row>
    <row r="21" spans="1:13" x14ac:dyDescent="0.25">
      <c r="A21" t="s">
        <v>26</v>
      </c>
      <c r="C21" s="13"/>
      <c r="E21" s="20">
        <v>0</v>
      </c>
      <c r="F21" s="6">
        <v>0</v>
      </c>
      <c r="G21" s="22">
        <v>0</v>
      </c>
      <c r="H21" s="18">
        <f>275/100</f>
        <v>2.75</v>
      </c>
      <c r="I21" s="20">
        <f t="shared" si="0"/>
        <v>0</v>
      </c>
      <c r="J21" s="6">
        <f t="shared" si="1"/>
        <v>0</v>
      </c>
      <c r="K21" s="22">
        <f t="shared" si="2"/>
        <v>0</v>
      </c>
      <c r="L21" s="18">
        <f t="shared" si="3"/>
        <v>0</v>
      </c>
      <c r="M21" t="b">
        <v>0</v>
      </c>
    </row>
    <row r="22" spans="1:13" x14ac:dyDescent="0.25">
      <c r="A22" t="s">
        <v>32</v>
      </c>
      <c r="C22" s="12">
        <v>5</v>
      </c>
      <c r="E22" s="20">
        <f>22/100</f>
        <v>0.22</v>
      </c>
      <c r="F22" s="6">
        <f>6.9/100</f>
        <v>6.9000000000000006E-2</v>
      </c>
      <c r="G22" s="22">
        <f>54/100</f>
        <v>0.54</v>
      </c>
      <c r="H22" s="18">
        <f>620/100</f>
        <v>6.2</v>
      </c>
      <c r="I22" s="20">
        <f t="shared" si="0"/>
        <v>0</v>
      </c>
      <c r="J22" s="6">
        <f t="shared" si="1"/>
        <v>0</v>
      </c>
      <c r="K22" s="22">
        <f t="shared" si="2"/>
        <v>0</v>
      </c>
      <c r="L22" s="18">
        <f t="shared" si="3"/>
        <v>0</v>
      </c>
      <c r="M22" t="b">
        <v>0</v>
      </c>
    </row>
    <row r="23" spans="1:13" x14ac:dyDescent="0.25">
      <c r="A23" t="s">
        <v>33</v>
      </c>
      <c r="C23" s="13">
        <v>143</v>
      </c>
      <c r="E23" s="20">
        <v>3.6</v>
      </c>
      <c r="F23" s="6">
        <v>0.2</v>
      </c>
      <c r="G23" s="22">
        <v>0.1</v>
      </c>
      <c r="H23" s="18">
        <f>17</f>
        <v>17</v>
      </c>
      <c r="I23" s="20">
        <f t="shared" si="0"/>
        <v>0</v>
      </c>
      <c r="J23" s="6">
        <f t="shared" si="1"/>
        <v>0</v>
      </c>
      <c r="K23" s="22">
        <f t="shared" si="2"/>
        <v>0</v>
      </c>
      <c r="L23" s="18">
        <f t="shared" si="3"/>
        <v>0</v>
      </c>
      <c r="M23" t="b">
        <v>0</v>
      </c>
    </row>
    <row r="24" spans="1:13" x14ac:dyDescent="0.25">
      <c r="A24" t="s">
        <v>34</v>
      </c>
      <c r="C24" s="13">
        <v>50</v>
      </c>
      <c r="E24" s="20">
        <f>7.4/100</f>
        <v>7.400000000000001E-2</v>
      </c>
      <c r="F24" s="6">
        <f>78.7/100</f>
        <v>0.78700000000000003</v>
      </c>
      <c r="G24" s="22">
        <f>0.7/100</f>
        <v>6.9999999999999993E-3</v>
      </c>
      <c r="H24" s="18">
        <f>351/100</f>
        <v>3.51</v>
      </c>
      <c r="I24" s="20">
        <f t="shared" si="0"/>
        <v>0</v>
      </c>
      <c r="J24" s="6">
        <f t="shared" si="1"/>
        <v>0</v>
      </c>
      <c r="K24" s="22">
        <f t="shared" si="2"/>
        <v>0</v>
      </c>
      <c r="L24" s="18">
        <f t="shared" si="3"/>
        <v>0</v>
      </c>
      <c r="M24" t="b">
        <v>0</v>
      </c>
    </row>
    <row r="25" spans="1:13" x14ac:dyDescent="0.25">
      <c r="A25" t="s">
        <v>33</v>
      </c>
      <c r="C25" s="13">
        <f>143</f>
        <v>143</v>
      </c>
      <c r="E25" s="20">
        <f>11/100</f>
        <v>0.11</v>
      </c>
      <c r="F25" s="6">
        <f>0.7/100</f>
        <v>6.9999999999999993E-3</v>
      </c>
      <c r="G25" s="22">
        <f>0.2/100</f>
        <v>2E-3</v>
      </c>
      <c r="H25" s="18">
        <f>52/100</f>
        <v>0.52</v>
      </c>
      <c r="I25" s="20">
        <f t="shared" si="0"/>
        <v>15.73</v>
      </c>
      <c r="J25" s="6">
        <f t="shared" si="1"/>
        <v>1.0009999999999999</v>
      </c>
      <c r="K25" s="22">
        <f t="shared" si="2"/>
        <v>0.28600000000000003</v>
      </c>
      <c r="L25" s="18">
        <f t="shared" si="3"/>
        <v>74.36</v>
      </c>
      <c r="M25" t="b">
        <v>1</v>
      </c>
    </row>
    <row r="26" spans="1:13" x14ac:dyDescent="0.25">
      <c r="A26" t="s">
        <v>55</v>
      </c>
      <c r="E26" s="20">
        <f>19/100</f>
        <v>0.19</v>
      </c>
      <c r="F26" s="6">
        <f>61/100</f>
        <v>0.61</v>
      </c>
      <c r="G26" s="22">
        <f>6/100</f>
        <v>0.06</v>
      </c>
      <c r="H26" s="18">
        <f>364/100</f>
        <v>3.64</v>
      </c>
      <c r="I26" s="20">
        <f t="shared" si="0"/>
        <v>0</v>
      </c>
      <c r="J26" s="6">
        <f t="shared" si="1"/>
        <v>0</v>
      </c>
      <c r="K26" s="22">
        <f t="shared" si="2"/>
        <v>0</v>
      </c>
      <c r="L26" s="18">
        <f t="shared" si="3"/>
        <v>0</v>
      </c>
      <c r="M26" t="b">
        <v>0</v>
      </c>
    </row>
    <row r="27" spans="1:13" x14ac:dyDescent="0.25">
      <c r="A27" t="s">
        <v>57</v>
      </c>
      <c r="C27" s="11">
        <v>52</v>
      </c>
      <c r="E27" s="20">
        <f>19/100</f>
        <v>0.19</v>
      </c>
      <c r="F27" s="6">
        <v>0</v>
      </c>
      <c r="G27" s="22">
        <f>12/100</f>
        <v>0.12</v>
      </c>
      <c r="H27" s="18">
        <f>184/100</f>
        <v>1.84</v>
      </c>
      <c r="I27" s="20">
        <f t="shared" si="0"/>
        <v>9.8800000000000008</v>
      </c>
      <c r="J27" s="6">
        <f t="shared" si="1"/>
        <v>0</v>
      </c>
      <c r="K27" s="22">
        <f t="shared" si="2"/>
        <v>6.24</v>
      </c>
      <c r="L27" s="18">
        <f t="shared" si="3"/>
        <v>95.68</v>
      </c>
      <c r="M27" t="b">
        <v>1</v>
      </c>
    </row>
    <row r="28" spans="1:13" x14ac:dyDescent="0.25">
      <c r="A28" t="s">
        <v>58</v>
      </c>
      <c r="C28" s="14">
        <v>157</v>
      </c>
      <c r="E28" s="20">
        <f>1.6/100</f>
        <v>1.6E-2</v>
      </c>
      <c r="F28" s="6">
        <f>20/100</f>
        <v>0.2</v>
      </c>
      <c r="G28" s="22">
        <f>0.1/100</f>
        <v>1E-3</v>
      </c>
      <c r="H28" s="18">
        <f>86/100</f>
        <v>0.86</v>
      </c>
      <c r="I28" s="20">
        <f t="shared" si="0"/>
        <v>2.512</v>
      </c>
      <c r="J28" s="6">
        <f t="shared" si="1"/>
        <v>31.400000000000002</v>
      </c>
      <c r="K28" s="22">
        <f t="shared" si="2"/>
        <v>0.157</v>
      </c>
      <c r="L28" s="18">
        <f t="shared" si="3"/>
        <v>135.02000000000001</v>
      </c>
      <c r="M28" t="b">
        <v>1</v>
      </c>
    </row>
    <row r="29" spans="1:13" x14ac:dyDescent="0.25">
      <c r="A29" t="s">
        <v>59</v>
      </c>
      <c r="C29" s="13">
        <v>350</v>
      </c>
      <c r="E29" s="20">
        <f>20/100</f>
        <v>0.2</v>
      </c>
      <c r="F29" s="6">
        <v>0</v>
      </c>
      <c r="G29" s="22">
        <f>5/100</f>
        <v>0.05</v>
      </c>
      <c r="H29" s="18">
        <f>121/100</f>
        <v>1.21</v>
      </c>
      <c r="I29" s="20">
        <f t="shared" si="0"/>
        <v>70</v>
      </c>
      <c r="J29" s="6">
        <f t="shared" si="1"/>
        <v>0</v>
      </c>
      <c r="K29" s="22">
        <f t="shared" si="2"/>
        <v>17.5</v>
      </c>
      <c r="L29" s="18">
        <f t="shared" si="3"/>
        <v>423.5</v>
      </c>
      <c r="M29" t="b">
        <v>1</v>
      </c>
    </row>
    <row r="30" spans="1:13" x14ac:dyDescent="0.25">
      <c r="A30" t="s">
        <v>60</v>
      </c>
      <c r="C30" s="11">
        <v>50</v>
      </c>
      <c r="E30" s="20">
        <f>7.5/100</f>
        <v>7.4999999999999997E-2</v>
      </c>
      <c r="F30" s="6">
        <f>78/100</f>
        <v>0.78</v>
      </c>
      <c r="G30" s="22">
        <f>0.6/100</f>
        <v>6.0000000000000001E-3</v>
      </c>
      <c r="H30" s="18">
        <f>347/100</f>
        <v>3.47</v>
      </c>
      <c r="I30" s="20">
        <f t="shared" si="0"/>
        <v>0</v>
      </c>
      <c r="J30" s="6">
        <f t="shared" si="1"/>
        <v>0</v>
      </c>
      <c r="K30" s="22">
        <f t="shared" si="2"/>
        <v>0</v>
      </c>
      <c r="L30" s="18">
        <f t="shared" si="3"/>
        <v>0</v>
      </c>
      <c r="M30" t="b">
        <v>0</v>
      </c>
    </row>
    <row r="31" spans="1:13" x14ac:dyDescent="0.25">
      <c r="A31" t="s">
        <v>63</v>
      </c>
      <c r="C31" s="13">
        <v>44</v>
      </c>
      <c r="E31" s="20">
        <f>1.4/100</f>
        <v>1.3999999999999999E-2</v>
      </c>
      <c r="F31" s="6">
        <f>9/100</f>
        <v>0.09</v>
      </c>
      <c r="G31" s="22">
        <f>0.2/100</f>
        <v>2E-3</v>
      </c>
      <c r="H31" s="18">
        <f>43/100</f>
        <v>0.43</v>
      </c>
      <c r="I31" s="20">
        <f t="shared" si="0"/>
        <v>0.61599999999999988</v>
      </c>
      <c r="J31" s="6">
        <f t="shared" si="1"/>
        <v>3.96</v>
      </c>
      <c r="K31" s="22">
        <f t="shared" si="2"/>
        <v>8.7999999999999995E-2</v>
      </c>
      <c r="L31" s="18">
        <f t="shared" si="3"/>
        <v>18.919999999999998</v>
      </c>
      <c r="M31" t="b">
        <v>1</v>
      </c>
    </row>
    <row r="32" spans="1:13" x14ac:dyDescent="0.25">
      <c r="A32" t="s">
        <v>64</v>
      </c>
      <c r="C32" s="13">
        <v>10</v>
      </c>
      <c r="E32" s="20">
        <f>4.1/100</f>
        <v>4.0999999999999995E-2</v>
      </c>
      <c r="F32" s="6">
        <f>6.6/100</f>
        <v>6.6000000000000003E-2</v>
      </c>
      <c r="G32" s="22">
        <f>5/100</f>
        <v>0.05</v>
      </c>
      <c r="H32" s="18">
        <f>84/100</f>
        <v>0.84</v>
      </c>
      <c r="I32" s="20">
        <f t="shared" si="0"/>
        <v>0.40999999999999992</v>
      </c>
      <c r="J32" s="6">
        <f t="shared" si="1"/>
        <v>0.66</v>
      </c>
      <c r="K32" s="22">
        <f t="shared" si="2"/>
        <v>0.5</v>
      </c>
      <c r="L32" s="18">
        <f t="shared" si="3"/>
        <v>8.4</v>
      </c>
      <c r="M32" t="b">
        <v>1</v>
      </c>
    </row>
    <row r="33" spans="1:16" x14ac:dyDescent="0.25">
      <c r="A33" t="s">
        <v>66</v>
      </c>
      <c r="C33" s="11">
        <v>70</v>
      </c>
      <c r="E33">
        <f>14.1/100</f>
        <v>0.14099999999999999</v>
      </c>
      <c r="F33">
        <f>68.9/100</f>
        <v>0.68900000000000006</v>
      </c>
      <c r="G33">
        <f>5.8/100</f>
        <v>5.7999999999999996E-2</v>
      </c>
      <c r="H33">
        <f>380/100</f>
        <v>3.8</v>
      </c>
      <c r="I33" s="20">
        <f t="shared" si="0"/>
        <v>9.8699999999999992</v>
      </c>
      <c r="J33" s="6">
        <f t="shared" si="1"/>
        <v>48.230000000000004</v>
      </c>
      <c r="K33" s="22">
        <f t="shared" si="2"/>
        <v>4.0599999999999996</v>
      </c>
      <c r="L33" s="18">
        <f t="shared" si="3"/>
        <v>266</v>
      </c>
      <c r="M33" t="b">
        <v>1</v>
      </c>
    </row>
    <row r="34" spans="1:16" x14ac:dyDescent="0.25">
      <c r="M34" t="s">
        <v>28</v>
      </c>
      <c r="N34">
        <v>68.5</v>
      </c>
      <c r="P34">
        <v>1</v>
      </c>
    </row>
    <row r="35" spans="1:16" x14ac:dyDescent="0.25">
      <c r="N35">
        <v>67</v>
      </c>
      <c r="P35">
        <v>2.2046199999999998</v>
      </c>
    </row>
    <row r="37" spans="1:16" x14ac:dyDescent="0.25">
      <c r="L37" t="s">
        <v>65</v>
      </c>
    </row>
    <row r="39" spans="1:16" x14ac:dyDescent="0.25">
      <c r="I39" s="23">
        <f>SUM(I4:I33)</f>
        <v>188.14400000000001</v>
      </c>
      <c r="J39" s="15">
        <f>SUM(J4:J33)</f>
        <v>157.59700000000001</v>
      </c>
      <c r="K39" s="24">
        <f>SUM(K4:K33)</f>
        <v>39.807000000000002</v>
      </c>
      <c r="L39" s="4">
        <f>SUM(L4:L33)</f>
        <v>1724.2800000000002</v>
      </c>
    </row>
    <row r="40" spans="1:16" x14ac:dyDescent="0.25">
      <c r="I40" s="25">
        <f>1.25 * $P35 * $N34</f>
        <v>188.77058749999998</v>
      </c>
      <c r="J40" s="26">
        <f>1 * $P35 * $N34</f>
        <v>151.01647</v>
      </c>
      <c r="K40" s="27">
        <f>0.27 * $P35 * $N34</f>
        <v>40.774446900000001</v>
      </c>
      <c r="L40">
        <f>11.43*P35* N34</f>
        <v>1726.1182520999998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ase à cocher 1">
              <controlPr defaultSize="0" autoFill="0" autoLine="0" autoPict="0">
                <anchor moveWithCells="1">
                  <from>
                    <xdr:col>1</xdr:col>
                    <xdr:colOff>161925</xdr:colOff>
                    <xdr:row>3</xdr:row>
                    <xdr:rowOff>19050</xdr:rowOff>
                  </from>
                  <to>
                    <xdr:col>1</xdr:col>
                    <xdr:colOff>342900</xdr:colOff>
                    <xdr:row>4</xdr:row>
                    <xdr:rowOff>19050</xdr:rowOff>
                  </to>
                </anchor>
              </controlPr>
            </control>
          </mc:Choice>
        </mc:AlternateContent>
        <mc:AlternateContent xmlns:mc="http://schemas.openxmlformats.org/markup-compatibility/2006">
          <mc:Choice Requires="x14">
            <control shapeId="9218" r:id="rId5" name="Case à cocher 2">
              <controlPr defaultSize="0" autoFill="0" autoLine="0" autoPict="0">
                <anchor moveWithCells="1">
                  <from>
                    <xdr:col>1</xdr:col>
                    <xdr:colOff>161925</xdr:colOff>
                    <xdr:row>4</xdr:row>
                    <xdr:rowOff>9525</xdr:rowOff>
                  </from>
                  <to>
                    <xdr:col>1</xdr:col>
                    <xdr:colOff>342900</xdr:colOff>
                    <xdr:row>5</xdr:row>
                    <xdr:rowOff>9525</xdr:rowOff>
                  </to>
                </anchor>
              </controlPr>
            </control>
          </mc:Choice>
        </mc:AlternateContent>
        <mc:AlternateContent xmlns:mc="http://schemas.openxmlformats.org/markup-compatibility/2006">
          <mc:Choice Requires="x14">
            <control shapeId="9219" r:id="rId6" name="Case à cocher 4">
              <controlPr defaultSize="0" autoFill="0" autoLine="0" autoPict="0">
                <anchor moveWithCells="1">
                  <from>
                    <xdr:col>1</xdr:col>
                    <xdr:colOff>161925</xdr:colOff>
                    <xdr:row>5</xdr:row>
                    <xdr:rowOff>19050</xdr:rowOff>
                  </from>
                  <to>
                    <xdr:col>1</xdr:col>
                    <xdr:colOff>342900</xdr:colOff>
                    <xdr:row>6</xdr:row>
                    <xdr:rowOff>19050</xdr:rowOff>
                  </to>
                </anchor>
              </controlPr>
            </control>
          </mc:Choice>
        </mc:AlternateContent>
        <mc:AlternateContent xmlns:mc="http://schemas.openxmlformats.org/markup-compatibility/2006">
          <mc:Choice Requires="x14">
            <control shapeId="9220" r:id="rId7" name="Case à cocher 5">
              <controlPr defaultSize="0" autoFill="0" autoLine="0" autoPict="0">
                <anchor moveWithCells="1">
                  <from>
                    <xdr:col>1</xdr:col>
                    <xdr:colOff>161925</xdr:colOff>
                    <xdr:row>7</xdr:row>
                    <xdr:rowOff>9525</xdr:rowOff>
                  </from>
                  <to>
                    <xdr:col>1</xdr:col>
                    <xdr:colOff>342900</xdr:colOff>
                    <xdr:row>8</xdr:row>
                    <xdr:rowOff>9525</xdr:rowOff>
                  </to>
                </anchor>
              </controlPr>
            </control>
          </mc:Choice>
        </mc:AlternateContent>
        <mc:AlternateContent xmlns:mc="http://schemas.openxmlformats.org/markup-compatibility/2006">
          <mc:Choice Requires="x14">
            <control shapeId="9221" r:id="rId8" name="Case à cocher 6">
              <controlPr defaultSize="0" autoFill="0" autoLine="0" autoPict="0">
                <anchor moveWithCells="1">
                  <from>
                    <xdr:col>1</xdr:col>
                    <xdr:colOff>161925</xdr:colOff>
                    <xdr:row>6</xdr:row>
                    <xdr:rowOff>19050</xdr:rowOff>
                  </from>
                  <to>
                    <xdr:col>1</xdr:col>
                    <xdr:colOff>342900</xdr:colOff>
                    <xdr:row>7</xdr:row>
                    <xdr:rowOff>19050</xdr:rowOff>
                  </to>
                </anchor>
              </controlPr>
            </control>
          </mc:Choice>
        </mc:AlternateContent>
        <mc:AlternateContent xmlns:mc="http://schemas.openxmlformats.org/markup-compatibility/2006">
          <mc:Choice Requires="x14">
            <control shapeId="9222" r:id="rId9" name="Case à cocher 7">
              <controlPr defaultSize="0" autoFill="0" autoLine="0" autoPict="0">
                <anchor moveWithCells="1">
                  <from>
                    <xdr:col>1</xdr:col>
                    <xdr:colOff>161925</xdr:colOff>
                    <xdr:row>8</xdr:row>
                    <xdr:rowOff>19050</xdr:rowOff>
                  </from>
                  <to>
                    <xdr:col>1</xdr:col>
                    <xdr:colOff>342900</xdr:colOff>
                    <xdr:row>9</xdr:row>
                    <xdr:rowOff>19050</xdr:rowOff>
                  </to>
                </anchor>
              </controlPr>
            </control>
          </mc:Choice>
        </mc:AlternateContent>
        <mc:AlternateContent xmlns:mc="http://schemas.openxmlformats.org/markup-compatibility/2006">
          <mc:Choice Requires="x14">
            <control shapeId="9223" r:id="rId10" name="Case à cocher 8">
              <controlPr defaultSize="0" autoFill="0" autoLine="0" autoPict="0">
                <anchor moveWithCells="1">
                  <from>
                    <xdr:col>1</xdr:col>
                    <xdr:colOff>161925</xdr:colOff>
                    <xdr:row>9</xdr:row>
                    <xdr:rowOff>9525</xdr:rowOff>
                  </from>
                  <to>
                    <xdr:col>1</xdr:col>
                    <xdr:colOff>342900</xdr:colOff>
                    <xdr:row>10</xdr:row>
                    <xdr:rowOff>9525</xdr:rowOff>
                  </to>
                </anchor>
              </controlPr>
            </control>
          </mc:Choice>
        </mc:AlternateContent>
        <mc:AlternateContent xmlns:mc="http://schemas.openxmlformats.org/markup-compatibility/2006">
          <mc:Choice Requires="x14">
            <control shapeId="9224" r:id="rId11" name="Case à cocher 9">
              <controlPr defaultSize="0" autoFill="0" autoLine="0" autoPict="0">
                <anchor moveWithCells="1">
                  <from>
                    <xdr:col>1</xdr:col>
                    <xdr:colOff>161925</xdr:colOff>
                    <xdr:row>10</xdr:row>
                    <xdr:rowOff>9525</xdr:rowOff>
                  </from>
                  <to>
                    <xdr:col>1</xdr:col>
                    <xdr:colOff>342900</xdr:colOff>
                    <xdr:row>11</xdr:row>
                    <xdr:rowOff>9525</xdr:rowOff>
                  </to>
                </anchor>
              </controlPr>
            </control>
          </mc:Choice>
        </mc:AlternateContent>
        <mc:AlternateContent xmlns:mc="http://schemas.openxmlformats.org/markup-compatibility/2006">
          <mc:Choice Requires="x14">
            <control shapeId="9225" r:id="rId12" name="Case à cocher 10">
              <controlPr defaultSize="0" autoFill="0" autoLine="0" autoPict="0">
                <anchor moveWithCells="1">
                  <from>
                    <xdr:col>1</xdr:col>
                    <xdr:colOff>161925</xdr:colOff>
                    <xdr:row>10</xdr:row>
                    <xdr:rowOff>171450</xdr:rowOff>
                  </from>
                  <to>
                    <xdr:col>1</xdr:col>
                    <xdr:colOff>342900</xdr:colOff>
                    <xdr:row>11</xdr:row>
                    <xdr:rowOff>171450</xdr:rowOff>
                  </to>
                </anchor>
              </controlPr>
            </control>
          </mc:Choice>
        </mc:AlternateContent>
        <mc:AlternateContent xmlns:mc="http://schemas.openxmlformats.org/markup-compatibility/2006">
          <mc:Choice Requires="x14">
            <control shapeId="9226" r:id="rId13" name="Case à cocher 11">
              <controlPr defaultSize="0" autoFill="0" autoLine="0" autoPict="0">
                <anchor moveWithCells="1">
                  <from>
                    <xdr:col>1</xdr:col>
                    <xdr:colOff>161925</xdr:colOff>
                    <xdr:row>11</xdr:row>
                    <xdr:rowOff>171450</xdr:rowOff>
                  </from>
                  <to>
                    <xdr:col>1</xdr:col>
                    <xdr:colOff>342900</xdr:colOff>
                    <xdr:row>12</xdr:row>
                    <xdr:rowOff>171450</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1</xdr:col>
                    <xdr:colOff>161925</xdr:colOff>
                    <xdr:row>12</xdr:row>
                    <xdr:rowOff>171450</xdr:rowOff>
                  </from>
                  <to>
                    <xdr:col>1</xdr:col>
                    <xdr:colOff>342900</xdr:colOff>
                    <xdr:row>13</xdr:row>
                    <xdr:rowOff>171450</xdr:rowOff>
                  </to>
                </anchor>
              </controlPr>
            </control>
          </mc:Choice>
        </mc:AlternateContent>
        <mc:AlternateContent xmlns:mc="http://schemas.openxmlformats.org/markup-compatibility/2006">
          <mc:Choice Requires="x14">
            <control shapeId="9228" r:id="rId15" name="Check Box 13">
              <controlPr defaultSize="0" autoFill="0" autoLine="0" autoPict="0">
                <anchor moveWithCells="1">
                  <from>
                    <xdr:col>1</xdr:col>
                    <xdr:colOff>161925</xdr:colOff>
                    <xdr:row>13</xdr:row>
                    <xdr:rowOff>180975</xdr:rowOff>
                  </from>
                  <to>
                    <xdr:col>1</xdr:col>
                    <xdr:colOff>342900</xdr:colOff>
                    <xdr:row>15</xdr:row>
                    <xdr:rowOff>0</xdr:rowOff>
                  </to>
                </anchor>
              </controlPr>
            </control>
          </mc:Choice>
        </mc:AlternateContent>
        <mc:AlternateContent xmlns:mc="http://schemas.openxmlformats.org/markup-compatibility/2006">
          <mc:Choice Requires="x14">
            <control shapeId="9229" r:id="rId16" name="Check Box 14">
              <controlPr defaultSize="0" autoFill="0" autoLine="0" autoPict="0">
                <anchor moveWithCells="1">
                  <from>
                    <xdr:col>1</xdr:col>
                    <xdr:colOff>161925</xdr:colOff>
                    <xdr:row>14</xdr:row>
                    <xdr:rowOff>180975</xdr:rowOff>
                  </from>
                  <to>
                    <xdr:col>1</xdr:col>
                    <xdr:colOff>342900</xdr:colOff>
                    <xdr:row>16</xdr:row>
                    <xdr:rowOff>0</xdr:rowOff>
                  </to>
                </anchor>
              </controlPr>
            </control>
          </mc:Choice>
        </mc:AlternateContent>
        <mc:AlternateContent xmlns:mc="http://schemas.openxmlformats.org/markup-compatibility/2006">
          <mc:Choice Requires="x14">
            <control shapeId="9230" r:id="rId17" name="Check Box 15">
              <controlPr defaultSize="0" autoFill="0" autoLine="0" autoPict="0">
                <anchor moveWithCells="1">
                  <from>
                    <xdr:col>1</xdr:col>
                    <xdr:colOff>161925</xdr:colOff>
                    <xdr:row>16</xdr:row>
                    <xdr:rowOff>0</xdr:rowOff>
                  </from>
                  <to>
                    <xdr:col>1</xdr:col>
                    <xdr:colOff>342900</xdr:colOff>
                    <xdr:row>17</xdr:row>
                    <xdr:rowOff>0</xdr:rowOff>
                  </to>
                </anchor>
              </controlPr>
            </control>
          </mc:Choice>
        </mc:AlternateContent>
        <mc:AlternateContent xmlns:mc="http://schemas.openxmlformats.org/markup-compatibility/2006">
          <mc:Choice Requires="x14">
            <control shapeId="9231" r:id="rId18" name="Check Box 16">
              <controlPr defaultSize="0" autoFill="0" autoLine="0" autoPict="0">
                <anchor moveWithCells="1">
                  <from>
                    <xdr:col>1</xdr:col>
                    <xdr:colOff>161925</xdr:colOff>
                    <xdr:row>16</xdr:row>
                    <xdr:rowOff>180975</xdr:rowOff>
                  </from>
                  <to>
                    <xdr:col>1</xdr:col>
                    <xdr:colOff>342900</xdr:colOff>
                    <xdr:row>18</xdr:row>
                    <xdr:rowOff>0</xdr:rowOff>
                  </to>
                </anchor>
              </controlPr>
            </control>
          </mc:Choice>
        </mc:AlternateContent>
        <mc:AlternateContent xmlns:mc="http://schemas.openxmlformats.org/markup-compatibility/2006">
          <mc:Choice Requires="x14">
            <control shapeId="9232" r:id="rId19" name="Check Box 17">
              <controlPr defaultSize="0" autoFill="0" autoLine="0" autoPict="0">
                <anchor moveWithCells="1">
                  <from>
                    <xdr:col>1</xdr:col>
                    <xdr:colOff>161925</xdr:colOff>
                    <xdr:row>17</xdr:row>
                    <xdr:rowOff>180975</xdr:rowOff>
                  </from>
                  <to>
                    <xdr:col>1</xdr:col>
                    <xdr:colOff>342900</xdr:colOff>
                    <xdr:row>19</xdr:row>
                    <xdr:rowOff>0</xdr:rowOff>
                  </to>
                </anchor>
              </controlPr>
            </control>
          </mc:Choice>
        </mc:AlternateContent>
        <mc:AlternateContent xmlns:mc="http://schemas.openxmlformats.org/markup-compatibility/2006">
          <mc:Choice Requires="x14">
            <control shapeId="9233" r:id="rId20" name="Check Box 18">
              <controlPr defaultSize="0" autoFill="0" autoLine="0" autoPict="0">
                <anchor moveWithCells="1">
                  <from>
                    <xdr:col>1</xdr:col>
                    <xdr:colOff>161925</xdr:colOff>
                    <xdr:row>19</xdr:row>
                    <xdr:rowOff>0</xdr:rowOff>
                  </from>
                  <to>
                    <xdr:col>1</xdr:col>
                    <xdr:colOff>342900</xdr:colOff>
                    <xdr:row>20</xdr:row>
                    <xdr:rowOff>0</xdr:rowOff>
                  </to>
                </anchor>
              </controlPr>
            </control>
          </mc:Choice>
        </mc:AlternateContent>
        <mc:AlternateContent xmlns:mc="http://schemas.openxmlformats.org/markup-compatibility/2006">
          <mc:Choice Requires="x14">
            <control shapeId="9234" r:id="rId21" name="Check Box 19">
              <controlPr defaultSize="0" autoFill="0" autoLine="0" autoPict="0">
                <anchor moveWithCells="1">
                  <from>
                    <xdr:col>1</xdr:col>
                    <xdr:colOff>161925</xdr:colOff>
                    <xdr:row>20</xdr:row>
                    <xdr:rowOff>0</xdr:rowOff>
                  </from>
                  <to>
                    <xdr:col>1</xdr:col>
                    <xdr:colOff>342900</xdr:colOff>
                    <xdr:row>21</xdr:row>
                    <xdr:rowOff>0</xdr:rowOff>
                  </to>
                </anchor>
              </controlPr>
            </control>
          </mc:Choice>
        </mc:AlternateContent>
        <mc:AlternateContent xmlns:mc="http://schemas.openxmlformats.org/markup-compatibility/2006">
          <mc:Choice Requires="x14">
            <control shapeId="9235" r:id="rId22" name="Check Box 20">
              <controlPr defaultSize="0" autoFill="0" autoLine="0" autoPict="0">
                <anchor moveWithCells="1">
                  <from>
                    <xdr:col>1</xdr:col>
                    <xdr:colOff>161925</xdr:colOff>
                    <xdr:row>21</xdr:row>
                    <xdr:rowOff>9525</xdr:rowOff>
                  </from>
                  <to>
                    <xdr:col>1</xdr:col>
                    <xdr:colOff>342900</xdr:colOff>
                    <xdr:row>22</xdr:row>
                    <xdr:rowOff>9525</xdr:rowOff>
                  </to>
                </anchor>
              </controlPr>
            </control>
          </mc:Choice>
        </mc:AlternateContent>
        <mc:AlternateContent xmlns:mc="http://schemas.openxmlformats.org/markup-compatibility/2006">
          <mc:Choice Requires="x14">
            <control shapeId="9236" r:id="rId23" name="Check Box 21">
              <controlPr defaultSize="0" autoFill="0" autoLine="0" autoPict="0">
                <anchor moveWithCells="1">
                  <from>
                    <xdr:col>1</xdr:col>
                    <xdr:colOff>161925</xdr:colOff>
                    <xdr:row>22</xdr:row>
                    <xdr:rowOff>9525</xdr:rowOff>
                  </from>
                  <to>
                    <xdr:col>1</xdr:col>
                    <xdr:colOff>342900</xdr:colOff>
                    <xdr:row>23</xdr:row>
                    <xdr:rowOff>9525</xdr:rowOff>
                  </to>
                </anchor>
              </controlPr>
            </control>
          </mc:Choice>
        </mc:AlternateContent>
        <mc:AlternateContent xmlns:mc="http://schemas.openxmlformats.org/markup-compatibility/2006">
          <mc:Choice Requires="x14">
            <control shapeId="9237" r:id="rId24" name="Check Box 21">
              <controlPr defaultSize="0" autoFill="0" autoLine="0" autoPict="0">
                <anchor moveWithCells="1">
                  <from>
                    <xdr:col>1</xdr:col>
                    <xdr:colOff>161925</xdr:colOff>
                    <xdr:row>22</xdr:row>
                    <xdr:rowOff>180975</xdr:rowOff>
                  </from>
                  <to>
                    <xdr:col>1</xdr:col>
                    <xdr:colOff>342900</xdr:colOff>
                    <xdr:row>23</xdr:row>
                    <xdr:rowOff>180975</xdr:rowOff>
                  </to>
                </anchor>
              </controlPr>
            </control>
          </mc:Choice>
        </mc:AlternateContent>
        <mc:AlternateContent xmlns:mc="http://schemas.openxmlformats.org/markup-compatibility/2006">
          <mc:Choice Requires="x14">
            <control shapeId="9238" r:id="rId25" name="Check Box 22">
              <controlPr defaultSize="0" autoFill="0" autoLine="0" autoPict="0">
                <anchor moveWithCells="1">
                  <from>
                    <xdr:col>1</xdr:col>
                    <xdr:colOff>161925</xdr:colOff>
                    <xdr:row>24</xdr:row>
                    <xdr:rowOff>0</xdr:rowOff>
                  </from>
                  <to>
                    <xdr:col>1</xdr:col>
                    <xdr:colOff>342900</xdr:colOff>
                    <xdr:row>25</xdr:row>
                    <xdr:rowOff>0</xdr:rowOff>
                  </to>
                </anchor>
              </controlPr>
            </control>
          </mc:Choice>
        </mc:AlternateContent>
        <mc:AlternateContent xmlns:mc="http://schemas.openxmlformats.org/markup-compatibility/2006">
          <mc:Choice Requires="x14">
            <control shapeId="9239" r:id="rId26" name="Check Box 23">
              <controlPr defaultSize="0" autoFill="0" autoLine="0" autoPict="0">
                <anchor moveWithCells="1">
                  <from>
                    <xdr:col>1</xdr:col>
                    <xdr:colOff>161925</xdr:colOff>
                    <xdr:row>25</xdr:row>
                    <xdr:rowOff>171450</xdr:rowOff>
                  </from>
                  <to>
                    <xdr:col>1</xdr:col>
                    <xdr:colOff>342900</xdr:colOff>
                    <xdr:row>26</xdr:row>
                    <xdr:rowOff>171450</xdr:rowOff>
                  </to>
                </anchor>
              </controlPr>
            </control>
          </mc:Choice>
        </mc:AlternateContent>
        <mc:AlternateContent xmlns:mc="http://schemas.openxmlformats.org/markup-compatibility/2006">
          <mc:Choice Requires="x14">
            <control shapeId="9240" r:id="rId27" name="Check Box 24">
              <controlPr defaultSize="0" autoFill="0" autoLine="0" autoPict="0">
                <anchor moveWithCells="1">
                  <from>
                    <xdr:col>1</xdr:col>
                    <xdr:colOff>161925</xdr:colOff>
                    <xdr:row>26</xdr:row>
                    <xdr:rowOff>180975</xdr:rowOff>
                  </from>
                  <to>
                    <xdr:col>1</xdr:col>
                    <xdr:colOff>342900</xdr:colOff>
                    <xdr:row>27</xdr:row>
                    <xdr:rowOff>180975</xdr:rowOff>
                  </to>
                </anchor>
              </controlPr>
            </control>
          </mc:Choice>
        </mc:AlternateContent>
        <mc:AlternateContent xmlns:mc="http://schemas.openxmlformats.org/markup-compatibility/2006">
          <mc:Choice Requires="x14">
            <control shapeId="9241" r:id="rId28" name="Check Box 25">
              <controlPr defaultSize="0" autoFill="0" autoLine="0" autoPict="0">
                <anchor moveWithCells="1">
                  <from>
                    <xdr:col>1</xdr:col>
                    <xdr:colOff>161925</xdr:colOff>
                    <xdr:row>28</xdr:row>
                    <xdr:rowOff>9525</xdr:rowOff>
                  </from>
                  <to>
                    <xdr:col>1</xdr:col>
                    <xdr:colOff>342900</xdr:colOff>
                    <xdr:row>29</xdr:row>
                    <xdr:rowOff>9525</xdr:rowOff>
                  </to>
                </anchor>
              </controlPr>
            </control>
          </mc:Choice>
        </mc:AlternateContent>
        <mc:AlternateContent xmlns:mc="http://schemas.openxmlformats.org/markup-compatibility/2006">
          <mc:Choice Requires="x14">
            <control shapeId="9242" r:id="rId29" name="Check Box 26">
              <controlPr defaultSize="0" autoFill="0" autoLine="0" autoPict="0">
                <anchor moveWithCells="1">
                  <from>
                    <xdr:col>1</xdr:col>
                    <xdr:colOff>161925</xdr:colOff>
                    <xdr:row>29</xdr:row>
                    <xdr:rowOff>0</xdr:rowOff>
                  </from>
                  <to>
                    <xdr:col>1</xdr:col>
                    <xdr:colOff>342900</xdr:colOff>
                    <xdr:row>30</xdr:row>
                    <xdr:rowOff>0</xdr:rowOff>
                  </to>
                </anchor>
              </controlPr>
            </control>
          </mc:Choice>
        </mc:AlternateContent>
        <mc:AlternateContent xmlns:mc="http://schemas.openxmlformats.org/markup-compatibility/2006">
          <mc:Choice Requires="x14">
            <control shapeId="9243" r:id="rId30" name="Check Box 27">
              <controlPr defaultSize="0" autoFill="0" autoLine="0" autoPict="0">
                <anchor moveWithCells="1">
                  <from>
                    <xdr:col>1</xdr:col>
                    <xdr:colOff>161925</xdr:colOff>
                    <xdr:row>30</xdr:row>
                    <xdr:rowOff>0</xdr:rowOff>
                  </from>
                  <to>
                    <xdr:col>1</xdr:col>
                    <xdr:colOff>342900</xdr:colOff>
                    <xdr:row>31</xdr:row>
                    <xdr:rowOff>0</xdr:rowOff>
                  </to>
                </anchor>
              </controlPr>
            </control>
          </mc:Choice>
        </mc:AlternateContent>
        <mc:AlternateContent xmlns:mc="http://schemas.openxmlformats.org/markup-compatibility/2006">
          <mc:Choice Requires="x14">
            <control shapeId="9244" r:id="rId31" name="Check Box 28">
              <controlPr defaultSize="0" autoFill="0" autoLine="0" autoPict="0">
                <anchor moveWithCells="1">
                  <from>
                    <xdr:col>1</xdr:col>
                    <xdr:colOff>161925</xdr:colOff>
                    <xdr:row>31</xdr:row>
                    <xdr:rowOff>0</xdr:rowOff>
                  </from>
                  <to>
                    <xdr:col>1</xdr:col>
                    <xdr:colOff>342900</xdr:colOff>
                    <xdr:row>32</xdr:row>
                    <xdr:rowOff>0</xdr:rowOff>
                  </to>
                </anchor>
              </controlPr>
            </control>
          </mc:Choice>
        </mc:AlternateContent>
        <mc:AlternateContent xmlns:mc="http://schemas.openxmlformats.org/markup-compatibility/2006">
          <mc:Choice Requires="x14">
            <control shapeId="9245" r:id="rId32" name="Check Box 29">
              <controlPr defaultSize="0" autoFill="0" autoLine="0" autoPict="0">
                <anchor moveWithCells="1">
                  <from>
                    <xdr:col>1</xdr:col>
                    <xdr:colOff>152400</xdr:colOff>
                    <xdr:row>31</xdr:row>
                    <xdr:rowOff>171450</xdr:rowOff>
                  </from>
                  <to>
                    <xdr:col>1</xdr:col>
                    <xdr:colOff>333375</xdr:colOff>
                    <xdr:row>32</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3:P40"/>
  <sheetViews>
    <sheetView zoomScale="85" zoomScaleNormal="85" workbookViewId="0">
      <selection activeCell="C32" sqref="C32"/>
    </sheetView>
  </sheetViews>
  <sheetFormatPr defaultColWidth="11.42578125" defaultRowHeight="15" x14ac:dyDescent="0.25"/>
  <cols>
    <col min="1" max="1" width="18.5703125" customWidth="1"/>
    <col min="2" max="2" width="5.85546875" customWidth="1"/>
    <col min="3" max="3" width="11.42578125" style="2"/>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3" x14ac:dyDescent="0.25">
      <c r="C3" s="3" t="s">
        <v>1</v>
      </c>
      <c r="D3" s="3" t="s">
        <v>24</v>
      </c>
      <c r="E3" s="19" t="s">
        <v>16</v>
      </c>
      <c r="F3" s="16" t="s">
        <v>15</v>
      </c>
      <c r="G3" s="21" t="s">
        <v>14</v>
      </c>
      <c r="H3" s="17" t="s">
        <v>0</v>
      </c>
      <c r="I3" s="19" t="s">
        <v>29</v>
      </c>
      <c r="J3" s="16" t="s">
        <v>30</v>
      </c>
      <c r="K3" s="21" t="s">
        <v>14</v>
      </c>
      <c r="L3" s="17" t="s">
        <v>31</v>
      </c>
    </row>
    <row r="4" spans="1:13" x14ac:dyDescent="0.25">
      <c r="A4" t="s">
        <v>2</v>
      </c>
      <c r="C4" s="28">
        <v>5</v>
      </c>
      <c r="E4" s="20">
        <f>10/100</f>
        <v>0.1</v>
      </c>
      <c r="F4" s="6">
        <f>1.6/100</f>
        <v>1.6E-2</v>
      </c>
      <c r="G4" s="22">
        <f>11/100</f>
        <v>0.11</v>
      </c>
      <c r="H4" s="18">
        <f>148/100</f>
        <v>1.48</v>
      </c>
      <c r="I4" s="20">
        <f t="shared" ref="I4:I33" si="0">IF($M4=TRUE,E4*$C4,0)</f>
        <v>0</v>
      </c>
      <c r="J4" s="6">
        <f t="shared" ref="J4:J33" si="1">IF($M4=TRUE,F4*$C4,0)</f>
        <v>0</v>
      </c>
      <c r="K4" s="22">
        <f t="shared" ref="K4:K33" si="2">IF($M4=TRUE,G4*$C4,0)</f>
        <v>0</v>
      </c>
      <c r="L4" s="18">
        <f t="shared" ref="L4:L33" si="3">IF($M4=TRUE, H4*C4,0)</f>
        <v>0</v>
      </c>
      <c r="M4" t="b">
        <v>0</v>
      </c>
    </row>
    <row r="5" spans="1:13" x14ac:dyDescent="0.25">
      <c r="A5" t="s">
        <v>3</v>
      </c>
      <c r="C5" s="28">
        <v>61</v>
      </c>
      <c r="E5" s="20">
        <f>12/100</f>
        <v>0.12</v>
      </c>
      <c r="F5" s="6">
        <f>60/100</f>
        <v>0.6</v>
      </c>
      <c r="G5" s="22">
        <f>7.1/100</f>
        <v>7.0999999999999994E-2</v>
      </c>
      <c r="H5" s="18">
        <f>371/100</f>
        <v>3.71</v>
      </c>
      <c r="I5" s="20">
        <f t="shared" si="0"/>
        <v>7.3199999999999994</v>
      </c>
      <c r="J5" s="6">
        <f t="shared" si="1"/>
        <v>36.6</v>
      </c>
      <c r="K5" s="22">
        <f t="shared" si="2"/>
        <v>4.3309999999999995</v>
      </c>
      <c r="L5" s="18">
        <f t="shared" si="3"/>
        <v>226.31</v>
      </c>
      <c r="M5" t="b">
        <v>1</v>
      </c>
    </row>
    <row r="6" spans="1:13" x14ac:dyDescent="0.25">
      <c r="A6" t="s">
        <v>4</v>
      </c>
      <c r="C6" s="28">
        <v>1</v>
      </c>
      <c r="E6" s="20">
        <v>10.1</v>
      </c>
      <c r="F6" s="6">
        <v>34.1</v>
      </c>
      <c r="G6" s="22">
        <v>10.1</v>
      </c>
      <c r="H6" s="18">
        <v>400</v>
      </c>
      <c r="I6" s="20">
        <f t="shared" si="0"/>
        <v>0</v>
      </c>
      <c r="J6" s="6">
        <f t="shared" si="1"/>
        <v>0</v>
      </c>
      <c r="K6" s="22">
        <f t="shared" si="2"/>
        <v>0</v>
      </c>
      <c r="L6" s="18">
        <f t="shared" si="3"/>
        <v>0</v>
      </c>
      <c r="M6" t="b">
        <v>0</v>
      </c>
    </row>
    <row r="7" spans="1:13" x14ac:dyDescent="0.25">
      <c r="A7" t="s">
        <v>5</v>
      </c>
      <c r="C7" s="28">
        <f>150+150</f>
        <v>300</v>
      </c>
      <c r="E7" s="20">
        <f>20.7/100</f>
        <v>0.20699999999999999</v>
      </c>
      <c r="F7" s="6">
        <f>2.2/100</f>
        <v>2.2000000000000002E-2</v>
      </c>
      <c r="G7" s="22">
        <f>0.9/100</f>
        <v>9.0000000000000011E-3</v>
      </c>
      <c r="H7" s="18">
        <f>94/100</f>
        <v>0.94</v>
      </c>
      <c r="I7" s="20">
        <f t="shared" si="0"/>
        <v>62.099999999999994</v>
      </c>
      <c r="J7" s="6">
        <f t="shared" si="1"/>
        <v>6.6000000000000005</v>
      </c>
      <c r="K7" s="22">
        <f t="shared" si="2"/>
        <v>2.7</v>
      </c>
      <c r="L7" s="18">
        <f t="shared" si="3"/>
        <v>282</v>
      </c>
      <c r="M7" t="b">
        <v>1</v>
      </c>
    </row>
    <row r="8" spans="1:13" x14ac:dyDescent="0.25">
      <c r="A8" t="s">
        <v>6</v>
      </c>
      <c r="C8" s="28">
        <v>253</v>
      </c>
      <c r="E8" s="20">
        <f>20/100</f>
        <v>0.2</v>
      </c>
      <c r="F8" s="6">
        <f>0.2/100</f>
        <v>2E-3</v>
      </c>
      <c r="G8" s="22">
        <f>5/100</f>
        <v>0.05</v>
      </c>
      <c r="H8" s="18">
        <f>126/100</f>
        <v>1.26</v>
      </c>
      <c r="I8" s="20">
        <f t="shared" si="0"/>
        <v>50.6</v>
      </c>
      <c r="J8" s="6">
        <f t="shared" si="1"/>
        <v>0.50600000000000001</v>
      </c>
      <c r="K8" s="22">
        <f t="shared" si="2"/>
        <v>12.65</v>
      </c>
      <c r="L8" s="18">
        <f t="shared" si="3"/>
        <v>318.78000000000003</v>
      </c>
      <c r="M8" t="b">
        <v>1</v>
      </c>
    </row>
    <row r="9" spans="1:13" x14ac:dyDescent="0.25">
      <c r="A9" t="s">
        <v>7</v>
      </c>
      <c r="C9" s="28">
        <v>50</v>
      </c>
      <c r="E9" s="20">
        <f>12.68/100</f>
        <v>0.1268</v>
      </c>
      <c r="F9" s="6">
        <f>72.83/100</f>
        <v>0.72829999999999995</v>
      </c>
      <c r="G9" s="22">
        <f>1.05/100</f>
        <v>1.0500000000000001E-2</v>
      </c>
      <c r="H9" s="18">
        <f>360/100</f>
        <v>3.6</v>
      </c>
      <c r="I9" s="20">
        <f t="shared" si="0"/>
        <v>0</v>
      </c>
      <c r="J9" s="6">
        <f t="shared" si="1"/>
        <v>0</v>
      </c>
      <c r="K9" s="22">
        <f t="shared" si="2"/>
        <v>0</v>
      </c>
      <c r="L9" s="18">
        <f t="shared" si="3"/>
        <v>0</v>
      </c>
      <c r="M9" t="b">
        <v>0</v>
      </c>
    </row>
    <row r="10" spans="1:13" x14ac:dyDescent="0.25">
      <c r="A10" t="s">
        <v>8</v>
      </c>
      <c r="C10" s="28">
        <v>39</v>
      </c>
      <c r="E10" s="20">
        <f>8.8/100</f>
        <v>8.8000000000000009E-2</v>
      </c>
      <c r="F10" s="6">
        <f>72/100</f>
        <v>0.72</v>
      </c>
      <c r="G10" s="22">
        <f>2.2/100</f>
        <v>2.2000000000000002E-2</v>
      </c>
      <c r="H10" s="18">
        <f>343/100</f>
        <v>3.43</v>
      </c>
      <c r="I10" s="20">
        <f t="shared" si="0"/>
        <v>0</v>
      </c>
      <c r="J10" s="6">
        <f t="shared" si="1"/>
        <v>0</v>
      </c>
      <c r="K10" s="22">
        <f t="shared" si="2"/>
        <v>0</v>
      </c>
      <c r="L10" s="18">
        <f t="shared" si="3"/>
        <v>0</v>
      </c>
      <c r="M10" t="b">
        <v>0</v>
      </c>
    </row>
    <row r="11" spans="1:13" x14ac:dyDescent="0.25">
      <c r="A11" t="s">
        <v>9</v>
      </c>
      <c r="C11" s="28">
        <v>123</v>
      </c>
      <c r="E11" s="20">
        <f>1.5/100</f>
        <v>1.4999999999999999E-2</v>
      </c>
      <c r="F11" s="6">
        <f>20/100</f>
        <v>0.2</v>
      </c>
      <c r="G11" s="22">
        <v>0</v>
      </c>
      <c r="H11" s="18">
        <f>90/100</f>
        <v>0.9</v>
      </c>
      <c r="I11" s="20">
        <f t="shared" si="0"/>
        <v>1.845</v>
      </c>
      <c r="J11" s="6">
        <f t="shared" si="1"/>
        <v>24.6</v>
      </c>
      <c r="K11" s="22">
        <f t="shared" si="2"/>
        <v>0</v>
      </c>
      <c r="L11" s="18">
        <f t="shared" si="3"/>
        <v>110.7</v>
      </c>
      <c r="M11" t="b">
        <v>1</v>
      </c>
    </row>
    <row r="12" spans="1:13" x14ac:dyDescent="0.25">
      <c r="A12" t="s">
        <v>10</v>
      </c>
      <c r="C12" s="28">
        <v>69</v>
      </c>
      <c r="E12" s="20">
        <f>1.6/100</f>
        <v>1.6E-2</v>
      </c>
      <c r="F12" s="6">
        <f>11/100</f>
        <v>0.11</v>
      </c>
      <c r="G12" s="22">
        <f>0.3/100</f>
        <v>3.0000000000000001E-3</v>
      </c>
      <c r="H12" s="18">
        <f>53/100</f>
        <v>0.53</v>
      </c>
      <c r="I12" s="20">
        <f t="shared" si="0"/>
        <v>0</v>
      </c>
      <c r="J12" s="6">
        <f t="shared" si="1"/>
        <v>0</v>
      </c>
      <c r="K12" s="22">
        <f t="shared" si="2"/>
        <v>0</v>
      </c>
      <c r="L12" s="18">
        <f t="shared" si="3"/>
        <v>0</v>
      </c>
      <c r="M12" t="b">
        <v>0</v>
      </c>
    </row>
    <row r="13" spans="1:13" x14ac:dyDescent="0.25">
      <c r="A13" t="s">
        <v>11</v>
      </c>
      <c r="C13" s="28">
        <v>204</v>
      </c>
      <c r="E13" s="20">
        <f>1/100</f>
        <v>0.01</v>
      </c>
      <c r="F13" s="6">
        <f>9/100</f>
        <v>0.09</v>
      </c>
      <c r="G13" s="22">
        <f>0.2/100</f>
        <v>2E-3</v>
      </c>
      <c r="H13" s="18">
        <f>45/100</f>
        <v>0.45</v>
      </c>
      <c r="I13" s="20">
        <f t="shared" si="0"/>
        <v>2.04</v>
      </c>
      <c r="J13" s="6">
        <f t="shared" si="1"/>
        <v>18.36</v>
      </c>
      <c r="K13" s="22">
        <f t="shared" si="2"/>
        <v>0.40800000000000003</v>
      </c>
      <c r="L13" s="18">
        <f t="shared" si="3"/>
        <v>91.8</v>
      </c>
      <c r="M13" t="b">
        <v>1</v>
      </c>
    </row>
    <row r="14" spans="1:13" x14ac:dyDescent="0.25">
      <c r="A14" t="s">
        <v>12</v>
      </c>
      <c r="C14" s="28">
        <v>130</v>
      </c>
      <c r="E14" s="20">
        <f>11/100</f>
        <v>0.11</v>
      </c>
      <c r="F14" s="6">
        <f>54/100</f>
        <v>0.54</v>
      </c>
      <c r="G14" s="22">
        <f>3.3/100</f>
        <v>3.3000000000000002E-2</v>
      </c>
      <c r="H14" s="18">
        <f>293/100</f>
        <v>2.93</v>
      </c>
      <c r="I14" s="20">
        <f t="shared" si="0"/>
        <v>0</v>
      </c>
      <c r="J14" s="6">
        <f t="shared" si="1"/>
        <v>0</v>
      </c>
      <c r="K14" s="22">
        <f t="shared" si="2"/>
        <v>0</v>
      </c>
      <c r="L14" s="18">
        <f t="shared" si="3"/>
        <v>0</v>
      </c>
      <c r="M14" t="b">
        <v>0</v>
      </c>
    </row>
    <row r="15" spans="1:13" x14ac:dyDescent="0.25">
      <c r="A15" t="s">
        <v>13</v>
      </c>
      <c r="C15" s="29">
        <v>1</v>
      </c>
      <c r="E15" s="20">
        <v>20</v>
      </c>
      <c r="F15" s="6">
        <v>1</v>
      </c>
      <c r="G15" s="22">
        <v>1</v>
      </c>
      <c r="H15" s="18">
        <v>93</v>
      </c>
      <c r="I15" s="20">
        <f t="shared" si="0"/>
        <v>20</v>
      </c>
      <c r="J15" s="6">
        <f t="shared" si="1"/>
        <v>1</v>
      </c>
      <c r="K15" s="22">
        <f t="shared" si="2"/>
        <v>1</v>
      </c>
      <c r="L15" s="18">
        <f t="shared" si="3"/>
        <v>93</v>
      </c>
      <c r="M15" t="b">
        <v>1</v>
      </c>
    </row>
    <row r="16" spans="1:13" x14ac:dyDescent="0.25">
      <c r="A16" t="s">
        <v>17</v>
      </c>
      <c r="C16" s="28">
        <v>24</v>
      </c>
      <c r="D16" s="2" t="s">
        <v>23</v>
      </c>
      <c r="E16" s="20">
        <f>3/100</f>
        <v>0.03</v>
      </c>
      <c r="F16" s="6">
        <f>11/100</f>
        <v>0.11</v>
      </c>
      <c r="G16" s="22">
        <f>1.5/100</f>
        <v>1.4999999999999999E-2</v>
      </c>
      <c r="H16" s="18">
        <f>74/100</f>
        <v>0.74</v>
      </c>
      <c r="I16" s="20">
        <f t="shared" si="0"/>
        <v>0</v>
      </c>
      <c r="J16" s="6">
        <f t="shared" si="1"/>
        <v>0</v>
      </c>
      <c r="K16" s="22">
        <f t="shared" si="2"/>
        <v>0</v>
      </c>
      <c r="L16" s="18">
        <f t="shared" si="3"/>
        <v>0</v>
      </c>
      <c r="M16" t="b">
        <v>0</v>
      </c>
    </row>
    <row r="17" spans="1:13" x14ac:dyDescent="0.25">
      <c r="A17" t="s">
        <v>18</v>
      </c>
      <c r="C17" s="29">
        <f>217+150</f>
        <v>367</v>
      </c>
      <c r="E17" s="20">
        <f>3.2/100</f>
        <v>3.2000000000000001E-2</v>
      </c>
      <c r="F17" s="6">
        <f>4.8/100</f>
        <v>4.8000000000000001E-2</v>
      </c>
      <c r="G17" s="22">
        <f>1.6/100</f>
        <v>1.6E-2</v>
      </c>
      <c r="H17" s="18">
        <f>46/100</f>
        <v>0.46</v>
      </c>
      <c r="I17" s="20">
        <f t="shared" si="0"/>
        <v>11.744</v>
      </c>
      <c r="J17" s="6">
        <f t="shared" si="1"/>
        <v>17.616</v>
      </c>
      <c r="K17" s="22">
        <f t="shared" si="2"/>
        <v>5.8719999999999999</v>
      </c>
      <c r="L17" s="18">
        <f t="shared" si="3"/>
        <v>168.82</v>
      </c>
      <c r="M17" t="b">
        <v>1</v>
      </c>
    </row>
    <row r="18" spans="1:13" x14ac:dyDescent="0.25">
      <c r="A18" t="s">
        <v>19</v>
      </c>
      <c r="C18" s="28">
        <v>137</v>
      </c>
      <c r="D18" s="2" t="s">
        <v>25</v>
      </c>
      <c r="E18" s="20">
        <f>2/100</f>
        <v>0.02</v>
      </c>
      <c r="F18" s="6">
        <f>17/100</f>
        <v>0.17</v>
      </c>
      <c r="G18" s="22">
        <f>0.1/100</f>
        <v>1E-3</v>
      </c>
      <c r="H18" s="18">
        <f>77/100</f>
        <v>0.77</v>
      </c>
      <c r="I18" s="20">
        <f t="shared" si="0"/>
        <v>0</v>
      </c>
      <c r="J18" s="6">
        <f t="shared" si="1"/>
        <v>0</v>
      </c>
      <c r="K18" s="22">
        <f t="shared" si="2"/>
        <v>0</v>
      </c>
      <c r="L18" s="18">
        <f t="shared" si="3"/>
        <v>0</v>
      </c>
      <c r="M18" t="b">
        <v>0</v>
      </c>
    </row>
    <row r="19" spans="1:13" x14ac:dyDescent="0.25">
      <c r="A19" t="s">
        <v>20</v>
      </c>
      <c r="C19" s="28">
        <f>44+130</f>
        <v>174</v>
      </c>
      <c r="E19" s="20">
        <f>25/100</f>
        <v>0.25</v>
      </c>
      <c r="F19" s="6">
        <v>0</v>
      </c>
      <c r="G19" s="22">
        <f>1/100</f>
        <v>0.01</v>
      </c>
      <c r="H19" s="18">
        <f>109/100</f>
        <v>1.0900000000000001</v>
      </c>
      <c r="I19" s="20">
        <f t="shared" si="0"/>
        <v>0</v>
      </c>
      <c r="J19" s="6">
        <f t="shared" si="1"/>
        <v>0</v>
      </c>
      <c r="K19" s="22">
        <f t="shared" si="2"/>
        <v>0</v>
      </c>
      <c r="L19" s="18">
        <f t="shared" si="3"/>
        <v>0</v>
      </c>
      <c r="M19" t="b">
        <v>0</v>
      </c>
    </row>
    <row r="20" spans="1:13" x14ac:dyDescent="0.25">
      <c r="A20" t="s">
        <v>21</v>
      </c>
      <c r="C20" s="28">
        <v>50</v>
      </c>
      <c r="D20" s="2" t="s">
        <v>22</v>
      </c>
      <c r="E20" s="20">
        <f>2.3/100</f>
        <v>2.3E-2</v>
      </c>
      <c r="F20" s="6">
        <f>7.2/100</f>
        <v>7.2000000000000008E-2</v>
      </c>
      <c r="G20" s="22">
        <f>0.5/100</f>
        <v>5.0000000000000001E-3</v>
      </c>
      <c r="H20" s="18">
        <f>44/100</f>
        <v>0.44</v>
      </c>
      <c r="I20" s="20">
        <f t="shared" si="0"/>
        <v>0</v>
      </c>
      <c r="J20" s="6">
        <f t="shared" si="1"/>
        <v>0</v>
      </c>
      <c r="K20" s="22">
        <f t="shared" si="2"/>
        <v>0</v>
      </c>
      <c r="L20" s="18">
        <f t="shared" si="3"/>
        <v>0</v>
      </c>
      <c r="M20" t="b">
        <v>0</v>
      </c>
    </row>
    <row r="21" spans="1:13" x14ac:dyDescent="0.25">
      <c r="A21" t="s">
        <v>26</v>
      </c>
      <c r="C21" s="28"/>
      <c r="E21" s="20">
        <v>0</v>
      </c>
      <c r="F21" s="6">
        <v>0</v>
      </c>
      <c r="G21" s="22">
        <v>0</v>
      </c>
      <c r="H21" s="18">
        <f>275/100</f>
        <v>2.75</v>
      </c>
      <c r="I21" s="20">
        <f t="shared" si="0"/>
        <v>0</v>
      </c>
      <c r="J21" s="6">
        <f t="shared" si="1"/>
        <v>0</v>
      </c>
      <c r="K21" s="22">
        <f t="shared" si="2"/>
        <v>0</v>
      </c>
      <c r="L21" s="18">
        <f t="shared" si="3"/>
        <v>0</v>
      </c>
      <c r="M21" t="b">
        <v>0</v>
      </c>
    </row>
    <row r="22" spans="1:13" x14ac:dyDescent="0.25">
      <c r="A22" t="s">
        <v>32</v>
      </c>
      <c r="C22" s="29">
        <v>12</v>
      </c>
      <c r="E22" s="20">
        <f>22/100</f>
        <v>0.22</v>
      </c>
      <c r="F22" s="6">
        <f>6.9/100</f>
        <v>6.9000000000000006E-2</v>
      </c>
      <c r="G22" s="22">
        <f>54/100</f>
        <v>0.54</v>
      </c>
      <c r="H22" s="18">
        <f>620/100</f>
        <v>6.2</v>
      </c>
      <c r="I22" s="20">
        <f t="shared" si="0"/>
        <v>2.64</v>
      </c>
      <c r="J22" s="6">
        <f t="shared" si="1"/>
        <v>0.82800000000000007</v>
      </c>
      <c r="K22" s="22">
        <f t="shared" si="2"/>
        <v>6.48</v>
      </c>
      <c r="L22" s="18">
        <f t="shared" si="3"/>
        <v>74.400000000000006</v>
      </c>
      <c r="M22" t="b">
        <v>1</v>
      </c>
    </row>
    <row r="23" spans="1:13" x14ac:dyDescent="0.25">
      <c r="A23" t="s">
        <v>33</v>
      </c>
      <c r="C23" s="28">
        <v>143</v>
      </c>
      <c r="E23" s="20">
        <v>3.6</v>
      </c>
      <c r="F23" s="6">
        <v>0.2</v>
      </c>
      <c r="G23" s="22">
        <v>0.1</v>
      </c>
      <c r="H23" s="18">
        <f>17</f>
        <v>17</v>
      </c>
      <c r="I23" s="20">
        <f t="shared" si="0"/>
        <v>0</v>
      </c>
      <c r="J23" s="6">
        <f t="shared" si="1"/>
        <v>0</v>
      </c>
      <c r="K23" s="22">
        <f t="shared" si="2"/>
        <v>0</v>
      </c>
      <c r="L23" s="18">
        <f t="shared" si="3"/>
        <v>0</v>
      </c>
      <c r="M23" t="b">
        <v>0</v>
      </c>
    </row>
    <row r="24" spans="1:13" x14ac:dyDescent="0.25">
      <c r="A24" t="s">
        <v>34</v>
      </c>
      <c r="C24" s="28">
        <v>50</v>
      </c>
      <c r="E24" s="20">
        <f>7.4/100</f>
        <v>7.400000000000001E-2</v>
      </c>
      <c r="F24" s="6">
        <f>78.7/100</f>
        <v>0.78700000000000003</v>
      </c>
      <c r="G24" s="22">
        <f>0.7/100</f>
        <v>6.9999999999999993E-3</v>
      </c>
      <c r="H24" s="18">
        <f>351/100</f>
        <v>3.51</v>
      </c>
      <c r="I24" s="20">
        <f t="shared" si="0"/>
        <v>0</v>
      </c>
      <c r="J24" s="6">
        <f t="shared" si="1"/>
        <v>0</v>
      </c>
      <c r="K24" s="22">
        <f t="shared" si="2"/>
        <v>0</v>
      </c>
      <c r="L24" s="18">
        <f t="shared" si="3"/>
        <v>0</v>
      </c>
      <c r="M24" t="b">
        <v>0</v>
      </c>
    </row>
    <row r="25" spans="1:13" x14ac:dyDescent="0.25">
      <c r="A25" s="4" t="s">
        <v>33</v>
      </c>
      <c r="C25" s="29">
        <f>143+70</f>
        <v>213</v>
      </c>
      <c r="E25" s="20">
        <f>11/100</f>
        <v>0.11</v>
      </c>
      <c r="F25" s="6">
        <f>0.7/100</f>
        <v>6.9999999999999993E-3</v>
      </c>
      <c r="G25" s="22">
        <f>0.2/100</f>
        <v>2E-3</v>
      </c>
      <c r="H25" s="18">
        <f>52/100</f>
        <v>0.52</v>
      </c>
      <c r="I25" s="20">
        <f t="shared" si="0"/>
        <v>23.43</v>
      </c>
      <c r="J25" s="6">
        <f t="shared" si="1"/>
        <v>1.4909999999999999</v>
      </c>
      <c r="K25" s="22">
        <f t="shared" si="2"/>
        <v>0.42599999999999999</v>
      </c>
      <c r="L25" s="18">
        <f t="shared" si="3"/>
        <v>110.76</v>
      </c>
      <c r="M25" t="b">
        <v>1</v>
      </c>
    </row>
    <row r="26" spans="1:13" x14ac:dyDescent="0.25">
      <c r="A26" t="s">
        <v>55</v>
      </c>
      <c r="C26" s="28"/>
      <c r="E26" s="20">
        <f>19/100</f>
        <v>0.19</v>
      </c>
      <c r="F26" s="6">
        <f>61/100</f>
        <v>0.61</v>
      </c>
      <c r="G26" s="22">
        <f>6/100</f>
        <v>0.06</v>
      </c>
      <c r="H26" s="18">
        <f>364/100</f>
        <v>3.64</v>
      </c>
      <c r="I26" s="20">
        <f t="shared" si="0"/>
        <v>0</v>
      </c>
      <c r="J26" s="6">
        <f t="shared" si="1"/>
        <v>0</v>
      </c>
      <c r="K26" s="22">
        <f t="shared" si="2"/>
        <v>0</v>
      </c>
      <c r="L26" s="18">
        <f t="shared" si="3"/>
        <v>0</v>
      </c>
      <c r="M26" t="b">
        <v>0</v>
      </c>
    </row>
    <row r="27" spans="1:13" x14ac:dyDescent="0.25">
      <c r="A27" t="s">
        <v>57</v>
      </c>
      <c r="C27" s="28">
        <v>52</v>
      </c>
      <c r="E27" s="20">
        <f>19/100</f>
        <v>0.19</v>
      </c>
      <c r="F27" s="6">
        <v>0</v>
      </c>
      <c r="G27" s="22">
        <f>12/100</f>
        <v>0.12</v>
      </c>
      <c r="H27" s="18">
        <f>184/100</f>
        <v>1.84</v>
      </c>
      <c r="I27" s="20">
        <f t="shared" si="0"/>
        <v>0</v>
      </c>
      <c r="J27" s="6">
        <f t="shared" si="1"/>
        <v>0</v>
      </c>
      <c r="K27" s="22">
        <f t="shared" si="2"/>
        <v>0</v>
      </c>
      <c r="L27" s="18">
        <f t="shared" si="3"/>
        <v>0</v>
      </c>
      <c r="M27" t="b">
        <v>0</v>
      </c>
    </row>
    <row r="28" spans="1:13" x14ac:dyDescent="0.25">
      <c r="A28" t="s">
        <v>58</v>
      </c>
      <c r="C28" s="28">
        <v>157</v>
      </c>
      <c r="E28" s="20">
        <f>1.6/100</f>
        <v>1.6E-2</v>
      </c>
      <c r="F28" s="6">
        <f>20/100</f>
        <v>0.2</v>
      </c>
      <c r="G28" s="22">
        <f>0.1/100</f>
        <v>1E-3</v>
      </c>
      <c r="H28" s="18">
        <f>86/100</f>
        <v>0.86</v>
      </c>
      <c r="I28" s="20">
        <f t="shared" si="0"/>
        <v>0</v>
      </c>
      <c r="J28" s="6">
        <f t="shared" si="1"/>
        <v>0</v>
      </c>
      <c r="K28" s="22">
        <f t="shared" si="2"/>
        <v>0</v>
      </c>
      <c r="L28" s="18">
        <f t="shared" si="3"/>
        <v>0</v>
      </c>
      <c r="M28" t="b">
        <v>0</v>
      </c>
    </row>
    <row r="29" spans="1:13" x14ac:dyDescent="0.25">
      <c r="A29" t="s">
        <v>59</v>
      </c>
      <c r="C29" s="28">
        <v>350</v>
      </c>
      <c r="E29" s="20">
        <f>20/100</f>
        <v>0.2</v>
      </c>
      <c r="F29" s="6">
        <v>0</v>
      </c>
      <c r="G29" s="22">
        <f>5/100</f>
        <v>0.05</v>
      </c>
      <c r="H29" s="18">
        <f>121/100</f>
        <v>1.21</v>
      </c>
      <c r="I29" s="20">
        <f t="shared" si="0"/>
        <v>0</v>
      </c>
      <c r="J29" s="6">
        <f t="shared" si="1"/>
        <v>0</v>
      </c>
      <c r="K29" s="22">
        <f t="shared" si="2"/>
        <v>0</v>
      </c>
      <c r="L29" s="18">
        <f t="shared" si="3"/>
        <v>0</v>
      </c>
      <c r="M29" t="b">
        <v>0</v>
      </c>
    </row>
    <row r="30" spans="1:13" x14ac:dyDescent="0.25">
      <c r="A30" t="s">
        <v>60</v>
      </c>
      <c r="C30" s="28">
        <v>60</v>
      </c>
      <c r="E30" s="20">
        <f>7.5/100</f>
        <v>7.4999999999999997E-2</v>
      </c>
      <c r="F30" s="6">
        <f>78/100</f>
        <v>0.78</v>
      </c>
      <c r="G30" s="22">
        <f>0.6/100</f>
        <v>6.0000000000000001E-3</v>
      </c>
      <c r="H30" s="18">
        <f>347/100</f>
        <v>3.47</v>
      </c>
      <c r="I30" s="20">
        <f t="shared" si="0"/>
        <v>4.5</v>
      </c>
      <c r="J30" s="6">
        <f t="shared" si="1"/>
        <v>46.800000000000004</v>
      </c>
      <c r="K30" s="22">
        <f t="shared" si="2"/>
        <v>0.36</v>
      </c>
      <c r="L30" s="18">
        <f t="shared" si="3"/>
        <v>208.20000000000002</v>
      </c>
      <c r="M30" t="b">
        <v>1</v>
      </c>
    </row>
    <row r="31" spans="1:13" x14ac:dyDescent="0.25">
      <c r="A31" t="s">
        <v>63</v>
      </c>
      <c r="C31" s="28">
        <v>51</v>
      </c>
      <c r="E31" s="20">
        <f>1.4/100</f>
        <v>1.3999999999999999E-2</v>
      </c>
      <c r="F31" s="6">
        <f>9/100</f>
        <v>0.09</v>
      </c>
      <c r="G31" s="22">
        <f>0.2/100</f>
        <v>2E-3</v>
      </c>
      <c r="H31" s="18">
        <f>43/100</f>
        <v>0.43</v>
      </c>
      <c r="I31" s="20">
        <f t="shared" si="0"/>
        <v>0.71399999999999997</v>
      </c>
      <c r="J31" s="6">
        <f t="shared" si="1"/>
        <v>4.59</v>
      </c>
      <c r="K31" s="22">
        <f t="shared" si="2"/>
        <v>0.10200000000000001</v>
      </c>
      <c r="L31" s="18">
        <f t="shared" si="3"/>
        <v>21.93</v>
      </c>
      <c r="M31" t="b">
        <v>1</v>
      </c>
    </row>
    <row r="32" spans="1:13" x14ac:dyDescent="0.25">
      <c r="A32" t="s">
        <v>64</v>
      </c>
      <c r="C32" s="28">
        <v>10</v>
      </c>
      <c r="E32" s="20">
        <f>4.1/100</f>
        <v>4.0999999999999995E-2</v>
      </c>
      <c r="F32" s="6">
        <f>6.6/100</f>
        <v>6.6000000000000003E-2</v>
      </c>
      <c r="G32" s="22">
        <f>5/100</f>
        <v>0.05</v>
      </c>
      <c r="H32" s="18">
        <f>84/100</f>
        <v>0.84</v>
      </c>
      <c r="I32" s="20">
        <f t="shared" si="0"/>
        <v>0</v>
      </c>
      <c r="J32" s="6">
        <f t="shared" si="1"/>
        <v>0</v>
      </c>
      <c r="K32" s="22">
        <f t="shared" si="2"/>
        <v>0</v>
      </c>
      <c r="L32" s="18">
        <f t="shared" si="3"/>
        <v>0</v>
      </c>
      <c r="M32" t="b">
        <v>0</v>
      </c>
    </row>
    <row r="33" spans="1:16" x14ac:dyDescent="0.25">
      <c r="A33" t="s">
        <v>66</v>
      </c>
      <c r="C33" s="28">
        <v>70</v>
      </c>
      <c r="E33" s="20">
        <f>14.1/100</f>
        <v>0.14099999999999999</v>
      </c>
      <c r="F33" s="6">
        <f>68.9/100</f>
        <v>0.68900000000000006</v>
      </c>
      <c r="G33" s="22">
        <f>5.8/100</f>
        <v>5.7999999999999996E-2</v>
      </c>
      <c r="H33" s="18">
        <f>380/100</f>
        <v>3.8</v>
      </c>
      <c r="I33" s="20">
        <f t="shared" si="0"/>
        <v>0</v>
      </c>
      <c r="J33" s="6">
        <f t="shared" si="1"/>
        <v>0</v>
      </c>
      <c r="K33" s="22">
        <f t="shared" si="2"/>
        <v>0</v>
      </c>
      <c r="L33" s="18">
        <f t="shared" si="3"/>
        <v>0</v>
      </c>
      <c r="M33" t="b">
        <v>0</v>
      </c>
      <c r="N33" s="2" t="s">
        <v>68</v>
      </c>
    </row>
    <row r="34" spans="1:16" x14ac:dyDescent="0.25">
      <c r="A34" s="4" t="s">
        <v>67</v>
      </c>
      <c r="C34" s="28">
        <v>22</v>
      </c>
      <c r="E34" s="20">
        <f>2.4/100</f>
        <v>2.4E-2</v>
      </c>
      <c r="F34" s="6">
        <v>0</v>
      </c>
      <c r="G34" s="22">
        <f>27/100</f>
        <v>0.27</v>
      </c>
      <c r="H34" s="18">
        <f>350/100</f>
        <v>3.5</v>
      </c>
      <c r="I34" s="20">
        <f>IF($M34=TRUE,E34*$C34,0)</f>
        <v>0.52800000000000002</v>
      </c>
      <c r="J34" s="6">
        <f>IF($M34=TRUE,F34*$C34,0)</f>
        <v>0</v>
      </c>
      <c r="K34" s="22">
        <f>IF($M34=TRUE,G34*$C34,0)</f>
        <v>5.94</v>
      </c>
      <c r="L34" s="18">
        <f>IF($M34=TRUE, H34*C34,0)</f>
        <v>77</v>
      </c>
      <c r="M34" t="b">
        <v>1</v>
      </c>
      <c r="N34" s="2">
        <v>68.5</v>
      </c>
      <c r="P34">
        <v>1</v>
      </c>
    </row>
    <row r="35" spans="1:16" x14ac:dyDescent="0.25">
      <c r="N35" s="2">
        <v>67</v>
      </c>
      <c r="P35">
        <v>2.2046199999999998</v>
      </c>
    </row>
    <row r="37" spans="1:16" x14ac:dyDescent="0.25">
      <c r="L37" t="s">
        <v>65</v>
      </c>
    </row>
    <row r="39" spans="1:16" x14ac:dyDescent="0.25">
      <c r="I39" s="23">
        <f>SUM(I4:I38)</f>
        <v>187.46099999999996</v>
      </c>
      <c r="J39" s="15">
        <f>SUM(J4:J38)</f>
        <v>158.99100000000001</v>
      </c>
      <c r="K39" s="24">
        <f>SUM(K4:K38)</f>
        <v>40.268999999999998</v>
      </c>
      <c r="L39" s="4">
        <f>SUM(L4:L33)</f>
        <v>1706.7000000000003</v>
      </c>
    </row>
    <row r="40" spans="1:16" x14ac:dyDescent="0.25">
      <c r="I40" s="25">
        <f>1.25 * $P35 * $N34</f>
        <v>188.77058749999998</v>
      </c>
      <c r="J40" s="26">
        <f>1 * $P35 * $N34</f>
        <v>151.01647</v>
      </c>
      <c r="K40" s="27">
        <f>0.27 * $P35 * $N34</f>
        <v>40.774446900000001</v>
      </c>
      <c r="L40">
        <f>11.43*P35* N34</f>
        <v>1726.1182520999998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ase à cocher 1">
              <controlPr defaultSize="0" autoFill="0" autoLine="0" autoPict="0">
                <anchor moveWithCells="1">
                  <from>
                    <xdr:col>1</xdr:col>
                    <xdr:colOff>161925</xdr:colOff>
                    <xdr:row>3</xdr:row>
                    <xdr:rowOff>19050</xdr:rowOff>
                  </from>
                  <to>
                    <xdr:col>1</xdr:col>
                    <xdr:colOff>342900</xdr:colOff>
                    <xdr:row>4</xdr:row>
                    <xdr:rowOff>19050</xdr:rowOff>
                  </to>
                </anchor>
              </controlPr>
            </control>
          </mc:Choice>
        </mc:AlternateContent>
        <mc:AlternateContent xmlns:mc="http://schemas.openxmlformats.org/markup-compatibility/2006">
          <mc:Choice Requires="x14">
            <control shapeId="13314" r:id="rId5" name="Case à cocher 2">
              <controlPr defaultSize="0" autoFill="0" autoLine="0" autoPict="0">
                <anchor moveWithCells="1">
                  <from>
                    <xdr:col>1</xdr:col>
                    <xdr:colOff>161925</xdr:colOff>
                    <xdr:row>4</xdr:row>
                    <xdr:rowOff>9525</xdr:rowOff>
                  </from>
                  <to>
                    <xdr:col>1</xdr:col>
                    <xdr:colOff>342900</xdr:colOff>
                    <xdr:row>5</xdr:row>
                    <xdr:rowOff>9525</xdr:rowOff>
                  </to>
                </anchor>
              </controlPr>
            </control>
          </mc:Choice>
        </mc:AlternateContent>
        <mc:AlternateContent xmlns:mc="http://schemas.openxmlformats.org/markup-compatibility/2006">
          <mc:Choice Requires="x14">
            <control shapeId="13315" r:id="rId6" name="Case à cocher 4">
              <controlPr defaultSize="0" autoFill="0" autoLine="0" autoPict="0">
                <anchor moveWithCells="1">
                  <from>
                    <xdr:col>1</xdr:col>
                    <xdr:colOff>161925</xdr:colOff>
                    <xdr:row>5</xdr:row>
                    <xdr:rowOff>19050</xdr:rowOff>
                  </from>
                  <to>
                    <xdr:col>1</xdr:col>
                    <xdr:colOff>342900</xdr:colOff>
                    <xdr:row>6</xdr:row>
                    <xdr:rowOff>19050</xdr:rowOff>
                  </to>
                </anchor>
              </controlPr>
            </control>
          </mc:Choice>
        </mc:AlternateContent>
        <mc:AlternateContent xmlns:mc="http://schemas.openxmlformats.org/markup-compatibility/2006">
          <mc:Choice Requires="x14">
            <control shapeId="13316" r:id="rId7" name="Case à cocher 5">
              <controlPr defaultSize="0" autoFill="0" autoLine="0" autoPict="0">
                <anchor moveWithCells="1">
                  <from>
                    <xdr:col>1</xdr:col>
                    <xdr:colOff>161925</xdr:colOff>
                    <xdr:row>7</xdr:row>
                    <xdr:rowOff>9525</xdr:rowOff>
                  </from>
                  <to>
                    <xdr:col>1</xdr:col>
                    <xdr:colOff>342900</xdr:colOff>
                    <xdr:row>8</xdr:row>
                    <xdr:rowOff>9525</xdr:rowOff>
                  </to>
                </anchor>
              </controlPr>
            </control>
          </mc:Choice>
        </mc:AlternateContent>
        <mc:AlternateContent xmlns:mc="http://schemas.openxmlformats.org/markup-compatibility/2006">
          <mc:Choice Requires="x14">
            <control shapeId="13317" r:id="rId8" name="Case à cocher 6">
              <controlPr defaultSize="0" autoFill="0" autoLine="0" autoPict="0">
                <anchor moveWithCells="1">
                  <from>
                    <xdr:col>1</xdr:col>
                    <xdr:colOff>161925</xdr:colOff>
                    <xdr:row>6</xdr:row>
                    <xdr:rowOff>19050</xdr:rowOff>
                  </from>
                  <to>
                    <xdr:col>1</xdr:col>
                    <xdr:colOff>342900</xdr:colOff>
                    <xdr:row>7</xdr:row>
                    <xdr:rowOff>19050</xdr:rowOff>
                  </to>
                </anchor>
              </controlPr>
            </control>
          </mc:Choice>
        </mc:AlternateContent>
        <mc:AlternateContent xmlns:mc="http://schemas.openxmlformats.org/markup-compatibility/2006">
          <mc:Choice Requires="x14">
            <control shapeId="13318" r:id="rId9" name="Case à cocher 7">
              <controlPr defaultSize="0" autoFill="0" autoLine="0" autoPict="0">
                <anchor moveWithCells="1">
                  <from>
                    <xdr:col>1</xdr:col>
                    <xdr:colOff>161925</xdr:colOff>
                    <xdr:row>8</xdr:row>
                    <xdr:rowOff>19050</xdr:rowOff>
                  </from>
                  <to>
                    <xdr:col>1</xdr:col>
                    <xdr:colOff>342900</xdr:colOff>
                    <xdr:row>9</xdr:row>
                    <xdr:rowOff>19050</xdr:rowOff>
                  </to>
                </anchor>
              </controlPr>
            </control>
          </mc:Choice>
        </mc:AlternateContent>
        <mc:AlternateContent xmlns:mc="http://schemas.openxmlformats.org/markup-compatibility/2006">
          <mc:Choice Requires="x14">
            <control shapeId="13319" r:id="rId10" name="Case à cocher 8">
              <controlPr defaultSize="0" autoFill="0" autoLine="0" autoPict="0">
                <anchor moveWithCells="1">
                  <from>
                    <xdr:col>1</xdr:col>
                    <xdr:colOff>161925</xdr:colOff>
                    <xdr:row>9</xdr:row>
                    <xdr:rowOff>9525</xdr:rowOff>
                  </from>
                  <to>
                    <xdr:col>1</xdr:col>
                    <xdr:colOff>342900</xdr:colOff>
                    <xdr:row>10</xdr:row>
                    <xdr:rowOff>9525</xdr:rowOff>
                  </to>
                </anchor>
              </controlPr>
            </control>
          </mc:Choice>
        </mc:AlternateContent>
        <mc:AlternateContent xmlns:mc="http://schemas.openxmlformats.org/markup-compatibility/2006">
          <mc:Choice Requires="x14">
            <control shapeId="13320" r:id="rId11" name="Case à cocher 9">
              <controlPr defaultSize="0" autoFill="0" autoLine="0" autoPict="0">
                <anchor moveWithCells="1">
                  <from>
                    <xdr:col>1</xdr:col>
                    <xdr:colOff>161925</xdr:colOff>
                    <xdr:row>10</xdr:row>
                    <xdr:rowOff>9525</xdr:rowOff>
                  </from>
                  <to>
                    <xdr:col>1</xdr:col>
                    <xdr:colOff>342900</xdr:colOff>
                    <xdr:row>11</xdr:row>
                    <xdr:rowOff>9525</xdr:rowOff>
                  </to>
                </anchor>
              </controlPr>
            </control>
          </mc:Choice>
        </mc:AlternateContent>
        <mc:AlternateContent xmlns:mc="http://schemas.openxmlformats.org/markup-compatibility/2006">
          <mc:Choice Requires="x14">
            <control shapeId="13321" r:id="rId12" name="Case à cocher 10">
              <controlPr defaultSize="0" autoFill="0" autoLine="0" autoPict="0">
                <anchor moveWithCells="1">
                  <from>
                    <xdr:col>1</xdr:col>
                    <xdr:colOff>161925</xdr:colOff>
                    <xdr:row>10</xdr:row>
                    <xdr:rowOff>171450</xdr:rowOff>
                  </from>
                  <to>
                    <xdr:col>1</xdr:col>
                    <xdr:colOff>342900</xdr:colOff>
                    <xdr:row>11</xdr:row>
                    <xdr:rowOff>171450</xdr:rowOff>
                  </to>
                </anchor>
              </controlPr>
            </control>
          </mc:Choice>
        </mc:AlternateContent>
        <mc:AlternateContent xmlns:mc="http://schemas.openxmlformats.org/markup-compatibility/2006">
          <mc:Choice Requires="x14">
            <control shapeId="13322" r:id="rId13" name="Case à cocher 11">
              <controlPr defaultSize="0" autoFill="0" autoLine="0" autoPict="0">
                <anchor moveWithCells="1">
                  <from>
                    <xdr:col>1</xdr:col>
                    <xdr:colOff>161925</xdr:colOff>
                    <xdr:row>11</xdr:row>
                    <xdr:rowOff>171450</xdr:rowOff>
                  </from>
                  <to>
                    <xdr:col>1</xdr:col>
                    <xdr:colOff>342900</xdr:colOff>
                    <xdr:row>12</xdr:row>
                    <xdr:rowOff>171450</xdr:rowOff>
                  </to>
                </anchor>
              </controlPr>
            </control>
          </mc:Choice>
        </mc:AlternateContent>
        <mc:AlternateContent xmlns:mc="http://schemas.openxmlformats.org/markup-compatibility/2006">
          <mc:Choice Requires="x14">
            <control shapeId="13323" r:id="rId14" name="Check Box 11">
              <controlPr defaultSize="0" autoFill="0" autoLine="0" autoPict="0">
                <anchor moveWithCells="1">
                  <from>
                    <xdr:col>1</xdr:col>
                    <xdr:colOff>161925</xdr:colOff>
                    <xdr:row>12</xdr:row>
                    <xdr:rowOff>171450</xdr:rowOff>
                  </from>
                  <to>
                    <xdr:col>1</xdr:col>
                    <xdr:colOff>342900</xdr:colOff>
                    <xdr:row>13</xdr:row>
                    <xdr:rowOff>171450</xdr:rowOff>
                  </to>
                </anchor>
              </controlPr>
            </control>
          </mc:Choice>
        </mc:AlternateContent>
        <mc:AlternateContent xmlns:mc="http://schemas.openxmlformats.org/markup-compatibility/2006">
          <mc:Choice Requires="x14">
            <control shapeId="13324" r:id="rId15" name="Check Box 13">
              <controlPr defaultSize="0" autoFill="0" autoLine="0" autoPict="0">
                <anchor moveWithCells="1">
                  <from>
                    <xdr:col>1</xdr:col>
                    <xdr:colOff>161925</xdr:colOff>
                    <xdr:row>13</xdr:row>
                    <xdr:rowOff>180975</xdr:rowOff>
                  </from>
                  <to>
                    <xdr:col>1</xdr:col>
                    <xdr:colOff>342900</xdr:colOff>
                    <xdr:row>15</xdr:row>
                    <xdr:rowOff>0</xdr:rowOff>
                  </to>
                </anchor>
              </controlPr>
            </control>
          </mc:Choice>
        </mc:AlternateContent>
        <mc:AlternateContent xmlns:mc="http://schemas.openxmlformats.org/markup-compatibility/2006">
          <mc:Choice Requires="x14">
            <control shapeId="13325" r:id="rId16" name="Check Box 14">
              <controlPr defaultSize="0" autoFill="0" autoLine="0" autoPict="0">
                <anchor moveWithCells="1">
                  <from>
                    <xdr:col>1</xdr:col>
                    <xdr:colOff>161925</xdr:colOff>
                    <xdr:row>14</xdr:row>
                    <xdr:rowOff>180975</xdr:rowOff>
                  </from>
                  <to>
                    <xdr:col>1</xdr:col>
                    <xdr:colOff>342900</xdr:colOff>
                    <xdr:row>16</xdr:row>
                    <xdr:rowOff>0</xdr:rowOff>
                  </to>
                </anchor>
              </controlPr>
            </control>
          </mc:Choice>
        </mc:AlternateContent>
        <mc:AlternateContent xmlns:mc="http://schemas.openxmlformats.org/markup-compatibility/2006">
          <mc:Choice Requires="x14">
            <control shapeId="13326" r:id="rId17" name="Check Box 15">
              <controlPr defaultSize="0" autoFill="0" autoLine="0" autoPict="0">
                <anchor moveWithCells="1">
                  <from>
                    <xdr:col>1</xdr:col>
                    <xdr:colOff>161925</xdr:colOff>
                    <xdr:row>16</xdr:row>
                    <xdr:rowOff>0</xdr:rowOff>
                  </from>
                  <to>
                    <xdr:col>1</xdr:col>
                    <xdr:colOff>342900</xdr:colOff>
                    <xdr:row>17</xdr:row>
                    <xdr:rowOff>0</xdr:rowOff>
                  </to>
                </anchor>
              </controlPr>
            </control>
          </mc:Choice>
        </mc:AlternateContent>
        <mc:AlternateContent xmlns:mc="http://schemas.openxmlformats.org/markup-compatibility/2006">
          <mc:Choice Requires="x14">
            <control shapeId="13327" r:id="rId18" name="Check Box 16">
              <controlPr defaultSize="0" autoFill="0" autoLine="0" autoPict="0">
                <anchor moveWithCells="1">
                  <from>
                    <xdr:col>1</xdr:col>
                    <xdr:colOff>161925</xdr:colOff>
                    <xdr:row>16</xdr:row>
                    <xdr:rowOff>180975</xdr:rowOff>
                  </from>
                  <to>
                    <xdr:col>1</xdr:col>
                    <xdr:colOff>342900</xdr:colOff>
                    <xdr:row>18</xdr:row>
                    <xdr:rowOff>0</xdr:rowOff>
                  </to>
                </anchor>
              </controlPr>
            </control>
          </mc:Choice>
        </mc:AlternateContent>
        <mc:AlternateContent xmlns:mc="http://schemas.openxmlformats.org/markup-compatibility/2006">
          <mc:Choice Requires="x14">
            <control shapeId="13328" r:id="rId19" name="Check Box 17">
              <controlPr defaultSize="0" autoFill="0" autoLine="0" autoPict="0">
                <anchor moveWithCells="1">
                  <from>
                    <xdr:col>1</xdr:col>
                    <xdr:colOff>161925</xdr:colOff>
                    <xdr:row>17</xdr:row>
                    <xdr:rowOff>180975</xdr:rowOff>
                  </from>
                  <to>
                    <xdr:col>1</xdr:col>
                    <xdr:colOff>342900</xdr:colOff>
                    <xdr:row>19</xdr:row>
                    <xdr:rowOff>0</xdr:rowOff>
                  </to>
                </anchor>
              </controlPr>
            </control>
          </mc:Choice>
        </mc:AlternateContent>
        <mc:AlternateContent xmlns:mc="http://schemas.openxmlformats.org/markup-compatibility/2006">
          <mc:Choice Requires="x14">
            <control shapeId="13329" r:id="rId20" name="Check Box 18">
              <controlPr defaultSize="0" autoFill="0" autoLine="0" autoPict="0">
                <anchor moveWithCells="1">
                  <from>
                    <xdr:col>1</xdr:col>
                    <xdr:colOff>161925</xdr:colOff>
                    <xdr:row>19</xdr:row>
                    <xdr:rowOff>0</xdr:rowOff>
                  </from>
                  <to>
                    <xdr:col>1</xdr:col>
                    <xdr:colOff>342900</xdr:colOff>
                    <xdr:row>20</xdr:row>
                    <xdr:rowOff>0</xdr:rowOff>
                  </to>
                </anchor>
              </controlPr>
            </control>
          </mc:Choice>
        </mc:AlternateContent>
        <mc:AlternateContent xmlns:mc="http://schemas.openxmlformats.org/markup-compatibility/2006">
          <mc:Choice Requires="x14">
            <control shapeId="13330" r:id="rId21" name="Check Box 19">
              <controlPr defaultSize="0" autoFill="0" autoLine="0" autoPict="0">
                <anchor moveWithCells="1">
                  <from>
                    <xdr:col>1</xdr:col>
                    <xdr:colOff>161925</xdr:colOff>
                    <xdr:row>20</xdr:row>
                    <xdr:rowOff>0</xdr:rowOff>
                  </from>
                  <to>
                    <xdr:col>1</xdr:col>
                    <xdr:colOff>342900</xdr:colOff>
                    <xdr:row>21</xdr:row>
                    <xdr:rowOff>0</xdr:rowOff>
                  </to>
                </anchor>
              </controlPr>
            </control>
          </mc:Choice>
        </mc:AlternateContent>
        <mc:AlternateContent xmlns:mc="http://schemas.openxmlformats.org/markup-compatibility/2006">
          <mc:Choice Requires="x14">
            <control shapeId="13331" r:id="rId22" name="Check Box 20">
              <controlPr defaultSize="0" autoFill="0" autoLine="0" autoPict="0">
                <anchor moveWithCells="1">
                  <from>
                    <xdr:col>1</xdr:col>
                    <xdr:colOff>161925</xdr:colOff>
                    <xdr:row>21</xdr:row>
                    <xdr:rowOff>9525</xdr:rowOff>
                  </from>
                  <to>
                    <xdr:col>1</xdr:col>
                    <xdr:colOff>342900</xdr:colOff>
                    <xdr:row>22</xdr:row>
                    <xdr:rowOff>9525</xdr:rowOff>
                  </to>
                </anchor>
              </controlPr>
            </control>
          </mc:Choice>
        </mc:AlternateContent>
        <mc:AlternateContent xmlns:mc="http://schemas.openxmlformats.org/markup-compatibility/2006">
          <mc:Choice Requires="x14">
            <control shapeId="13332" r:id="rId23" name="Check Box 21">
              <controlPr defaultSize="0" autoFill="0" autoLine="0" autoPict="0">
                <anchor moveWithCells="1">
                  <from>
                    <xdr:col>1</xdr:col>
                    <xdr:colOff>161925</xdr:colOff>
                    <xdr:row>22</xdr:row>
                    <xdr:rowOff>9525</xdr:rowOff>
                  </from>
                  <to>
                    <xdr:col>1</xdr:col>
                    <xdr:colOff>342900</xdr:colOff>
                    <xdr:row>23</xdr:row>
                    <xdr:rowOff>9525</xdr:rowOff>
                  </to>
                </anchor>
              </controlPr>
            </control>
          </mc:Choice>
        </mc:AlternateContent>
        <mc:AlternateContent xmlns:mc="http://schemas.openxmlformats.org/markup-compatibility/2006">
          <mc:Choice Requires="x14">
            <control shapeId="13333" r:id="rId24" name="Check Box 21">
              <controlPr defaultSize="0" autoFill="0" autoLine="0" autoPict="0">
                <anchor moveWithCells="1">
                  <from>
                    <xdr:col>1</xdr:col>
                    <xdr:colOff>161925</xdr:colOff>
                    <xdr:row>22</xdr:row>
                    <xdr:rowOff>180975</xdr:rowOff>
                  </from>
                  <to>
                    <xdr:col>1</xdr:col>
                    <xdr:colOff>342900</xdr:colOff>
                    <xdr:row>23</xdr:row>
                    <xdr:rowOff>180975</xdr:rowOff>
                  </to>
                </anchor>
              </controlPr>
            </control>
          </mc:Choice>
        </mc:AlternateContent>
        <mc:AlternateContent xmlns:mc="http://schemas.openxmlformats.org/markup-compatibility/2006">
          <mc:Choice Requires="x14">
            <control shapeId="13334" r:id="rId25" name="Check Box 22">
              <controlPr defaultSize="0" autoFill="0" autoLine="0" autoPict="0">
                <anchor moveWithCells="1">
                  <from>
                    <xdr:col>1</xdr:col>
                    <xdr:colOff>161925</xdr:colOff>
                    <xdr:row>24</xdr:row>
                    <xdr:rowOff>0</xdr:rowOff>
                  </from>
                  <to>
                    <xdr:col>1</xdr:col>
                    <xdr:colOff>342900</xdr:colOff>
                    <xdr:row>25</xdr:row>
                    <xdr:rowOff>0</xdr:rowOff>
                  </to>
                </anchor>
              </controlPr>
            </control>
          </mc:Choice>
        </mc:AlternateContent>
        <mc:AlternateContent xmlns:mc="http://schemas.openxmlformats.org/markup-compatibility/2006">
          <mc:Choice Requires="x14">
            <control shapeId="13335" r:id="rId26" name="Check Box 23">
              <controlPr defaultSize="0" autoFill="0" autoLine="0" autoPict="0">
                <anchor moveWithCells="1">
                  <from>
                    <xdr:col>1</xdr:col>
                    <xdr:colOff>161925</xdr:colOff>
                    <xdr:row>25</xdr:row>
                    <xdr:rowOff>171450</xdr:rowOff>
                  </from>
                  <to>
                    <xdr:col>1</xdr:col>
                    <xdr:colOff>342900</xdr:colOff>
                    <xdr:row>26</xdr:row>
                    <xdr:rowOff>171450</xdr:rowOff>
                  </to>
                </anchor>
              </controlPr>
            </control>
          </mc:Choice>
        </mc:AlternateContent>
        <mc:AlternateContent xmlns:mc="http://schemas.openxmlformats.org/markup-compatibility/2006">
          <mc:Choice Requires="x14">
            <control shapeId="13336" r:id="rId27" name="Check Box 24">
              <controlPr defaultSize="0" autoFill="0" autoLine="0" autoPict="0">
                <anchor moveWithCells="1">
                  <from>
                    <xdr:col>1</xdr:col>
                    <xdr:colOff>161925</xdr:colOff>
                    <xdr:row>26</xdr:row>
                    <xdr:rowOff>180975</xdr:rowOff>
                  </from>
                  <to>
                    <xdr:col>1</xdr:col>
                    <xdr:colOff>342900</xdr:colOff>
                    <xdr:row>27</xdr:row>
                    <xdr:rowOff>180975</xdr:rowOff>
                  </to>
                </anchor>
              </controlPr>
            </control>
          </mc:Choice>
        </mc:AlternateContent>
        <mc:AlternateContent xmlns:mc="http://schemas.openxmlformats.org/markup-compatibility/2006">
          <mc:Choice Requires="x14">
            <control shapeId="13337" r:id="rId28" name="Check Box 25">
              <controlPr defaultSize="0" autoFill="0" autoLine="0" autoPict="0">
                <anchor moveWithCells="1">
                  <from>
                    <xdr:col>1</xdr:col>
                    <xdr:colOff>161925</xdr:colOff>
                    <xdr:row>28</xdr:row>
                    <xdr:rowOff>9525</xdr:rowOff>
                  </from>
                  <to>
                    <xdr:col>1</xdr:col>
                    <xdr:colOff>342900</xdr:colOff>
                    <xdr:row>29</xdr:row>
                    <xdr:rowOff>9525</xdr:rowOff>
                  </to>
                </anchor>
              </controlPr>
            </control>
          </mc:Choice>
        </mc:AlternateContent>
        <mc:AlternateContent xmlns:mc="http://schemas.openxmlformats.org/markup-compatibility/2006">
          <mc:Choice Requires="x14">
            <control shapeId="13338" r:id="rId29" name="Check Box 26">
              <controlPr defaultSize="0" autoFill="0" autoLine="0" autoPict="0">
                <anchor moveWithCells="1">
                  <from>
                    <xdr:col>1</xdr:col>
                    <xdr:colOff>161925</xdr:colOff>
                    <xdr:row>29</xdr:row>
                    <xdr:rowOff>0</xdr:rowOff>
                  </from>
                  <to>
                    <xdr:col>1</xdr:col>
                    <xdr:colOff>342900</xdr:colOff>
                    <xdr:row>30</xdr:row>
                    <xdr:rowOff>0</xdr:rowOff>
                  </to>
                </anchor>
              </controlPr>
            </control>
          </mc:Choice>
        </mc:AlternateContent>
        <mc:AlternateContent xmlns:mc="http://schemas.openxmlformats.org/markup-compatibility/2006">
          <mc:Choice Requires="x14">
            <control shapeId="13339" r:id="rId30" name="Check Box 27">
              <controlPr defaultSize="0" autoFill="0" autoLine="0" autoPict="0">
                <anchor moveWithCells="1">
                  <from>
                    <xdr:col>1</xdr:col>
                    <xdr:colOff>161925</xdr:colOff>
                    <xdr:row>30</xdr:row>
                    <xdr:rowOff>0</xdr:rowOff>
                  </from>
                  <to>
                    <xdr:col>1</xdr:col>
                    <xdr:colOff>342900</xdr:colOff>
                    <xdr:row>31</xdr:row>
                    <xdr:rowOff>0</xdr:rowOff>
                  </to>
                </anchor>
              </controlPr>
            </control>
          </mc:Choice>
        </mc:AlternateContent>
        <mc:AlternateContent xmlns:mc="http://schemas.openxmlformats.org/markup-compatibility/2006">
          <mc:Choice Requires="x14">
            <control shapeId="13340" r:id="rId31" name="Check Box 28">
              <controlPr defaultSize="0" autoFill="0" autoLine="0" autoPict="0">
                <anchor moveWithCells="1">
                  <from>
                    <xdr:col>1</xdr:col>
                    <xdr:colOff>161925</xdr:colOff>
                    <xdr:row>31</xdr:row>
                    <xdr:rowOff>0</xdr:rowOff>
                  </from>
                  <to>
                    <xdr:col>1</xdr:col>
                    <xdr:colOff>342900</xdr:colOff>
                    <xdr:row>32</xdr:row>
                    <xdr:rowOff>0</xdr:rowOff>
                  </to>
                </anchor>
              </controlPr>
            </control>
          </mc:Choice>
        </mc:AlternateContent>
        <mc:AlternateContent xmlns:mc="http://schemas.openxmlformats.org/markup-compatibility/2006">
          <mc:Choice Requires="x14">
            <control shapeId="13341" r:id="rId32" name="Check Box 29">
              <controlPr defaultSize="0" autoFill="0" autoLine="0" autoPict="0">
                <anchor moveWithCells="1">
                  <from>
                    <xdr:col>1</xdr:col>
                    <xdr:colOff>152400</xdr:colOff>
                    <xdr:row>31</xdr:row>
                    <xdr:rowOff>171450</xdr:rowOff>
                  </from>
                  <to>
                    <xdr:col>1</xdr:col>
                    <xdr:colOff>333375</xdr:colOff>
                    <xdr:row>32</xdr:row>
                    <xdr:rowOff>171450</xdr:rowOff>
                  </to>
                </anchor>
              </controlPr>
            </control>
          </mc:Choice>
        </mc:AlternateContent>
        <mc:AlternateContent xmlns:mc="http://schemas.openxmlformats.org/markup-compatibility/2006">
          <mc:Choice Requires="x14">
            <control shapeId="13342" r:id="rId33" name="Check Box 30">
              <controlPr defaultSize="0" autoFill="0" autoLine="0" autoPict="0">
                <anchor moveWithCells="1">
                  <from>
                    <xdr:col>1</xdr:col>
                    <xdr:colOff>142875</xdr:colOff>
                    <xdr:row>33</xdr:row>
                    <xdr:rowOff>0</xdr:rowOff>
                  </from>
                  <to>
                    <xdr:col>1</xdr:col>
                    <xdr:colOff>323850</xdr:colOff>
                    <xdr:row>34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3:P40"/>
  <sheetViews>
    <sheetView zoomScale="85" zoomScaleNormal="85" workbookViewId="0">
      <selection activeCell="C32" sqref="C32"/>
    </sheetView>
  </sheetViews>
  <sheetFormatPr defaultColWidth="11.42578125" defaultRowHeight="15" x14ac:dyDescent="0.25"/>
  <cols>
    <col min="1" max="1" width="18.5703125" customWidth="1"/>
    <col min="2" max="2" width="5.85546875" customWidth="1"/>
    <col min="3" max="3" width="11.42578125" style="2"/>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3" x14ac:dyDescent="0.25">
      <c r="C3" s="3" t="s">
        <v>1</v>
      </c>
      <c r="D3" s="3" t="s">
        <v>24</v>
      </c>
      <c r="E3" s="19" t="s">
        <v>16</v>
      </c>
      <c r="F3" s="16" t="s">
        <v>15</v>
      </c>
      <c r="G3" s="21" t="s">
        <v>14</v>
      </c>
      <c r="H3" s="17" t="s">
        <v>0</v>
      </c>
      <c r="I3" s="19" t="s">
        <v>29</v>
      </c>
      <c r="J3" s="16" t="s">
        <v>30</v>
      </c>
      <c r="K3" s="21" t="s">
        <v>14</v>
      </c>
      <c r="L3" s="17" t="s">
        <v>31</v>
      </c>
    </row>
    <row r="4" spans="1:13" x14ac:dyDescent="0.25">
      <c r="A4" t="s">
        <v>2</v>
      </c>
      <c r="C4" s="28">
        <v>5</v>
      </c>
      <c r="E4" s="20">
        <f>10/100</f>
        <v>0.1</v>
      </c>
      <c r="F4" s="6">
        <f>1.6/100</f>
        <v>1.6E-2</v>
      </c>
      <c r="G4" s="22">
        <f>11/100</f>
        <v>0.11</v>
      </c>
      <c r="H4" s="18">
        <f>148/100</f>
        <v>1.48</v>
      </c>
      <c r="I4" s="20">
        <f t="shared" ref="I4:K33" si="0">IF($M4=TRUE,E4*$C4,0)</f>
        <v>0</v>
      </c>
      <c r="J4" s="6">
        <f t="shared" si="0"/>
        <v>0</v>
      </c>
      <c r="K4" s="22">
        <f t="shared" si="0"/>
        <v>0</v>
      </c>
      <c r="L4" s="18">
        <f t="shared" ref="L4:L34" si="1">IF($M4=TRUE, H4*C4,0)</f>
        <v>0</v>
      </c>
      <c r="M4" t="b">
        <v>0</v>
      </c>
    </row>
    <row r="5" spans="1:13" x14ac:dyDescent="0.25">
      <c r="A5" t="s">
        <v>3</v>
      </c>
      <c r="C5" s="28">
        <v>51</v>
      </c>
      <c r="E5" s="20">
        <f>12/100</f>
        <v>0.12</v>
      </c>
      <c r="F5" s="6">
        <f>60/100</f>
        <v>0.6</v>
      </c>
      <c r="G5" s="22">
        <f>7.1/100</f>
        <v>7.0999999999999994E-2</v>
      </c>
      <c r="H5" s="18">
        <f>371/100</f>
        <v>3.71</v>
      </c>
      <c r="I5" s="20">
        <f t="shared" si="0"/>
        <v>6.12</v>
      </c>
      <c r="J5" s="6">
        <f t="shared" si="0"/>
        <v>30.599999999999998</v>
      </c>
      <c r="K5" s="22">
        <f t="shared" si="0"/>
        <v>3.6209999999999996</v>
      </c>
      <c r="L5" s="18">
        <f t="shared" si="1"/>
        <v>189.21</v>
      </c>
      <c r="M5" t="b">
        <v>1</v>
      </c>
    </row>
    <row r="6" spans="1:13" x14ac:dyDescent="0.25">
      <c r="A6" t="s">
        <v>4</v>
      </c>
      <c r="C6" s="28">
        <v>1</v>
      </c>
      <c r="E6" s="20">
        <v>10.1</v>
      </c>
      <c r="F6" s="6">
        <v>34.1</v>
      </c>
      <c r="G6" s="22">
        <v>10.1</v>
      </c>
      <c r="H6" s="18">
        <v>400</v>
      </c>
      <c r="I6" s="20">
        <f t="shared" si="0"/>
        <v>0</v>
      </c>
      <c r="J6" s="6">
        <f t="shared" si="0"/>
        <v>0</v>
      </c>
      <c r="K6" s="22">
        <f t="shared" si="0"/>
        <v>0</v>
      </c>
      <c r="L6" s="18">
        <f t="shared" si="1"/>
        <v>0</v>
      </c>
      <c r="M6" t="b">
        <v>0</v>
      </c>
    </row>
    <row r="7" spans="1:13" x14ac:dyDescent="0.25">
      <c r="A7" t="s">
        <v>5</v>
      </c>
      <c r="C7" s="28">
        <f>132</f>
        <v>132</v>
      </c>
      <c r="E7" s="20">
        <f>20.7/100</f>
        <v>0.20699999999999999</v>
      </c>
      <c r="F7" s="6">
        <f>2.2/100</f>
        <v>2.2000000000000002E-2</v>
      </c>
      <c r="G7" s="22">
        <f>0.9/100</f>
        <v>9.0000000000000011E-3</v>
      </c>
      <c r="H7" s="18">
        <f>94/100</f>
        <v>0.94</v>
      </c>
      <c r="I7" s="20">
        <f t="shared" si="0"/>
        <v>27.323999999999998</v>
      </c>
      <c r="J7" s="6">
        <f t="shared" si="0"/>
        <v>2.9040000000000004</v>
      </c>
      <c r="K7" s="22">
        <f t="shared" si="0"/>
        <v>1.1880000000000002</v>
      </c>
      <c r="L7" s="18">
        <f t="shared" si="1"/>
        <v>124.08</v>
      </c>
      <c r="M7" t="b">
        <v>1</v>
      </c>
    </row>
    <row r="8" spans="1:13" x14ac:dyDescent="0.25">
      <c r="A8" t="s">
        <v>6</v>
      </c>
      <c r="C8" s="28">
        <v>253</v>
      </c>
      <c r="E8" s="20">
        <f>20/100</f>
        <v>0.2</v>
      </c>
      <c r="F8" s="6">
        <f>0.2/100</f>
        <v>2E-3</v>
      </c>
      <c r="G8" s="22">
        <f>5/100</f>
        <v>0.05</v>
      </c>
      <c r="H8" s="18">
        <f>126/100</f>
        <v>1.26</v>
      </c>
      <c r="I8" s="20">
        <f t="shared" si="0"/>
        <v>0</v>
      </c>
      <c r="J8" s="6">
        <f t="shared" si="0"/>
        <v>0</v>
      </c>
      <c r="K8" s="22">
        <f t="shared" si="0"/>
        <v>0</v>
      </c>
      <c r="L8" s="18">
        <f t="shared" si="1"/>
        <v>0</v>
      </c>
      <c r="M8" t="b">
        <v>0</v>
      </c>
    </row>
    <row r="9" spans="1:13" x14ac:dyDescent="0.25">
      <c r="A9" t="s">
        <v>7</v>
      </c>
      <c r="C9" s="28">
        <v>50</v>
      </c>
      <c r="E9" s="20">
        <f>12.68/100</f>
        <v>0.1268</v>
      </c>
      <c r="F9" s="6">
        <f>72.83/100</f>
        <v>0.72829999999999995</v>
      </c>
      <c r="G9" s="22">
        <f>1.05/100</f>
        <v>1.0500000000000001E-2</v>
      </c>
      <c r="H9" s="18">
        <f>360/100</f>
        <v>3.6</v>
      </c>
      <c r="I9" s="20">
        <f t="shared" si="0"/>
        <v>0</v>
      </c>
      <c r="J9" s="6">
        <f t="shared" si="0"/>
        <v>0</v>
      </c>
      <c r="K9" s="22">
        <f t="shared" si="0"/>
        <v>0</v>
      </c>
      <c r="L9" s="18">
        <f t="shared" si="1"/>
        <v>0</v>
      </c>
      <c r="M9" t="b">
        <v>0</v>
      </c>
    </row>
    <row r="10" spans="1:13" x14ac:dyDescent="0.25">
      <c r="A10" t="s">
        <v>8</v>
      </c>
      <c r="C10" s="28">
        <v>39</v>
      </c>
      <c r="E10" s="20">
        <f>8.8/100</f>
        <v>8.8000000000000009E-2</v>
      </c>
      <c r="F10" s="6">
        <f>72/100</f>
        <v>0.72</v>
      </c>
      <c r="G10" s="22">
        <f>2.2/100</f>
        <v>2.2000000000000002E-2</v>
      </c>
      <c r="H10" s="18">
        <f>343/100</f>
        <v>3.43</v>
      </c>
      <c r="I10" s="20">
        <f t="shared" si="0"/>
        <v>0</v>
      </c>
      <c r="J10" s="6">
        <f t="shared" si="0"/>
        <v>0</v>
      </c>
      <c r="K10" s="22">
        <f t="shared" si="0"/>
        <v>0</v>
      </c>
      <c r="L10" s="18">
        <f t="shared" si="1"/>
        <v>0</v>
      </c>
      <c r="M10" t="b">
        <v>0</v>
      </c>
    </row>
    <row r="11" spans="1:13" x14ac:dyDescent="0.25">
      <c r="A11" t="s">
        <v>9</v>
      </c>
      <c r="C11" s="28">
        <v>123</v>
      </c>
      <c r="E11" s="20">
        <f>1.5/100</f>
        <v>1.4999999999999999E-2</v>
      </c>
      <c r="F11" s="6">
        <f>20/100</f>
        <v>0.2</v>
      </c>
      <c r="G11" s="22">
        <v>0</v>
      </c>
      <c r="H11" s="18">
        <f>90/100</f>
        <v>0.9</v>
      </c>
      <c r="I11" s="20">
        <f t="shared" si="0"/>
        <v>1.845</v>
      </c>
      <c r="J11" s="6">
        <f t="shared" si="0"/>
        <v>24.6</v>
      </c>
      <c r="K11" s="22">
        <f t="shared" si="0"/>
        <v>0</v>
      </c>
      <c r="L11" s="18">
        <f t="shared" si="1"/>
        <v>110.7</v>
      </c>
      <c r="M11" t="b">
        <v>1</v>
      </c>
    </row>
    <row r="12" spans="1:13" x14ac:dyDescent="0.25">
      <c r="A12" t="s">
        <v>10</v>
      </c>
      <c r="C12" s="28">
        <v>69</v>
      </c>
      <c r="E12" s="20">
        <f>1.6/100</f>
        <v>1.6E-2</v>
      </c>
      <c r="F12" s="6">
        <f>11/100</f>
        <v>0.11</v>
      </c>
      <c r="G12" s="22">
        <f>0.3/100</f>
        <v>3.0000000000000001E-3</v>
      </c>
      <c r="H12" s="18">
        <f>53/100</f>
        <v>0.53</v>
      </c>
      <c r="I12" s="20">
        <f t="shared" si="0"/>
        <v>0</v>
      </c>
      <c r="J12" s="6">
        <f t="shared" si="0"/>
        <v>0</v>
      </c>
      <c r="K12" s="22">
        <f t="shared" si="0"/>
        <v>0</v>
      </c>
      <c r="L12" s="18">
        <f t="shared" si="1"/>
        <v>0</v>
      </c>
      <c r="M12" t="b">
        <v>0</v>
      </c>
    </row>
    <row r="13" spans="1:13" x14ac:dyDescent="0.25">
      <c r="A13" t="s">
        <v>11</v>
      </c>
      <c r="C13" s="28">
        <v>159</v>
      </c>
      <c r="E13" s="20">
        <f>1/100</f>
        <v>0.01</v>
      </c>
      <c r="F13" s="6">
        <f>9/100</f>
        <v>0.09</v>
      </c>
      <c r="G13" s="22">
        <f>0.2/100</f>
        <v>2E-3</v>
      </c>
      <c r="H13" s="18">
        <f>45/100</f>
        <v>0.45</v>
      </c>
      <c r="I13" s="20">
        <f t="shared" si="0"/>
        <v>1.59</v>
      </c>
      <c r="J13" s="6">
        <f t="shared" si="0"/>
        <v>14.309999999999999</v>
      </c>
      <c r="K13" s="22">
        <f t="shared" si="0"/>
        <v>0.318</v>
      </c>
      <c r="L13" s="18">
        <f t="shared" si="1"/>
        <v>71.55</v>
      </c>
      <c r="M13" t="b">
        <v>1</v>
      </c>
    </row>
    <row r="14" spans="1:13" x14ac:dyDescent="0.25">
      <c r="A14" t="s">
        <v>12</v>
      </c>
      <c r="C14" s="28">
        <v>130</v>
      </c>
      <c r="E14" s="20">
        <f>11/100</f>
        <v>0.11</v>
      </c>
      <c r="F14" s="6">
        <f>54/100</f>
        <v>0.54</v>
      </c>
      <c r="G14" s="22">
        <f>3.3/100</f>
        <v>3.3000000000000002E-2</v>
      </c>
      <c r="H14" s="18">
        <f>293/100</f>
        <v>2.93</v>
      </c>
      <c r="I14" s="20">
        <f t="shared" si="0"/>
        <v>0</v>
      </c>
      <c r="J14" s="6">
        <f t="shared" si="0"/>
        <v>0</v>
      </c>
      <c r="K14" s="22">
        <f t="shared" si="0"/>
        <v>0</v>
      </c>
      <c r="L14" s="18">
        <f t="shared" si="1"/>
        <v>0</v>
      </c>
      <c r="M14" t="b">
        <v>0</v>
      </c>
    </row>
    <row r="15" spans="1:13" x14ac:dyDescent="0.25">
      <c r="A15" t="s">
        <v>13</v>
      </c>
      <c r="C15" s="28">
        <v>1</v>
      </c>
      <c r="E15" s="20">
        <v>20</v>
      </c>
      <c r="F15" s="6">
        <v>1</v>
      </c>
      <c r="G15" s="22">
        <v>1</v>
      </c>
      <c r="H15" s="18">
        <v>93</v>
      </c>
      <c r="I15" s="20">
        <f t="shared" si="0"/>
        <v>20</v>
      </c>
      <c r="J15" s="6">
        <f t="shared" si="0"/>
        <v>1</v>
      </c>
      <c r="K15" s="22">
        <f t="shared" si="0"/>
        <v>1</v>
      </c>
      <c r="L15" s="18">
        <f t="shared" si="1"/>
        <v>93</v>
      </c>
      <c r="M15" t="b">
        <v>1</v>
      </c>
    </row>
    <row r="16" spans="1:13" x14ac:dyDescent="0.25">
      <c r="A16" t="s">
        <v>17</v>
      </c>
      <c r="C16" s="28">
        <v>24</v>
      </c>
      <c r="D16" s="2" t="s">
        <v>23</v>
      </c>
      <c r="E16" s="20">
        <f>3/100</f>
        <v>0.03</v>
      </c>
      <c r="F16" s="6">
        <f>11/100</f>
        <v>0.11</v>
      </c>
      <c r="G16" s="22">
        <f>1.5/100</f>
        <v>1.4999999999999999E-2</v>
      </c>
      <c r="H16" s="18">
        <f>74/100</f>
        <v>0.74</v>
      </c>
      <c r="I16" s="20">
        <f t="shared" si="0"/>
        <v>0</v>
      </c>
      <c r="J16" s="6">
        <f t="shared" si="0"/>
        <v>0</v>
      </c>
      <c r="K16" s="22">
        <f t="shared" si="0"/>
        <v>0</v>
      </c>
      <c r="L16" s="18">
        <f t="shared" si="1"/>
        <v>0</v>
      </c>
      <c r="M16" t="b">
        <v>0</v>
      </c>
    </row>
    <row r="17" spans="1:13" x14ac:dyDescent="0.25">
      <c r="A17" t="s">
        <v>18</v>
      </c>
      <c r="C17" s="28">
        <f>236</f>
        <v>236</v>
      </c>
      <c r="E17" s="20">
        <f>3.2/100</f>
        <v>3.2000000000000001E-2</v>
      </c>
      <c r="F17" s="6">
        <f>4.8/100</f>
        <v>4.8000000000000001E-2</v>
      </c>
      <c r="G17" s="22">
        <f>1.6/100</f>
        <v>1.6E-2</v>
      </c>
      <c r="H17" s="18">
        <f>46/100</f>
        <v>0.46</v>
      </c>
      <c r="I17" s="20">
        <f t="shared" si="0"/>
        <v>7.5520000000000005</v>
      </c>
      <c r="J17" s="6">
        <f t="shared" si="0"/>
        <v>11.327999999999999</v>
      </c>
      <c r="K17" s="22">
        <f t="shared" si="0"/>
        <v>3.7760000000000002</v>
      </c>
      <c r="L17" s="18">
        <f t="shared" si="1"/>
        <v>108.56</v>
      </c>
      <c r="M17" t="b">
        <v>1</v>
      </c>
    </row>
    <row r="18" spans="1:13" x14ac:dyDescent="0.25">
      <c r="A18" t="s">
        <v>19</v>
      </c>
      <c r="C18" s="28">
        <v>137</v>
      </c>
      <c r="D18" s="2" t="s">
        <v>25</v>
      </c>
      <c r="E18" s="20">
        <f>2/100</f>
        <v>0.02</v>
      </c>
      <c r="F18" s="6">
        <f>17/100</f>
        <v>0.17</v>
      </c>
      <c r="G18" s="22">
        <f>0.1/100</f>
        <v>1E-3</v>
      </c>
      <c r="H18" s="18">
        <f>77/100</f>
        <v>0.77</v>
      </c>
      <c r="I18" s="20">
        <f t="shared" si="0"/>
        <v>0</v>
      </c>
      <c r="J18" s="6">
        <f t="shared" si="0"/>
        <v>0</v>
      </c>
      <c r="K18" s="22">
        <f t="shared" si="0"/>
        <v>0</v>
      </c>
      <c r="L18" s="18">
        <f t="shared" si="1"/>
        <v>0</v>
      </c>
      <c r="M18" t="b">
        <v>0</v>
      </c>
    </row>
    <row r="19" spans="1:13" x14ac:dyDescent="0.25">
      <c r="A19" t="s">
        <v>20</v>
      </c>
      <c r="C19" s="28">
        <f>100</f>
        <v>100</v>
      </c>
      <c r="E19" s="20">
        <f>25/100</f>
        <v>0.25</v>
      </c>
      <c r="F19" s="6">
        <v>0</v>
      </c>
      <c r="G19" s="22">
        <f>1/100</f>
        <v>0.01</v>
      </c>
      <c r="H19" s="18">
        <f>109/100</f>
        <v>1.0900000000000001</v>
      </c>
      <c r="I19" s="20">
        <f t="shared" si="0"/>
        <v>25</v>
      </c>
      <c r="J19" s="6">
        <f t="shared" si="0"/>
        <v>0</v>
      </c>
      <c r="K19" s="22">
        <f t="shared" si="0"/>
        <v>1</v>
      </c>
      <c r="L19" s="18">
        <f t="shared" si="1"/>
        <v>109.00000000000001</v>
      </c>
      <c r="M19" t="b">
        <v>1</v>
      </c>
    </row>
    <row r="20" spans="1:13" x14ac:dyDescent="0.25">
      <c r="A20" t="s">
        <v>21</v>
      </c>
      <c r="C20" s="28">
        <v>50</v>
      </c>
      <c r="D20" s="2" t="s">
        <v>22</v>
      </c>
      <c r="E20" s="20">
        <f>2.3/100</f>
        <v>2.3E-2</v>
      </c>
      <c r="F20" s="6">
        <f>7.2/100</f>
        <v>7.2000000000000008E-2</v>
      </c>
      <c r="G20" s="22">
        <f>0.5/100</f>
        <v>5.0000000000000001E-3</v>
      </c>
      <c r="H20" s="18">
        <f>44/100</f>
        <v>0.44</v>
      </c>
      <c r="I20" s="20">
        <f t="shared" si="0"/>
        <v>0</v>
      </c>
      <c r="J20" s="6">
        <f t="shared" si="0"/>
        <v>0</v>
      </c>
      <c r="K20" s="22">
        <f t="shared" si="0"/>
        <v>0</v>
      </c>
      <c r="L20" s="18">
        <f t="shared" si="1"/>
        <v>0</v>
      </c>
      <c r="M20" t="b">
        <v>0</v>
      </c>
    </row>
    <row r="21" spans="1:13" x14ac:dyDescent="0.25">
      <c r="A21" t="s">
        <v>26</v>
      </c>
      <c r="C21" s="28"/>
      <c r="E21" s="20">
        <v>0</v>
      </c>
      <c r="F21" s="6">
        <v>0</v>
      </c>
      <c r="G21" s="22">
        <v>0</v>
      </c>
      <c r="H21" s="18">
        <f>275/100</f>
        <v>2.75</v>
      </c>
      <c r="I21" s="20">
        <f t="shared" si="0"/>
        <v>0</v>
      </c>
      <c r="J21" s="6">
        <f t="shared" si="0"/>
        <v>0</v>
      </c>
      <c r="K21" s="22">
        <f t="shared" si="0"/>
        <v>0</v>
      </c>
      <c r="L21" s="18">
        <f t="shared" si="1"/>
        <v>0</v>
      </c>
      <c r="M21" t="b">
        <v>0</v>
      </c>
    </row>
    <row r="22" spans="1:13" x14ac:dyDescent="0.25">
      <c r="A22" t="s">
        <v>32</v>
      </c>
      <c r="C22" s="28">
        <v>12</v>
      </c>
      <c r="E22" s="20">
        <f>22/100</f>
        <v>0.22</v>
      </c>
      <c r="F22" s="6">
        <f>6.9/100</f>
        <v>6.9000000000000006E-2</v>
      </c>
      <c r="G22" s="22">
        <f>54/100</f>
        <v>0.54</v>
      </c>
      <c r="H22" s="18">
        <f>620/100</f>
        <v>6.2</v>
      </c>
      <c r="I22" s="20">
        <f t="shared" si="0"/>
        <v>0</v>
      </c>
      <c r="J22" s="6">
        <f t="shared" si="0"/>
        <v>0</v>
      </c>
      <c r="K22" s="22">
        <f t="shared" si="0"/>
        <v>0</v>
      </c>
      <c r="L22" s="18">
        <f t="shared" si="1"/>
        <v>0</v>
      </c>
      <c r="M22" t="b">
        <v>0</v>
      </c>
    </row>
    <row r="23" spans="1:13" x14ac:dyDescent="0.25">
      <c r="A23" t="s">
        <v>33</v>
      </c>
      <c r="C23" s="28">
        <v>143</v>
      </c>
      <c r="E23" s="20">
        <v>3.6</v>
      </c>
      <c r="F23" s="6">
        <v>0.2</v>
      </c>
      <c r="G23" s="22">
        <v>0.1</v>
      </c>
      <c r="H23" s="18">
        <f>17</f>
        <v>17</v>
      </c>
      <c r="I23" s="20">
        <f t="shared" si="0"/>
        <v>0</v>
      </c>
      <c r="J23" s="6">
        <f t="shared" si="0"/>
        <v>0</v>
      </c>
      <c r="K23" s="22">
        <f t="shared" si="0"/>
        <v>0</v>
      </c>
      <c r="L23" s="18">
        <f t="shared" si="1"/>
        <v>0</v>
      </c>
      <c r="M23" t="b">
        <v>0</v>
      </c>
    </row>
    <row r="24" spans="1:13" x14ac:dyDescent="0.25">
      <c r="A24" t="s">
        <v>34</v>
      </c>
      <c r="C24" s="28">
        <v>50</v>
      </c>
      <c r="E24" s="20">
        <f>7.4/100</f>
        <v>7.400000000000001E-2</v>
      </c>
      <c r="F24" s="6">
        <f>78.7/100</f>
        <v>0.78700000000000003</v>
      </c>
      <c r="G24" s="22">
        <f>0.7/100</f>
        <v>6.9999999999999993E-3</v>
      </c>
      <c r="H24" s="18">
        <f>351/100</f>
        <v>3.51</v>
      </c>
      <c r="I24" s="20">
        <f t="shared" si="0"/>
        <v>0</v>
      </c>
      <c r="J24" s="6">
        <f t="shared" si="0"/>
        <v>0</v>
      </c>
      <c r="K24" s="22">
        <f t="shared" si="0"/>
        <v>0</v>
      </c>
      <c r="L24" s="18">
        <f t="shared" si="1"/>
        <v>0</v>
      </c>
      <c r="M24" t="b">
        <v>0</v>
      </c>
    </row>
    <row r="25" spans="1:13" x14ac:dyDescent="0.25">
      <c r="A25" s="4" t="s">
        <v>33</v>
      </c>
      <c r="C25" s="28">
        <f>158</f>
        <v>158</v>
      </c>
      <c r="E25" s="20">
        <f>11/100</f>
        <v>0.11</v>
      </c>
      <c r="F25" s="6">
        <f>0.7/100</f>
        <v>6.9999999999999993E-3</v>
      </c>
      <c r="G25" s="22">
        <f>0.2/100</f>
        <v>2E-3</v>
      </c>
      <c r="H25" s="18">
        <f>52/100</f>
        <v>0.52</v>
      </c>
      <c r="I25" s="20">
        <f t="shared" si="0"/>
        <v>17.38</v>
      </c>
      <c r="J25" s="6">
        <f t="shared" si="0"/>
        <v>1.1059999999999999</v>
      </c>
      <c r="K25" s="22">
        <f t="shared" si="0"/>
        <v>0.316</v>
      </c>
      <c r="L25" s="18">
        <f t="shared" si="1"/>
        <v>82.16</v>
      </c>
      <c r="M25" t="b">
        <v>1</v>
      </c>
    </row>
    <row r="26" spans="1:13" x14ac:dyDescent="0.25">
      <c r="A26" t="s">
        <v>55</v>
      </c>
      <c r="C26" s="28"/>
      <c r="E26" s="20">
        <f>19/100</f>
        <v>0.19</v>
      </c>
      <c r="F26" s="6">
        <f>61/100</f>
        <v>0.61</v>
      </c>
      <c r="G26" s="22">
        <f>6/100</f>
        <v>0.06</v>
      </c>
      <c r="H26" s="18">
        <f>364/100</f>
        <v>3.64</v>
      </c>
      <c r="I26" s="20">
        <f t="shared" si="0"/>
        <v>0</v>
      </c>
      <c r="J26" s="6">
        <f t="shared" si="0"/>
        <v>0</v>
      </c>
      <c r="K26" s="22">
        <f t="shared" si="0"/>
        <v>0</v>
      </c>
      <c r="L26" s="18">
        <f t="shared" si="1"/>
        <v>0</v>
      </c>
      <c r="M26" t="b">
        <v>0</v>
      </c>
    </row>
    <row r="27" spans="1:13" x14ac:dyDescent="0.25">
      <c r="A27" t="s">
        <v>57</v>
      </c>
      <c r="C27" s="28">
        <v>52</v>
      </c>
      <c r="E27" s="20">
        <f>19/100</f>
        <v>0.19</v>
      </c>
      <c r="F27" s="6">
        <v>0</v>
      </c>
      <c r="G27" s="22">
        <f>12/100</f>
        <v>0.12</v>
      </c>
      <c r="H27" s="18">
        <f>184/100</f>
        <v>1.84</v>
      </c>
      <c r="I27" s="20">
        <f t="shared" si="0"/>
        <v>0</v>
      </c>
      <c r="J27" s="6">
        <f t="shared" si="0"/>
        <v>0</v>
      </c>
      <c r="K27" s="22">
        <f t="shared" si="0"/>
        <v>0</v>
      </c>
      <c r="L27" s="18">
        <f t="shared" si="1"/>
        <v>0</v>
      </c>
      <c r="M27" t="b">
        <v>0</v>
      </c>
    </row>
    <row r="28" spans="1:13" x14ac:dyDescent="0.25">
      <c r="A28" t="s">
        <v>58</v>
      </c>
      <c r="C28" s="28">
        <v>288</v>
      </c>
      <c r="E28" s="20">
        <f>1.6/100</f>
        <v>1.6E-2</v>
      </c>
      <c r="F28" s="6">
        <f>20/100</f>
        <v>0.2</v>
      </c>
      <c r="G28" s="22">
        <f>0.1/100</f>
        <v>1E-3</v>
      </c>
      <c r="H28" s="18">
        <f>86/100</f>
        <v>0.86</v>
      </c>
      <c r="I28" s="20">
        <f t="shared" si="0"/>
        <v>4.6080000000000005</v>
      </c>
      <c r="J28" s="6">
        <f t="shared" si="0"/>
        <v>57.6</v>
      </c>
      <c r="K28" s="22">
        <f t="shared" si="0"/>
        <v>0.28800000000000003</v>
      </c>
      <c r="L28" s="18">
        <f t="shared" si="1"/>
        <v>247.68</v>
      </c>
      <c r="M28" t="b">
        <v>1</v>
      </c>
    </row>
    <row r="29" spans="1:13" x14ac:dyDescent="0.25">
      <c r="A29" t="s">
        <v>59</v>
      </c>
      <c r="C29" s="28">
        <v>360</v>
      </c>
      <c r="E29" s="20">
        <f>20/100</f>
        <v>0.2</v>
      </c>
      <c r="F29" s="6">
        <v>0</v>
      </c>
      <c r="G29" s="22">
        <f>5/100</f>
        <v>0.05</v>
      </c>
      <c r="H29" s="18">
        <f>121/100</f>
        <v>1.21</v>
      </c>
      <c r="I29" s="20">
        <f t="shared" si="0"/>
        <v>72</v>
      </c>
      <c r="J29" s="6">
        <f t="shared" si="0"/>
        <v>0</v>
      </c>
      <c r="K29" s="22">
        <f t="shared" si="0"/>
        <v>18</v>
      </c>
      <c r="L29" s="18">
        <f t="shared" si="1"/>
        <v>435.59999999999997</v>
      </c>
      <c r="M29" t="b">
        <v>1</v>
      </c>
    </row>
    <row r="30" spans="1:13" x14ac:dyDescent="0.25">
      <c r="A30" t="s">
        <v>60</v>
      </c>
      <c r="C30" s="28">
        <v>60</v>
      </c>
      <c r="E30" s="20">
        <f>7.5/100</f>
        <v>7.4999999999999997E-2</v>
      </c>
      <c r="F30" s="6">
        <f>78/100</f>
        <v>0.78</v>
      </c>
      <c r="G30" s="22">
        <f>0.6/100</f>
        <v>6.0000000000000001E-3</v>
      </c>
      <c r="H30" s="18">
        <f>347/100</f>
        <v>3.47</v>
      </c>
      <c r="I30" s="20">
        <f t="shared" si="0"/>
        <v>0</v>
      </c>
      <c r="J30" s="6">
        <f t="shared" si="0"/>
        <v>0</v>
      </c>
      <c r="K30" s="22">
        <f t="shared" si="0"/>
        <v>0</v>
      </c>
      <c r="L30" s="18">
        <f t="shared" si="1"/>
        <v>0</v>
      </c>
      <c r="M30" t="b">
        <v>0</v>
      </c>
    </row>
    <row r="31" spans="1:13" x14ac:dyDescent="0.25">
      <c r="A31" t="s">
        <v>63</v>
      </c>
      <c r="C31" s="28">
        <v>65</v>
      </c>
      <c r="E31" s="20">
        <f>1.4/100</f>
        <v>1.3999999999999999E-2</v>
      </c>
      <c r="F31" s="6">
        <f>9/100</f>
        <v>0.09</v>
      </c>
      <c r="G31" s="22">
        <f>0.2/100</f>
        <v>2E-3</v>
      </c>
      <c r="H31" s="18">
        <f>43/100</f>
        <v>0.43</v>
      </c>
      <c r="I31" s="20">
        <f t="shared" si="0"/>
        <v>0.90999999999999992</v>
      </c>
      <c r="J31" s="6">
        <f t="shared" si="0"/>
        <v>5.85</v>
      </c>
      <c r="K31" s="22">
        <f t="shared" si="0"/>
        <v>0.13</v>
      </c>
      <c r="L31" s="18">
        <f t="shared" si="1"/>
        <v>27.95</v>
      </c>
      <c r="M31" t="b">
        <v>1</v>
      </c>
    </row>
    <row r="32" spans="1:13" x14ac:dyDescent="0.25">
      <c r="A32" t="s">
        <v>64</v>
      </c>
      <c r="C32" s="28">
        <v>10</v>
      </c>
      <c r="E32" s="20">
        <f>4.1/100</f>
        <v>4.0999999999999995E-2</v>
      </c>
      <c r="F32" s="6">
        <f>6.6/100</f>
        <v>6.6000000000000003E-2</v>
      </c>
      <c r="G32" s="22">
        <f>5/100</f>
        <v>0.05</v>
      </c>
      <c r="H32" s="18">
        <f>84/100</f>
        <v>0.84</v>
      </c>
      <c r="I32" s="20">
        <f t="shared" si="0"/>
        <v>0</v>
      </c>
      <c r="J32" s="6">
        <f t="shared" si="0"/>
        <v>0</v>
      </c>
      <c r="K32" s="22">
        <f t="shared" si="0"/>
        <v>0</v>
      </c>
      <c r="L32" s="18">
        <f t="shared" si="1"/>
        <v>0</v>
      </c>
      <c r="M32" t="b">
        <v>0</v>
      </c>
    </row>
    <row r="33" spans="1:16" x14ac:dyDescent="0.25">
      <c r="A33" t="s">
        <v>66</v>
      </c>
      <c r="C33" s="28">
        <v>70</v>
      </c>
      <c r="E33" s="20">
        <f>14.1/100</f>
        <v>0.14099999999999999</v>
      </c>
      <c r="F33" s="6">
        <f>68.9/100</f>
        <v>0.68900000000000006</v>
      </c>
      <c r="G33" s="22">
        <f>5.8/100</f>
        <v>5.7999999999999996E-2</v>
      </c>
      <c r="H33" s="18">
        <f>380/100</f>
        <v>3.8</v>
      </c>
      <c r="I33" s="20">
        <f t="shared" si="0"/>
        <v>0</v>
      </c>
      <c r="J33" s="6">
        <f t="shared" si="0"/>
        <v>0</v>
      </c>
      <c r="K33" s="22">
        <f t="shared" si="0"/>
        <v>0</v>
      </c>
      <c r="L33" s="18">
        <f t="shared" si="1"/>
        <v>0</v>
      </c>
      <c r="M33" t="b">
        <v>0</v>
      </c>
      <c r="N33" s="2" t="s">
        <v>68</v>
      </c>
    </row>
    <row r="34" spans="1:16" x14ac:dyDescent="0.25">
      <c r="A34" s="4" t="s">
        <v>67</v>
      </c>
      <c r="C34" s="28">
        <v>33</v>
      </c>
      <c r="E34" s="20">
        <f>2.4/100</f>
        <v>2.4E-2</v>
      </c>
      <c r="F34" s="6">
        <v>0</v>
      </c>
      <c r="G34" s="22">
        <f>27/100</f>
        <v>0.27</v>
      </c>
      <c r="H34" s="18">
        <f>350/100</f>
        <v>3.5</v>
      </c>
      <c r="I34" s="20">
        <f>IF($M34=TRUE,E34*$C34,0)</f>
        <v>0.79200000000000004</v>
      </c>
      <c r="J34" s="6">
        <f>IF($M34=TRUE,F34*$C34,0)</f>
        <v>0</v>
      </c>
      <c r="K34" s="22">
        <f>IF($M34=TRUE,G34*$C34,0)</f>
        <v>8.91</v>
      </c>
      <c r="L34" s="18">
        <f t="shared" si="1"/>
        <v>115.5</v>
      </c>
      <c r="M34" t="b">
        <v>1</v>
      </c>
      <c r="N34" s="2">
        <v>68.5</v>
      </c>
      <c r="P34">
        <v>1</v>
      </c>
    </row>
    <row r="35" spans="1:16" x14ac:dyDescent="0.25">
      <c r="N35" s="2">
        <v>67</v>
      </c>
      <c r="P35">
        <v>2.2046199999999998</v>
      </c>
    </row>
    <row r="37" spans="1:16" x14ac:dyDescent="0.25">
      <c r="L37" t="s">
        <v>65</v>
      </c>
    </row>
    <row r="39" spans="1:16" x14ac:dyDescent="0.25">
      <c r="I39" s="23">
        <f>SUM(I4:I38)</f>
        <v>185.12099999999998</v>
      </c>
      <c r="J39" s="15">
        <f>SUM(J4:J38)</f>
        <v>149.298</v>
      </c>
      <c r="K39" s="24">
        <f>SUM(K4:K38)</f>
        <v>38.546999999999997</v>
      </c>
      <c r="L39" s="4">
        <f>SUM(L4:L33)</f>
        <v>1599.4899999999998</v>
      </c>
    </row>
    <row r="40" spans="1:16" x14ac:dyDescent="0.25">
      <c r="I40" s="25">
        <f>1.25 * $P35 * $N34</f>
        <v>188.77058749999998</v>
      </c>
      <c r="J40" s="26">
        <f>1 * $P35 * $N34</f>
        <v>151.01647</v>
      </c>
      <c r="K40" s="27">
        <f>0.27 * $P35 * $N34</f>
        <v>40.774446900000001</v>
      </c>
      <c r="L40">
        <f>11.43*P35* N34</f>
        <v>1726.1182520999998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Case à cocher 1">
              <controlPr defaultSize="0" autoFill="0" autoLine="0" autoPict="0">
                <anchor moveWithCells="1">
                  <from>
                    <xdr:col>1</xdr:col>
                    <xdr:colOff>161925</xdr:colOff>
                    <xdr:row>3</xdr:row>
                    <xdr:rowOff>19050</xdr:rowOff>
                  </from>
                  <to>
                    <xdr:col>1</xdr:col>
                    <xdr:colOff>342900</xdr:colOff>
                    <xdr:row>4</xdr:row>
                    <xdr:rowOff>19050</xdr:rowOff>
                  </to>
                </anchor>
              </controlPr>
            </control>
          </mc:Choice>
        </mc:AlternateContent>
        <mc:AlternateContent xmlns:mc="http://schemas.openxmlformats.org/markup-compatibility/2006">
          <mc:Choice Requires="x14">
            <control shapeId="18434" r:id="rId5" name="Case à cocher 2">
              <controlPr defaultSize="0" autoFill="0" autoLine="0" autoPict="0">
                <anchor moveWithCells="1">
                  <from>
                    <xdr:col>1</xdr:col>
                    <xdr:colOff>161925</xdr:colOff>
                    <xdr:row>4</xdr:row>
                    <xdr:rowOff>9525</xdr:rowOff>
                  </from>
                  <to>
                    <xdr:col>1</xdr:col>
                    <xdr:colOff>342900</xdr:colOff>
                    <xdr:row>5</xdr:row>
                    <xdr:rowOff>9525</xdr:rowOff>
                  </to>
                </anchor>
              </controlPr>
            </control>
          </mc:Choice>
        </mc:AlternateContent>
        <mc:AlternateContent xmlns:mc="http://schemas.openxmlformats.org/markup-compatibility/2006">
          <mc:Choice Requires="x14">
            <control shapeId="18435" r:id="rId6" name="Case à cocher 4">
              <controlPr defaultSize="0" autoFill="0" autoLine="0" autoPict="0">
                <anchor moveWithCells="1">
                  <from>
                    <xdr:col>1</xdr:col>
                    <xdr:colOff>161925</xdr:colOff>
                    <xdr:row>5</xdr:row>
                    <xdr:rowOff>19050</xdr:rowOff>
                  </from>
                  <to>
                    <xdr:col>1</xdr:col>
                    <xdr:colOff>342900</xdr:colOff>
                    <xdr:row>6</xdr:row>
                    <xdr:rowOff>19050</xdr:rowOff>
                  </to>
                </anchor>
              </controlPr>
            </control>
          </mc:Choice>
        </mc:AlternateContent>
        <mc:AlternateContent xmlns:mc="http://schemas.openxmlformats.org/markup-compatibility/2006">
          <mc:Choice Requires="x14">
            <control shapeId="18436" r:id="rId7" name="Case à cocher 5">
              <controlPr defaultSize="0" autoFill="0" autoLine="0" autoPict="0">
                <anchor moveWithCells="1">
                  <from>
                    <xdr:col>1</xdr:col>
                    <xdr:colOff>161925</xdr:colOff>
                    <xdr:row>7</xdr:row>
                    <xdr:rowOff>9525</xdr:rowOff>
                  </from>
                  <to>
                    <xdr:col>1</xdr:col>
                    <xdr:colOff>342900</xdr:colOff>
                    <xdr:row>8</xdr:row>
                    <xdr:rowOff>9525</xdr:rowOff>
                  </to>
                </anchor>
              </controlPr>
            </control>
          </mc:Choice>
        </mc:AlternateContent>
        <mc:AlternateContent xmlns:mc="http://schemas.openxmlformats.org/markup-compatibility/2006">
          <mc:Choice Requires="x14">
            <control shapeId="18437" r:id="rId8" name="Case à cocher 6">
              <controlPr defaultSize="0" autoFill="0" autoLine="0" autoPict="0">
                <anchor moveWithCells="1">
                  <from>
                    <xdr:col>1</xdr:col>
                    <xdr:colOff>161925</xdr:colOff>
                    <xdr:row>6</xdr:row>
                    <xdr:rowOff>19050</xdr:rowOff>
                  </from>
                  <to>
                    <xdr:col>1</xdr:col>
                    <xdr:colOff>342900</xdr:colOff>
                    <xdr:row>7</xdr:row>
                    <xdr:rowOff>19050</xdr:rowOff>
                  </to>
                </anchor>
              </controlPr>
            </control>
          </mc:Choice>
        </mc:AlternateContent>
        <mc:AlternateContent xmlns:mc="http://schemas.openxmlformats.org/markup-compatibility/2006">
          <mc:Choice Requires="x14">
            <control shapeId="18438" r:id="rId9" name="Case à cocher 7">
              <controlPr defaultSize="0" autoFill="0" autoLine="0" autoPict="0">
                <anchor moveWithCells="1">
                  <from>
                    <xdr:col>1</xdr:col>
                    <xdr:colOff>161925</xdr:colOff>
                    <xdr:row>8</xdr:row>
                    <xdr:rowOff>19050</xdr:rowOff>
                  </from>
                  <to>
                    <xdr:col>1</xdr:col>
                    <xdr:colOff>342900</xdr:colOff>
                    <xdr:row>9</xdr:row>
                    <xdr:rowOff>19050</xdr:rowOff>
                  </to>
                </anchor>
              </controlPr>
            </control>
          </mc:Choice>
        </mc:AlternateContent>
        <mc:AlternateContent xmlns:mc="http://schemas.openxmlformats.org/markup-compatibility/2006">
          <mc:Choice Requires="x14">
            <control shapeId="18439" r:id="rId10" name="Case à cocher 8">
              <controlPr defaultSize="0" autoFill="0" autoLine="0" autoPict="0">
                <anchor moveWithCells="1">
                  <from>
                    <xdr:col>1</xdr:col>
                    <xdr:colOff>161925</xdr:colOff>
                    <xdr:row>9</xdr:row>
                    <xdr:rowOff>9525</xdr:rowOff>
                  </from>
                  <to>
                    <xdr:col>1</xdr:col>
                    <xdr:colOff>342900</xdr:colOff>
                    <xdr:row>10</xdr:row>
                    <xdr:rowOff>9525</xdr:rowOff>
                  </to>
                </anchor>
              </controlPr>
            </control>
          </mc:Choice>
        </mc:AlternateContent>
        <mc:AlternateContent xmlns:mc="http://schemas.openxmlformats.org/markup-compatibility/2006">
          <mc:Choice Requires="x14">
            <control shapeId="18440" r:id="rId11" name="Case à cocher 9">
              <controlPr defaultSize="0" autoFill="0" autoLine="0" autoPict="0">
                <anchor moveWithCells="1">
                  <from>
                    <xdr:col>1</xdr:col>
                    <xdr:colOff>161925</xdr:colOff>
                    <xdr:row>10</xdr:row>
                    <xdr:rowOff>9525</xdr:rowOff>
                  </from>
                  <to>
                    <xdr:col>1</xdr:col>
                    <xdr:colOff>342900</xdr:colOff>
                    <xdr:row>11</xdr:row>
                    <xdr:rowOff>9525</xdr:rowOff>
                  </to>
                </anchor>
              </controlPr>
            </control>
          </mc:Choice>
        </mc:AlternateContent>
        <mc:AlternateContent xmlns:mc="http://schemas.openxmlformats.org/markup-compatibility/2006">
          <mc:Choice Requires="x14">
            <control shapeId="18441" r:id="rId12" name="Case à cocher 10">
              <controlPr defaultSize="0" autoFill="0" autoLine="0" autoPict="0">
                <anchor moveWithCells="1">
                  <from>
                    <xdr:col>1</xdr:col>
                    <xdr:colOff>161925</xdr:colOff>
                    <xdr:row>10</xdr:row>
                    <xdr:rowOff>171450</xdr:rowOff>
                  </from>
                  <to>
                    <xdr:col>1</xdr:col>
                    <xdr:colOff>342900</xdr:colOff>
                    <xdr:row>11</xdr:row>
                    <xdr:rowOff>171450</xdr:rowOff>
                  </to>
                </anchor>
              </controlPr>
            </control>
          </mc:Choice>
        </mc:AlternateContent>
        <mc:AlternateContent xmlns:mc="http://schemas.openxmlformats.org/markup-compatibility/2006">
          <mc:Choice Requires="x14">
            <control shapeId="18442" r:id="rId13" name="Case à cocher 11">
              <controlPr defaultSize="0" autoFill="0" autoLine="0" autoPict="0">
                <anchor moveWithCells="1">
                  <from>
                    <xdr:col>1</xdr:col>
                    <xdr:colOff>161925</xdr:colOff>
                    <xdr:row>11</xdr:row>
                    <xdr:rowOff>171450</xdr:rowOff>
                  </from>
                  <to>
                    <xdr:col>1</xdr:col>
                    <xdr:colOff>342900</xdr:colOff>
                    <xdr:row>12</xdr:row>
                    <xdr:rowOff>171450</xdr:rowOff>
                  </to>
                </anchor>
              </controlPr>
            </control>
          </mc:Choice>
        </mc:AlternateContent>
        <mc:AlternateContent xmlns:mc="http://schemas.openxmlformats.org/markup-compatibility/2006">
          <mc:Choice Requires="x14">
            <control shapeId="18443" r:id="rId14" name="Check Box 11">
              <controlPr defaultSize="0" autoFill="0" autoLine="0" autoPict="0">
                <anchor moveWithCells="1">
                  <from>
                    <xdr:col>1</xdr:col>
                    <xdr:colOff>161925</xdr:colOff>
                    <xdr:row>12</xdr:row>
                    <xdr:rowOff>171450</xdr:rowOff>
                  </from>
                  <to>
                    <xdr:col>1</xdr:col>
                    <xdr:colOff>342900</xdr:colOff>
                    <xdr:row>13</xdr:row>
                    <xdr:rowOff>171450</xdr:rowOff>
                  </to>
                </anchor>
              </controlPr>
            </control>
          </mc:Choice>
        </mc:AlternateContent>
        <mc:AlternateContent xmlns:mc="http://schemas.openxmlformats.org/markup-compatibility/2006">
          <mc:Choice Requires="x14">
            <control shapeId="18444" r:id="rId15" name="Check Box 13">
              <controlPr defaultSize="0" autoFill="0" autoLine="0" autoPict="0">
                <anchor moveWithCells="1">
                  <from>
                    <xdr:col>1</xdr:col>
                    <xdr:colOff>161925</xdr:colOff>
                    <xdr:row>13</xdr:row>
                    <xdr:rowOff>180975</xdr:rowOff>
                  </from>
                  <to>
                    <xdr:col>1</xdr:col>
                    <xdr:colOff>342900</xdr:colOff>
                    <xdr:row>15</xdr:row>
                    <xdr:rowOff>0</xdr:rowOff>
                  </to>
                </anchor>
              </controlPr>
            </control>
          </mc:Choice>
        </mc:AlternateContent>
        <mc:AlternateContent xmlns:mc="http://schemas.openxmlformats.org/markup-compatibility/2006">
          <mc:Choice Requires="x14">
            <control shapeId="18445" r:id="rId16" name="Check Box 14">
              <controlPr defaultSize="0" autoFill="0" autoLine="0" autoPict="0">
                <anchor moveWithCells="1">
                  <from>
                    <xdr:col>1</xdr:col>
                    <xdr:colOff>161925</xdr:colOff>
                    <xdr:row>14</xdr:row>
                    <xdr:rowOff>180975</xdr:rowOff>
                  </from>
                  <to>
                    <xdr:col>1</xdr:col>
                    <xdr:colOff>342900</xdr:colOff>
                    <xdr:row>16</xdr:row>
                    <xdr:rowOff>0</xdr:rowOff>
                  </to>
                </anchor>
              </controlPr>
            </control>
          </mc:Choice>
        </mc:AlternateContent>
        <mc:AlternateContent xmlns:mc="http://schemas.openxmlformats.org/markup-compatibility/2006">
          <mc:Choice Requires="x14">
            <control shapeId="18446" r:id="rId17" name="Check Box 15">
              <controlPr defaultSize="0" autoFill="0" autoLine="0" autoPict="0">
                <anchor moveWithCells="1">
                  <from>
                    <xdr:col>1</xdr:col>
                    <xdr:colOff>161925</xdr:colOff>
                    <xdr:row>16</xdr:row>
                    <xdr:rowOff>0</xdr:rowOff>
                  </from>
                  <to>
                    <xdr:col>1</xdr:col>
                    <xdr:colOff>342900</xdr:colOff>
                    <xdr:row>17</xdr:row>
                    <xdr:rowOff>0</xdr:rowOff>
                  </to>
                </anchor>
              </controlPr>
            </control>
          </mc:Choice>
        </mc:AlternateContent>
        <mc:AlternateContent xmlns:mc="http://schemas.openxmlformats.org/markup-compatibility/2006">
          <mc:Choice Requires="x14">
            <control shapeId="18447" r:id="rId18" name="Check Box 16">
              <controlPr defaultSize="0" autoFill="0" autoLine="0" autoPict="0">
                <anchor moveWithCells="1">
                  <from>
                    <xdr:col>1</xdr:col>
                    <xdr:colOff>161925</xdr:colOff>
                    <xdr:row>16</xdr:row>
                    <xdr:rowOff>180975</xdr:rowOff>
                  </from>
                  <to>
                    <xdr:col>1</xdr:col>
                    <xdr:colOff>342900</xdr:colOff>
                    <xdr:row>18</xdr:row>
                    <xdr:rowOff>0</xdr:rowOff>
                  </to>
                </anchor>
              </controlPr>
            </control>
          </mc:Choice>
        </mc:AlternateContent>
        <mc:AlternateContent xmlns:mc="http://schemas.openxmlformats.org/markup-compatibility/2006">
          <mc:Choice Requires="x14">
            <control shapeId="18448" r:id="rId19" name="Check Box 17">
              <controlPr defaultSize="0" autoFill="0" autoLine="0" autoPict="0">
                <anchor moveWithCells="1">
                  <from>
                    <xdr:col>1</xdr:col>
                    <xdr:colOff>161925</xdr:colOff>
                    <xdr:row>17</xdr:row>
                    <xdr:rowOff>180975</xdr:rowOff>
                  </from>
                  <to>
                    <xdr:col>1</xdr:col>
                    <xdr:colOff>342900</xdr:colOff>
                    <xdr:row>19</xdr:row>
                    <xdr:rowOff>0</xdr:rowOff>
                  </to>
                </anchor>
              </controlPr>
            </control>
          </mc:Choice>
        </mc:AlternateContent>
        <mc:AlternateContent xmlns:mc="http://schemas.openxmlformats.org/markup-compatibility/2006">
          <mc:Choice Requires="x14">
            <control shapeId="18449" r:id="rId20" name="Check Box 18">
              <controlPr defaultSize="0" autoFill="0" autoLine="0" autoPict="0">
                <anchor moveWithCells="1">
                  <from>
                    <xdr:col>1</xdr:col>
                    <xdr:colOff>161925</xdr:colOff>
                    <xdr:row>19</xdr:row>
                    <xdr:rowOff>0</xdr:rowOff>
                  </from>
                  <to>
                    <xdr:col>1</xdr:col>
                    <xdr:colOff>342900</xdr:colOff>
                    <xdr:row>20</xdr:row>
                    <xdr:rowOff>0</xdr:rowOff>
                  </to>
                </anchor>
              </controlPr>
            </control>
          </mc:Choice>
        </mc:AlternateContent>
        <mc:AlternateContent xmlns:mc="http://schemas.openxmlformats.org/markup-compatibility/2006">
          <mc:Choice Requires="x14">
            <control shapeId="18450" r:id="rId21" name="Check Box 19">
              <controlPr defaultSize="0" autoFill="0" autoLine="0" autoPict="0">
                <anchor moveWithCells="1">
                  <from>
                    <xdr:col>1</xdr:col>
                    <xdr:colOff>161925</xdr:colOff>
                    <xdr:row>20</xdr:row>
                    <xdr:rowOff>0</xdr:rowOff>
                  </from>
                  <to>
                    <xdr:col>1</xdr:col>
                    <xdr:colOff>342900</xdr:colOff>
                    <xdr:row>21</xdr:row>
                    <xdr:rowOff>0</xdr:rowOff>
                  </to>
                </anchor>
              </controlPr>
            </control>
          </mc:Choice>
        </mc:AlternateContent>
        <mc:AlternateContent xmlns:mc="http://schemas.openxmlformats.org/markup-compatibility/2006">
          <mc:Choice Requires="x14">
            <control shapeId="18451" r:id="rId22" name="Check Box 20">
              <controlPr defaultSize="0" autoFill="0" autoLine="0" autoPict="0">
                <anchor moveWithCells="1">
                  <from>
                    <xdr:col>1</xdr:col>
                    <xdr:colOff>161925</xdr:colOff>
                    <xdr:row>21</xdr:row>
                    <xdr:rowOff>9525</xdr:rowOff>
                  </from>
                  <to>
                    <xdr:col>1</xdr:col>
                    <xdr:colOff>342900</xdr:colOff>
                    <xdr:row>22</xdr:row>
                    <xdr:rowOff>9525</xdr:rowOff>
                  </to>
                </anchor>
              </controlPr>
            </control>
          </mc:Choice>
        </mc:AlternateContent>
        <mc:AlternateContent xmlns:mc="http://schemas.openxmlformats.org/markup-compatibility/2006">
          <mc:Choice Requires="x14">
            <control shapeId="18452" r:id="rId23" name="Check Box 21">
              <controlPr defaultSize="0" autoFill="0" autoLine="0" autoPict="0">
                <anchor moveWithCells="1">
                  <from>
                    <xdr:col>1</xdr:col>
                    <xdr:colOff>161925</xdr:colOff>
                    <xdr:row>22</xdr:row>
                    <xdr:rowOff>9525</xdr:rowOff>
                  </from>
                  <to>
                    <xdr:col>1</xdr:col>
                    <xdr:colOff>342900</xdr:colOff>
                    <xdr:row>23</xdr:row>
                    <xdr:rowOff>9525</xdr:rowOff>
                  </to>
                </anchor>
              </controlPr>
            </control>
          </mc:Choice>
        </mc:AlternateContent>
        <mc:AlternateContent xmlns:mc="http://schemas.openxmlformats.org/markup-compatibility/2006">
          <mc:Choice Requires="x14">
            <control shapeId="18453" r:id="rId24" name="Check Box 21">
              <controlPr defaultSize="0" autoFill="0" autoLine="0" autoPict="0">
                <anchor moveWithCells="1">
                  <from>
                    <xdr:col>1</xdr:col>
                    <xdr:colOff>161925</xdr:colOff>
                    <xdr:row>22</xdr:row>
                    <xdr:rowOff>180975</xdr:rowOff>
                  </from>
                  <to>
                    <xdr:col>1</xdr:col>
                    <xdr:colOff>342900</xdr:colOff>
                    <xdr:row>23</xdr:row>
                    <xdr:rowOff>180975</xdr:rowOff>
                  </to>
                </anchor>
              </controlPr>
            </control>
          </mc:Choice>
        </mc:AlternateContent>
        <mc:AlternateContent xmlns:mc="http://schemas.openxmlformats.org/markup-compatibility/2006">
          <mc:Choice Requires="x14">
            <control shapeId="18454" r:id="rId25" name="Check Box 22">
              <controlPr defaultSize="0" autoFill="0" autoLine="0" autoPict="0">
                <anchor moveWithCells="1">
                  <from>
                    <xdr:col>1</xdr:col>
                    <xdr:colOff>161925</xdr:colOff>
                    <xdr:row>24</xdr:row>
                    <xdr:rowOff>0</xdr:rowOff>
                  </from>
                  <to>
                    <xdr:col>1</xdr:col>
                    <xdr:colOff>342900</xdr:colOff>
                    <xdr:row>25</xdr:row>
                    <xdr:rowOff>0</xdr:rowOff>
                  </to>
                </anchor>
              </controlPr>
            </control>
          </mc:Choice>
        </mc:AlternateContent>
        <mc:AlternateContent xmlns:mc="http://schemas.openxmlformats.org/markup-compatibility/2006">
          <mc:Choice Requires="x14">
            <control shapeId="18455" r:id="rId26" name="Check Box 23">
              <controlPr defaultSize="0" autoFill="0" autoLine="0" autoPict="0">
                <anchor moveWithCells="1">
                  <from>
                    <xdr:col>1</xdr:col>
                    <xdr:colOff>161925</xdr:colOff>
                    <xdr:row>25</xdr:row>
                    <xdr:rowOff>171450</xdr:rowOff>
                  </from>
                  <to>
                    <xdr:col>1</xdr:col>
                    <xdr:colOff>342900</xdr:colOff>
                    <xdr:row>26</xdr:row>
                    <xdr:rowOff>171450</xdr:rowOff>
                  </to>
                </anchor>
              </controlPr>
            </control>
          </mc:Choice>
        </mc:AlternateContent>
        <mc:AlternateContent xmlns:mc="http://schemas.openxmlformats.org/markup-compatibility/2006">
          <mc:Choice Requires="x14">
            <control shapeId="18456" r:id="rId27" name="Check Box 24">
              <controlPr defaultSize="0" autoFill="0" autoLine="0" autoPict="0">
                <anchor moveWithCells="1">
                  <from>
                    <xdr:col>1</xdr:col>
                    <xdr:colOff>161925</xdr:colOff>
                    <xdr:row>26</xdr:row>
                    <xdr:rowOff>180975</xdr:rowOff>
                  </from>
                  <to>
                    <xdr:col>1</xdr:col>
                    <xdr:colOff>342900</xdr:colOff>
                    <xdr:row>27</xdr:row>
                    <xdr:rowOff>180975</xdr:rowOff>
                  </to>
                </anchor>
              </controlPr>
            </control>
          </mc:Choice>
        </mc:AlternateContent>
        <mc:AlternateContent xmlns:mc="http://schemas.openxmlformats.org/markup-compatibility/2006">
          <mc:Choice Requires="x14">
            <control shapeId="18457" r:id="rId28" name="Check Box 25">
              <controlPr defaultSize="0" autoFill="0" autoLine="0" autoPict="0">
                <anchor moveWithCells="1">
                  <from>
                    <xdr:col>1</xdr:col>
                    <xdr:colOff>161925</xdr:colOff>
                    <xdr:row>28</xdr:row>
                    <xdr:rowOff>9525</xdr:rowOff>
                  </from>
                  <to>
                    <xdr:col>1</xdr:col>
                    <xdr:colOff>342900</xdr:colOff>
                    <xdr:row>29</xdr:row>
                    <xdr:rowOff>9525</xdr:rowOff>
                  </to>
                </anchor>
              </controlPr>
            </control>
          </mc:Choice>
        </mc:AlternateContent>
        <mc:AlternateContent xmlns:mc="http://schemas.openxmlformats.org/markup-compatibility/2006">
          <mc:Choice Requires="x14">
            <control shapeId="18458" r:id="rId29" name="Check Box 26">
              <controlPr defaultSize="0" autoFill="0" autoLine="0" autoPict="0">
                <anchor moveWithCells="1">
                  <from>
                    <xdr:col>1</xdr:col>
                    <xdr:colOff>161925</xdr:colOff>
                    <xdr:row>29</xdr:row>
                    <xdr:rowOff>0</xdr:rowOff>
                  </from>
                  <to>
                    <xdr:col>1</xdr:col>
                    <xdr:colOff>342900</xdr:colOff>
                    <xdr:row>30</xdr:row>
                    <xdr:rowOff>0</xdr:rowOff>
                  </to>
                </anchor>
              </controlPr>
            </control>
          </mc:Choice>
        </mc:AlternateContent>
        <mc:AlternateContent xmlns:mc="http://schemas.openxmlformats.org/markup-compatibility/2006">
          <mc:Choice Requires="x14">
            <control shapeId="18459" r:id="rId30" name="Check Box 27">
              <controlPr defaultSize="0" autoFill="0" autoLine="0" autoPict="0">
                <anchor moveWithCells="1">
                  <from>
                    <xdr:col>1</xdr:col>
                    <xdr:colOff>161925</xdr:colOff>
                    <xdr:row>30</xdr:row>
                    <xdr:rowOff>0</xdr:rowOff>
                  </from>
                  <to>
                    <xdr:col>1</xdr:col>
                    <xdr:colOff>342900</xdr:colOff>
                    <xdr:row>31</xdr:row>
                    <xdr:rowOff>0</xdr:rowOff>
                  </to>
                </anchor>
              </controlPr>
            </control>
          </mc:Choice>
        </mc:AlternateContent>
        <mc:AlternateContent xmlns:mc="http://schemas.openxmlformats.org/markup-compatibility/2006">
          <mc:Choice Requires="x14">
            <control shapeId="18460" r:id="rId31" name="Check Box 28">
              <controlPr defaultSize="0" autoFill="0" autoLine="0" autoPict="0">
                <anchor moveWithCells="1">
                  <from>
                    <xdr:col>1</xdr:col>
                    <xdr:colOff>161925</xdr:colOff>
                    <xdr:row>31</xdr:row>
                    <xdr:rowOff>0</xdr:rowOff>
                  </from>
                  <to>
                    <xdr:col>1</xdr:col>
                    <xdr:colOff>342900</xdr:colOff>
                    <xdr:row>32</xdr:row>
                    <xdr:rowOff>0</xdr:rowOff>
                  </to>
                </anchor>
              </controlPr>
            </control>
          </mc:Choice>
        </mc:AlternateContent>
        <mc:AlternateContent xmlns:mc="http://schemas.openxmlformats.org/markup-compatibility/2006">
          <mc:Choice Requires="x14">
            <control shapeId="18461" r:id="rId32" name="Check Box 29">
              <controlPr defaultSize="0" autoFill="0" autoLine="0" autoPict="0">
                <anchor moveWithCells="1">
                  <from>
                    <xdr:col>1</xdr:col>
                    <xdr:colOff>152400</xdr:colOff>
                    <xdr:row>31</xdr:row>
                    <xdr:rowOff>171450</xdr:rowOff>
                  </from>
                  <to>
                    <xdr:col>1</xdr:col>
                    <xdr:colOff>333375</xdr:colOff>
                    <xdr:row>32</xdr:row>
                    <xdr:rowOff>171450</xdr:rowOff>
                  </to>
                </anchor>
              </controlPr>
            </control>
          </mc:Choice>
        </mc:AlternateContent>
        <mc:AlternateContent xmlns:mc="http://schemas.openxmlformats.org/markup-compatibility/2006">
          <mc:Choice Requires="x14">
            <control shapeId="18462" r:id="rId33" name="Check Box 30">
              <controlPr defaultSize="0" autoFill="0" autoLine="0" autoPict="0">
                <anchor moveWithCells="1">
                  <from>
                    <xdr:col>1</xdr:col>
                    <xdr:colOff>142875</xdr:colOff>
                    <xdr:row>33</xdr:row>
                    <xdr:rowOff>0</xdr:rowOff>
                  </from>
                  <to>
                    <xdr:col>1</xdr:col>
                    <xdr:colOff>323850</xdr:colOff>
                    <xdr:row>34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dimension ref="A3:P40"/>
  <sheetViews>
    <sheetView zoomScale="85" zoomScaleNormal="85" workbookViewId="0">
      <selection activeCell="C32" sqref="C32"/>
    </sheetView>
  </sheetViews>
  <sheetFormatPr defaultColWidth="11.42578125" defaultRowHeight="15" x14ac:dyDescent="0.25"/>
  <cols>
    <col min="1" max="1" width="18.5703125" customWidth="1"/>
    <col min="2" max="2" width="5.85546875" customWidth="1"/>
    <col min="3" max="3" width="11.42578125" style="2"/>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3" x14ac:dyDescent="0.25">
      <c r="C3" s="3" t="s">
        <v>1</v>
      </c>
      <c r="D3" s="3" t="s">
        <v>24</v>
      </c>
      <c r="E3" s="19" t="s">
        <v>16</v>
      </c>
      <c r="F3" s="16" t="s">
        <v>15</v>
      </c>
      <c r="G3" s="21" t="s">
        <v>14</v>
      </c>
      <c r="H3" s="17" t="s">
        <v>0</v>
      </c>
      <c r="I3" s="19" t="s">
        <v>29</v>
      </c>
      <c r="J3" s="16" t="s">
        <v>30</v>
      </c>
      <c r="K3" s="21" t="s">
        <v>14</v>
      </c>
      <c r="L3" s="17" t="s">
        <v>31</v>
      </c>
    </row>
    <row r="4" spans="1:13" x14ac:dyDescent="0.25">
      <c r="A4" t="s">
        <v>2</v>
      </c>
      <c r="C4" s="28">
        <v>5</v>
      </c>
      <c r="E4" s="20">
        <f>10/100</f>
        <v>0.1</v>
      </c>
      <c r="F4" s="6">
        <f>1.6/100</f>
        <v>1.6E-2</v>
      </c>
      <c r="G4" s="22">
        <f>11/100</f>
        <v>0.11</v>
      </c>
      <c r="H4" s="18">
        <f>148/100</f>
        <v>1.48</v>
      </c>
      <c r="I4" s="20">
        <f t="shared" ref="I4:K33" si="0">IF($M4=TRUE,E4*$C4,0)</f>
        <v>0</v>
      </c>
      <c r="J4" s="6">
        <f t="shared" si="0"/>
        <v>0</v>
      </c>
      <c r="K4" s="22">
        <f t="shared" si="0"/>
        <v>0</v>
      </c>
      <c r="L4" s="18">
        <f t="shared" ref="L4:L34" si="1">IF($M4=TRUE, H4*C4,0)</f>
        <v>0</v>
      </c>
      <c r="M4" t="b">
        <v>0</v>
      </c>
    </row>
    <row r="5" spans="1:13" x14ac:dyDescent="0.25">
      <c r="A5" t="s">
        <v>3</v>
      </c>
      <c r="C5" s="28">
        <v>54</v>
      </c>
      <c r="E5" s="20">
        <f>12/100</f>
        <v>0.12</v>
      </c>
      <c r="F5" s="6">
        <f>60/100</f>
        <v>0.6</v>
      </c>
      <c r="G5" s="22">
        <f>7.1/100</f>
        <v>7.0999999999999994E-2</v>
      </c>
      <c r="H5" s="18">
        <f>371/100</f>
        <v>3.71</v>
      </c>
      <c r="I5" s="20">
        <f t="shared" si="0"/>
        <v>6.4799999999999995</v>
      </c>
      <c r="J5" s="6">
        <f t="shared" si="0"/>
        <v>32.4</v>
      </c>
      <c r="K5" s="22">
        <f t="shared" si="0"/>
        <v>3.8339999999999996</v>
      </c>
      <c r="L5" s="18">
        <f t="shared" si="1"/>
        <v>200.34</v>
      </c>
      <c r="M5" t="b">
        <v>1</v>
      </c>
    </row>
    <row r="6" spans="1:13" x14ac:dyDescent="0.25">
      <c r="A6" t="s">
        <v>4</v>
      </c>
      <c r="C6" s="28">
        <v>1</v>
      </c>
      <c r="E6" s="20">
        <v>10.1</v>
      </c>
      <c r="F6" s="6">
        <v>34.1</v>
      </c>
      <c r="G6" s="22">
        <v>10.1</v>
      </c>
      <c r="H6" s="18">
        <v>400</v>
      </c>
      <c r="I6" s="20">
        <f t="shared" si="0"/>
        <v>0</v>
      </c>
      <c r="J6" s="6">
        <f t="shared" si="0"/>
        <v>0</v>
      </c>
      <c r="K6" s="22">
        <f t="shared" si="0"/>
        <v>0</v>
      </c>
      <c r="L6" s="18">
        <f t="shared" si="1"/>
        <v>0</v>
      </c>
      <c r="M6" t="b">
        <v>0</v>
      </c>
    </row>
    <row r="7" spans="1:13" x14ac:dyDescent="0.25">
      <c r="A7" t="s">
        <v>5</v>
      </c>
      <c r="C7" s="28">
        <f>146</f>
        <v>146</v>
      </c>
      <c r="E7" s="20">
        <f>20.7/100</f>
        <v>0.20699999999999999</v>
      </c>
      <c r="F7" s="6">
        <f>2.2/100</f>
        <v>2.2000000000000002E-2</v>
      </c>
      <c r="G7" s="22">
        <f>0.9/100</f>
        <v>9.0000000000000011E-3</v>
      </c>
      <c r="H7" s="18">
        <f>94/100</f>
        <v>0.94</v>
      </c>
      <c r="I7" s="20">
        <f t="shared" si="0"/>
        <v>30.221999999999998</v>
      </c>
      <c r="J7" s="6">
        <f t="shared" si="0"/>
        <v>3.2120000000000002</v>
      </c>
      <c r="K7" s="22">
        <f t="shared" si="0"/>
        <v>1.3140000000000001</v>
      </c>
      <c r="L7" s="18">
        <f t="shared" si="1"/>
        <v>137.23999999999998</v>
      </c>
      <c r="M7" t="b">
        <v>1</v>
      </c>
    </row>
    <row r="8" spans="1:13" x14ac:dyDescent="0.25">
      <c r="A8" t="s">
        <v>6</v>
      </c>
      <c r="C8" s="28">
        <v>253</v>
      </c>
      <c r="E8" s="20">
        <f>20/100</f>
        <v>0.2</v>
      </c>
      <c r="F8" s="6">
        <f>0.2/100</f>
        <v>2E-3</v>
      </c>
      <c r="G8" s="22">
        <f>5/100</f>
        <v>0.05</v>
      </c>
      <c r="H8" s="18">
        <f>126/100</f>
        <v>1.26</v>
      </c>
      <c r="I8" s="20">
        <f t="shared" si="0"/>
        <v>50.6</v>
      </c>
      <c r="J8" s="6">
        <f t="shared" si="0"/>
        <v>0.50600000000000001</v>
      </c>
      <c r="K8" s="22">
        <f t="shared" si="0"/>
        <v>12.65</v>
      </c>
      <c r="L8" s="18">
        <f t="shared" si="1"/>
        <v>318.78000000000003</v>
      </c>
      <c r="M8" t="b">
        <v>1</v>
      </c>
    </row>
    <row r="9" spans="1:13" x14ac:dyDescent="0.25">
      <c r="A9" t="s">
        <v>7</v>
      </c>
      <c r="C9" s="28">
        <v>50</v>
      </c>
      <c r="E9" s="20">
        <f>12.68/100</f>
        <v>0.1268</v>
      </c>
      <c r="F9" s="6">
        <f>72.83/100</f>
        <v>0.72829999999999995</v>
      </c>
      <c r="G9" s="22">
        <f>1.05/100</f>
        <v>1.0500000000000001E-2</v>
      </c>
      <c r="H9" s="18">
        <f>360/100</f>
        <v>3.6</v>
      </c>
      <c r="I9" s="20">
        <f t="shared" si="0"/>
        <v>0</v>
      </c>
      <c r="J9" s="6">
        <f t="shared" si="0"/>
        <v>0</v>
      </c>
      <c r="K9" s="22">
        <f t="shared" si="0"/>
        <v>0</v>
      </c>
      <c r="L9" s="18">
        <f t="shared" si="1"/>
        <v>0</v>
      </c>
      <c r="M9" t="b">
        <v>0</v>
      </c>
    </row>
    <row r="10" spans="1:13" x14ac:dyDescent="0.25">
      <c r="A10" t="s">
        <v>8</v>
      </c>
      <c r="C10" s="28">
        <v>39</v>
      </c>
      <c r="E10" s="20">
        <f>8.8/100</f>
        <v>8.8000000000000009E-2</v>
      </c>
      <c r="F10" s="6">
        <f>72/100</f>
        <v>0.72</v>
      </c>
      <c r="G10" s="22">
        <f>2.2/100</f>
        <v>2.2000000000000002E-2</v>
      </c>
      <c r="H10" s="18">
        <f>343/100</f>
        <v>3.43</v>
      </c>
      <c r="I10" s="20">
        <f t="shared" si="0"/>
        <v>0</v>
      </c>
      <c r="J10" s="6">
        <f t="shared" si="0"/>
        <v>0</v>
      </c>
      <c r="K10" s="22">
        <f t="shared" si="0"/>
        <v>0</v>
      </c>
      <c r="L10" s="18">
        <f t="shared" si="1"/>
        <v>0</v>
      </c>
      <c r="M10" t="b">
        <v>0</v>
      </c>
    </row>
    <row r="11" spans="1:13" x14ac:dyDescent="0.25">
      <c r="A11" t="s">
        <v>9</v>
      </c>
      <c r="C11" s="28">
        <v>123</v>
      </c>
      <c r="E11" s="20">
        <f>1.5/100</f>
        <v>1.4999999999999999E-2</v>
      </c>
      <c r="F11" s="6">
        <f>20/100</f>
        <v>0.2</v>
      </c>
      <c r="G11" s="22">
        <v>0</v>
      </c>
      <c r="H11" s="18">
        <f>90/100</f>
        <v>0.9</v>
      </c>
      <c r="I11" s="20">
        <f t="shared" si="0"/>
        <v>0</v>
      </c>
      <c r="J11" s="6">
        <f t="shared" si="0"/>
        <v>0</v>
      </c>
      <c r="K11" s="22">
        <f t="shared" si="0"/>
        <v>0</v>
      </c>
      <c r="L11" s="18">
        <f t="shared" si="1"/>
        <v>0</v>
      </c>
      <c r="M11" t="b">
        <v>0</v>
      </c>
    </row>
    <row r="12" spans="1:13" x14ac:dyDescent="0.25">
      <c r="A12" t="s">
        <v>10</v>
      </c>
      <c r="C12" s="28">
        <v>300</v>
      </c>
      <c r="E12" s="20">
        <f>1.6/100</f>
        <v>1.6E-2</v>
      </c>
      <c r="F12" s="6">
        <f>11/100</f>
        <v>0.11</v>
      </c>
      <c r="G12" s="22">
        <f>0.3/100</f>
        <v>3.0000000000000001E-3</v>
      </c>
      <c r="H12" s="18">
        <f>53/100</f>
        <v>0.53</v>
      </c>
      <c r="I12" s="20">
        <f t="shared" si="0"/>
        <v>4.8</v>
      </c>
      <c r="J12" s="6">
        <f t="shared" si="0"/>
        <v>33</v>
      </c>
      <c r="K12" s="22">
        <f t="shared" si="0"/>
        <v>0.9</v>
      </c>
      <c r="L12" s="18">
        <f t="shared" si="1"/>
        <v>159</v>
      </c>
      <c r="M12" t="b">
        <v>1</v>
      </c>
    </row>
    <row r="13" spans="1:13" x14ac:dyDescent="0.25">
      <c r="A13" t="s">
        <v>11</v>
      </c>
      <c r="C13" s="28">
        <v>159</v>
      </c>
      <c r="E13" s="20">
        <f>1/100</f>
        <v>0.01</v>
      </c>
      <c r="F13" s="6">
        <f>9/100</f>
        <v>0.09</v>
      </c>
      <c r="G13" s="22">
        <f>0.2/100</f>
        <v>2E-3</v>
      </c>
      <c r="H13" s="18">
        <f>45/100</f>
        <v>0.45</v>
      </c>
      <c r="I13" s="20">
        <f t="shared" si="0"/>
        <v>0</v>
      </c>
      <c r="J13" s="6">
        <f t="shared" si="0"/>
        <v>0</v>
      </c>
      <c r="K13" s="22">
        <f t="shared" si="0"/>
        <v>0</v>
      </c>
      <c r="L13" s="18">
        <f t="shared" si="1"/>
        <v>0</v>
      </c>
      <c r="M13" t="b">
        <v>0</v>
      </c>
    </row>
    <row r="14" spans="1:13" x14ac:dyDescent="0.25">
      <c r="A14" t="s">
        <v>12</v>
      </c>
      <c r="C14" s="28">
        <v>130</v>
      </c>
      <c r="E14" s="20">
        <f>11/100</f>
        <v>0.11</v>
      </c>
      <c r="F14" s="6">
        <f>54/100</f>
        <v>0.54</v>
      </c>
      <c r="G14" s="22">
        <f>3.3/100</f>
        <v>3.3000000000000002E-2</v>
      </c>
      <c r="H14" s="18">
        <f>293/100</f>
        <v>2.93</v>
      </c>
      <c r="I14" s="20">
        <f t="shared" si="0"/>
        <v>0</v>
      </c>
      <c r="J14" s="6">
        <f t="shared" si="0"/>
        <v>0</v>
      </c>
      <c r="K14" s="22">
        <f t="shared" si="0"/>
        <v>0</v>
      </c>
      <c r="L14" s="18">
        <f t="shared" si="1"/>
        <v>0</v>
      </c>
      <c r="M14" t="b">
        <v>0</v>
      </c>
    </row>
    <row r="15" spans="1:13" x14ac:dyDescent="0.25">
      <c r="A15" t="s">
        <v>13</v>
      </c>
      <c r="C15" s="29">
        <v>1</v>
      </c>
      <c r="E15" s="20">
        <v>20</v>
      </c>
      <c r="F15" s="6">
        <v>1</v>
      </c>
      <c r="G15" s="22">
        <v>1</v>
      </c>
      <c r="H15" s="18">
        <v>93</v>
      </c>
      <c r="I15" s="20">
        <f t="shared" si="0"/>
        <v>20</v>
      </c>
      <c r="J15" s="6">
        <f t="shared" si="0"/>
        <v>1</v>
      </c>
      <c r="K15" s="22">
        <f t="shared" si="0"/>
        <v>1</v>
      </c>
      <c r="L15" s="18">
        <f t="shared" si="1"/>
        <v>93</v>
      </c>
      <c r="M15" t="b">
        <v>1</v>
      </c>
    </row>
    <row r="16" spans="1:13" x14ac:dyDescent="0.25">
      <c r="A16" t="s">
        <v>17</v>
      </c>
      <c r="C16" s="28">
        <v>24</v>
      </c>
      <c r="D16" s="2" t="s">
        <v>23</v>
      </c>
      <c r="E16" s="20">
        <f>3/100</f>
        <v>0.03</v>
      </c>
      <c r="F16" s="6">
        <f>11/100</f>
        <v>0.11</v>
      </c>
      <c r="G16" s="22">
        <f>1.5/100</f>
        <v>1.4999999999999999E-2</v>
      </c>
      <c r="H16" s="18">
        <f>74/100</f>
        <v>0.74</v>
      </c>
      <c r="I16" s="20">
        <f t="shared" si="0"/>
        <v>0</v>
      </c>
      <c r="J16" s="6">
        <f t="shared" si="0"/>
        <v>0</v>
      </c>
      <c r="K16" s="22">
        <f t="shared" si="0"/>
        <v>0</v>
      </c>
      <c r="L16" s="18">
        <f t="shared" si="1"/>
        <v>0</v>
      </c>
      <c r="M16" t="b">
        <v>0</v>
      </c>
    </row>
    <row r="17" spans="1:13" x14ac:dyDescent="0.25">
      <c r="A17" t="s">
        <v>18</v>
      </c>
      <c r="C17" s="28">
        <f>236</f>
        <v>236</v>
      </c>
      <c r="E17" s="20">
        <f>3.2/100</f>
        <v>3.2000000000000001E-2</v>
      </c>
      <c r="F17" s="6">
        <f>4.8/100</f>
        <v>4.8000000000000001E-2</v>
      </c>
      <c r="G17" s="22">
        <f>1.6/100</f>
        <v>1.6E-2</v>
      </c>
      <c r="H17" s="18">
        <f>46/100</f>
        <v>0.46</v>
      </c>
      <c r="I17" s="20">
        <f t="shared" si="0"/>
        <v>7.5520000000000005</v>
      </c>
      <c r="J17" s="6">
        <f t="shared" si="0"/>
        <v>11.327999999999999</v>
      </c>
      <c r="K17" s="22">
        <f t="shared" si="0"/>
        <v>3.7760000000000002</v>
      </c>
      <c r="L17" s="18">
        <f t="shared" si="1"/>
        <v>108.56</v>
      </c>
      <c r="M17" t="b">
        <v>1</v>
      </c>
    </row>
    <row r="18" spans="1:13" x14ac:dyDescent="0.25">
      <c r="A18" t="s">
        <v>19</v>
      </c>
      <c r="C18" s="28">
        <v>137</v>
      </c>
      <c r="D18" s="2" t="s">
        <v>25</v>
      </c>
      <c r="E18" s="20">
        <f>2/100</f>
        <v>0.02</v>
      </c>
      <c r="F18" s="6">
        <f>17/100</f>
        <v>0.17</v>
      </c>
      <c r="G18" s="22">
        <f>0.1/100</f>
        <v>1E-3</v>
      </c>
      <c r="H18" s="18">
        <f>77/100</f>
        <v>0.77</v>
      </c>
      <c r="I18" s="20">
        <f t="shared" si="0"/>
        <v>0</v>
      </c>
      <c r="J18" s="6">
        <f t="shared" si="0"/>
        <v>0</v>
      </c>
      <c r="K18" s="22">
        <f t="shared" si="0"/>
        <v>0</v>
      </c>
      <c r="L18" s="18">
        <f t="shared" si="1"/>
        <v>0</v>
      </c>
      <c r="M18" t="b">
        <v>0</v>
      </c>
    </row>
    <row r="19" spans="1:13" x14ac:dyDescent="0.25">
      <c r="A19" t="s">
        <v>20</v>
      </c>
      <c r="C19" s="28">
        <f>100</f>
        <v>100</v>
      </c>
      <c r="E19" s="20">
        <f>25/100</f>
        <v>0.25</v>
      </c>
      <c r="F19" s="6">
        <v>0</v>
      </c>
      <c r="G19" s="22">
        <f>1/100</f>
        <v>0.01</v>
      </c>
      <c r="H19" s="18">
        <f>109/100</f>
        <v>1.0900000000000001</v>
      </c>
      <c r="I19" s="20">
        <f t="shared" si="0"/>
        <v>0</v>
      </c>
      <c r="J19" s="6">
        <f t="shared" si="0"/>
        <v>0</v>
      </c>
      <c r="K19" s="22">
        <f t="shared" si="0"/>
        <v>0</v>
      </c>
      <c r="L19" s="18">
        <f t="shared" si="1"/>
        <v>0</v>
      </c>
      <c r="M19" t="b">
        <v>0</v>
      </c>
    </row>
    <row r="20" spans="1:13" x14ac:dyDescent="0.25">
      <c r="A20" t="s">
        <v>21</v>
      </c>
      <c r="C20" s="28">
        <v>135</v>
      </c>
      <c r="D20" s="2" t="s">
        <v>22</v>
      </c>
      <c r="E20" s="20">
        <f>2.3/100</f>
        <v>2.3E-2</v>
      </c>
      <c r="F20" s="6">
        <f>7.2/100</f>
        <v>7.2000000000000008E-2</v>
      </c>
      <c r="G20" s="22">
        <f>0.5/100</f>
        <v>5.0000000000000001E-3</v>
      </c>
      <c r="H20" s="18">
        <f>44/100</f>
        <v>0.44</v>
      </c>
      <c r="I20" s="20">
        <f t="shared" si="0"/>
        <v>3.105</v>
      </c>
      <c r="J20" s="6">
        <f t="shared" si="0"/>
        <v>9.7200000000000006</v>
      </c>
      <c r="K20" s="22">
        <f t="shared" si="0"/>
        <v>0.67500000000000004</v>
      </c>
      <c r="L20" s="18">
        <f t="shared" si="1"/>
        <v>59.4</v>
      </c>
      <c r="M20" t="b">
        <v>1</v>
      </c>
    </row>
    <row r="21" spans="1:13" x14ac:dyDescent="0.25">
      <c r="A21" t="s">
        <v>26</v>
      </c>
      <c r="C21" s="28"/>
      <c r="E21" s="20">
        <v>0</v>
      </c>
      <c r="F21" s="6">
        <v>0</v>
      </c>
      <c r="G21" s="22">
        <v>0</v>
      </c>
      <c r="H21" s="18">
        <f>275/100</f>
        <v>2.75</v>
      </c>
      <c r="I21" s="20">
        <f t="shared" si="0"/>
        <v>0</v>
      </c>
      <c r="J21" s="6">
        <f t="shared" si="0"/>
        <v>0</v>
      </c>
      <c r="K21" s="22">
        <f t="shared" si="0"/>
        <v>0</v>
      </c>
      <c r="L21" s="18">
        <f t="shared" si="1"/>
        <v>0</v>
      </c>
      <c r="M21" t="b">
        <v>0</v>
      </c>
    </row>
    <row r="22" spans="1:13" x14ac:dyDescent="0.25">
      <c r="A22" t="s">
        <v>32</v>
      </c>
      <c r="C22" s="28">
        <v>12</v>
      </c>
      <c r="E22" s="20">
        <f>22/100</f>
        <v>0.22</v>
      </c>
      <c r="F22" s="6">
        <f>6.9/100</f>
        <v>6.9000000000000006E-2</v>
      </c>
      <c r="G22" s="22">
        <f>54/100</f>
        <v>0.54</v>
      </c>
      <c r="H22" s="18">
        <f>620/100</f>
        <v>6.2</v>
      </c>
      <c r="I22" s="20">
        <f t="shared" si="0"/>
        <v>0</v>
      </c>
      <c r="J22" s="6">
        <f t="shared" si="0"/>
        <v>0</v>
      </c>
      <c r="K22" s="22">
        <f t="shared" si="0"/>
        <v>0</v>
      </c>
      <c r="L22" s="18">
        <f t="shared" si="1"/>
        <v>0</v>
      </c>
      <c r="M22" t="b">
        <v>0</v>
      </c>
    </row>
    <row r="23" spans="1:13" x14ac:dyDescent="0.25">
      <c r="A23" t="s">
        <v>33</v>
      </c>
      <c r="C23" s="28">
        <v>143</v>
      </c>
      <c r="E23" s="20">
        <v>3.6</v>
      </c>
      <c r="F23" s="6">
        <v>0.2</v>
      </c>
      <c r="G23" s="22">
        <v>0.1</v>
      </c>
      <c r="H23" s="18">
        <f>17</f>
        <v>17</v>
      </c>
      <c r="I23" s="20">
        <f t="shared" si="0"/>
        <v>0</v>
      </c>
      <c r="J23" s="6">
        <f t="shared" si="0"/>
        <v>0</v>
      </c>
      <c r="K23" s="22">
        <f t="shared" si="0"/>
        <v>0</v>
      </c>
      <c r="L23" s="18">
        <f t="shared" si="1"/>
        <v>0</v>
      </c>
      <c r="M23" t="b">
        <v>0</v>
      </c>
    </row>
    <row r="24" spans="1:13" x14ac:dyDescent="0.25">
      <c r="A24" t="s">
        <v>34</v>
      </c>
      <c r="C24" s="28">
        <v>50</v>
      </c>
      <c r="E24" s="20">
        <f>7.4/100</f>
        <v>7.400000000000001E-2</v>
      </c>
      <c r="F24" s="6">
        <f>78.7/100</f>
        <v>0.78700000000000003</v>
      </c>
      <c r="G24" s="22">
        <f>0.7/100</f>
        <v>6.9999999999999993E-3</v>
      </c>
      <c r="H24" s="18">
        <f>351/100</f>
        <v>3.51</v>
      </c>
      <c r="I24" s="20">
        <f t="shared" si="0"/>
        <v>0</v>
      </c>
      <c r="J24" s="6">
        <f t="shared" si="0"/>
        <v>0</v>
      </c>
      <c r="K24" s="22">
        <f t="shared" si="0"/>
        <v>0</v>
      </c>
      <c r="L24" s="18">
        <f t="shared" si="1"/>
        <v>0</v>
      </c>
      <c r="M24" t="b">
        <v>0</v>
      </c>
    </row>
    <row r="25" spans="1:13" x14ac:dyDescent="0.25">
      <c r="A25" s="4" t="s">
        <v>33</v>
      </c>
      <c r="C25" s="28">
        <f>133+150</f>
        <v>283</v>
      </c>
      <c r="E25" s="20">
        <f>11/100</f>
        <v>0.11</v>
      </c>
      <c r="F25" s="6">
        <f>0.7/100</f>
        <v>6.9999999999999993E-3</v>
      </c>
      <c r="G25" s="22">
        <f>0.2/100</f>
        <v>2E-3</v>
      </c>
      <c r="H25" s="18">
        <f>52/100</f>
        <v>0.52</v>
      </c>
      <c r="I25" s="20">
        <f t="shared" si="0"/>
        <v>31.13</v>
      </c>
      <c r="J25" s="6">
        <f t="shared" si="0"/>
        <v>1.9809999999999999</v>
      </c>
      <c r="K25" s="22">
        <f t="shared" si="0"/>
        <v>0.56600000000000006</v>
      </c>
      <c r="L25" s="18">
        <f t="shared" si="1"/>
        <v>147.16</v>
      </c>
      <c r="M25" t="b">
        <v>1</v>
      </c>
    </row>
    <row r="26" spans="1:13" x14ac:dyDescent="0.25">
      <c r="A26" t="s">
        <v>55</v>
      </c>
      <c r="C26" s="28"/>
      <c r="E26" s="20">
        <f>19/100</f>
        <v>0.19</v>
      </c>
      <c r="F26" s="6">
        <f>61/100</f>
        <v>0.61</v>
      </c>
      <c r="G26" s="22">
        <f>6/100</f>
        <v>0.06</v>
      </c>
      <c r="H26" s="18">
        <f>364/100</f>
        <v>3.64</v>
      </c>
      <c r="I26" s="20">
        <f t="shared" si="0"/>
        <v>0</v>
      </c>
      <c r="J26" s="6">
        <f t="shared" si="0"/>
        <v>0</v>
      </c>
      <c r="K26" s="22">
        <f t="shared" si="0"/>
        <v>0</v>
      </c>
      <c r="L26" s="18">
        <f t="shared" si="1"/>
        <v>0</v>
      </c>
      <c r="M26" t="b">
        <v>0</v>
      </c>
    </row>
    <row r="27" spans="1:13" x14ac:dyDescent="0.25">
      <c r="A27" t="s">
        <v>57</v>
      </c>
      <c r="C27" s="29">
        <v>130</v>
      </c>
      <c r="E27" s="20">
        <f>19/100</f>
        <v>0.19</v>
      </c>
      <c r="F27" s="6">
        <v>0</v>
      </c>
      <c r="G27" s="22">
        <f>12/100</f>
        <v>0.12</v>
      </c>
      <c r="H27" s="18">
        <f>184/100</f>
        <v>1.84</v>
      </c>
      <c r="I27" s="20">
        <f t="shared" si="0"/>
        <v>24.7</v>
      </c>
      <c r="J27" s="6">
        <f t="shared" si="0"/>
        <v>0</v>
      </c>
      <c r="K27" s="22">
        <f t="shared" si="0"/>
        <v>15.6</v>
      </c>
      <c r="L27" s="18">
        <f t="shared" si="1"/>
        <v>239.20000000000002</v>
      </c>
      <c r="M27" t="b">
        <v>1</v>
      </c>
    </row>
    <row r="28" spans="1:13" x14ac:dyDescent="0.25">
      <c r="A28" t="s">
        <v>58</v>
      </c>
      <c r="C28" s="28">
        <v>288</v>
      </c>
      <c r="E28" s="20">
        <f>1.6/100</f>
        <v>1.6E-2</v>
      </c>
      <c r="F28" s="6">
        <f>20/100</f>
        <v>0.2</v>
      </c>
      <c r="G28" s="22">
        <f>0.1/100</f>
        <v>1E-3</v>
      </c>
      <c r="H28" s="18">
        <f>86/100</f>
        <v>0.86</v>
      </c>
      <c r="I28" s="20">
        <f t="shared" si="0"/>
        <v>0</v>
      </c>
      <c r="J28" s="6">
        <f t="shared" si="0"/>
        <v>0</v>
      </c>
      <c r="K28" s="22">
        <f t="shared" si="0"/>
        <v>0</v>
      </c>
      <c r="L28" s="18">
        <f t="shared" si="1"/>
        <v>0</v>
      </c>
      <c r="M28" t="b">
        <v>0</v>
      </c>
    </row>
    <row r="29" spans="1:13" x14ac:dyDescent="0.25">
      <c r="A29" t="s">
        <v>59</v>
      </c>
      <c r="C29" s="28">
        <v>360</v>
      </c>
      <c r="E29" s="20">
        <f>20/100</f>
        <v>0.2</v>
      </c>
      <c r="F29" s="6">
        <v>0</v>
      </c>
      <c r="G29" s="22">
        <f>5/100</f>
        <v>0.05</v>
      </c>
      <c r="H29" s="18">
        <f>121/100</f>
        <v>1.21</v>
      </c>
      <c r="I29" s="20">
        <f t="shared" si="0"/>
        <v>0</v>
      </c>
      <c r="J29" s="6">
        <f t="shared" si="0"/>
        <v>0</v>
      </c>
      <c r="K29" s="22">
        <f t="shared" si="0"/>
        <v>0</v>
      </c>
      <c r="L29" s="18">
        <f t="shared" si="1"/>
        <v>0</v>
      </c>
      <c r="M29" t="b">
        <v>0</v>
      </c>
    </row>
    <row r="30" spans="1:13" x14ac:dyDescent="0.25">
      <c r="A30" t="s">
        <v>60</v>
      </c>
      <c r="C30" s="28">
        <v>66</v>
      </c>
      <c r="E30" s="20">
        <f>7.5/100</f>
        <v>7.4999999999999997E-2</v>
      </c>
      <c r="F30" s="6">
        <f>78/100</f>
        <v>0.78</v>
      </c>
      <c r="G30" s="22">
        <f>0.6/100</f>
        <v>6.0000000000000001E-3</v>
      </c>
      <c r="H30" s="18">
        <f>347/100</f>
        <v>3.47</v>
      </c>
      <c r="I30" s="20">
        <f t="shared" si="0"/>
        <v>4.95</v>
      </c>
      <c r="J30" s="6">
        <f t="shared" si="0"/>
        <v>51.480000000000004</v>
      </c>
      <c r="K30" s="22">
        <f t="shared" si="0"/>
        <v>0.39600000000000002</v>
      </c>
      <c r="L30" s="18">
        <f t="shared" si="1"/>
        <v>229.02</v>
      </c>
      <c r="M30" t="b">
        <v>1</v>
      </c>
    </row>
    <row r="31" spans="1:13" x14ac:dyDescent="0.25">
      <c r="A31" t="s">
        <v>63</v>
      </c>
      <c r="C31" s="28">
        <v>23</v>
      </c>
      <c r="E31" s="20">
        <f>1.4/100</f>
        <v>1.3999999999999999E-2</v>
      </c>
      <c r="F31" s="6">
        <f>9/100</f>
        <v>0.09</v>
      </c>
      <c r="G31" s="22">
        <f>0.2/100</f>
        <v>2E-3</v>
      </c>
      <c r="H31" s="18">
        <f>43/100</f>
        <v>0.43</v>
      </c>
      <c r="I31" s="20">
        <f t="shared" si="0"/>
        <v>0.32199999999999995</v>
      </c>
      <c r="J31" s="6">
        <f t="shared" si="0"/>
        <v>2.0699999999999998</v>
      </c>
      <c r="K31" s="22">
        <f t="shared" si="0"/>
        <v>4.5999999999999999E-2</v>
      </c>
      <c r="L31" s="18">
        <f t="shared" si="1"/>
        <v>9.89</v>
      </c>
      <c r="M31" t="b">
        <v>1</v>
      </c>
    </row>
    <row r="32" spans="1:13" x14ac:dyDescent="0.25">
      <c r="A32" t="s">
        <v>64</v>
      </c>
      <c r="C32" s="28">
        <v>10</v>
      </c>
      <c r="E32" s="20">
        <f>4.1/100</f>
        <v>4.0999999999999995E-2</v>
      </c>
      <c r="F32" s="6">
        <f>6.6/100</f>
        <v>6.6000000000000003E-2</v>
      </c>
      <c r="G32" s="22">
        <f>5/100</f>
        <v>0.05</v>
      </c>
      <c r="H32" s="18">
        <f>84/100</f>
        <v>0.84</v>
      </c>
      <c r="I32" s="20">
        <f t="shared" si="0"/>
        <v>0</v>
      </c>
      <c r="J32" s="6">
        <f t="shared" si="0"/>
        <v>0</v>
      </c>
      <c r="K32" s="22">
        <f t="shared" si="0"/>
        <v>0</v>
      </c>
      <c r="L32" s="18">
        <f t="shared" si="1"/>
        <v>0</v>
      </c>
      <c r="M32" t="b">
        <v>0</v>
      </c>
    </row>
    <row r="33" spans="1:16" x14ac:dyDescent="0.25">
      <c r="A33" t="s">
        <v>66</v>
      </c>
      <c r="C33" s="28">
        <v>70</v>
      </c>
      <c r="E33" s="20">
        <f>14.1/100</f>
        <v>0.14099999999999999</v>
      </c>
      <c r="F33" s="6">
        <f>68.9/100</f>
        <v>0.68900000000000006</v>
      </c>
      <c r="G33" s="22">
        <f>5.8/100</f>
        <v>5.7999999999999996E-2</v>
      </c>
      <c r="H33" s="18">
        <f>380/100</f>
        <v>3.8</v>
      </c>
      <c r="I33" s="20">
        <f t="shared" si="0"/>
        <v>0</v>
      </c>
      <c r="J33" s="6">
        <f t="shared" si="0"/>
        <v>0</v>
      </c>
      <c r="K33" s="22">
        <f t="shared" si="0"/>
        <v>0</v>
      </c>
      <c r="L33" s="18">
        <f t="shared" si="1"/>
        <v>0</v>
      </c>
      <c r="M33" t="b">
        <v>0</v>
      </c>
      <c r="N33" s="2" t="s">
        <v>68</v>
      </c>
    </row>
    <row r="34" spans="1:16" x14ac:dyDescent="0.25">
      <c r="A34" s="4" t="s">
        <v>67</v>
      </c>
      <c r="C34" s="28">
        <v>10</v>
      </c>
      <c r="E34" s="20">
        <f>2.4/100</f>
        <v>2.4E-2</v>
      </c>
      <c r="F34" s="6">
        <v>0</v>
      </c>
      <c r="G34" s="22">
        <f>27/100</f>
        <v>0.27</v>
      </c>
      <c r="H34" s="18">
        <f>350/100</f>
        <v>3.5</v>
      </c>
      <c r="I34" s="20">
        <f>IF($M34=TRUE,E34*$C34,0)</f>
        <v>0.24</v>
      </c>
      <c r="J34" s="6">
        <f>IF($M34=TRUE,F34*$C34,0)</f>
        <v>0</v>
      </c>
      <c r="K34" s="22">
        <f>IF($M34=TRUE,G34*$C34,0)</f>
        <v>2.7</v>
      </c>
      <c r="L34" s="18">
        <f t="shared" si="1"/>
        <v>35</v>
      </c>
      <c r="M34" t="b">
        <v>1</v>
      </c>
      <c r="N34" s="2">
        <v>68.5</v>
      </c>
      <c r="P34">
        <v>1</v>
      </c>
    </row>
    <row r="35" spans="1:16" x14ac:dyDescent="0.25">
      <c r="N35" s="2">
        <v>67</v>
      </c>
      <c r="P35">
        <v>2.2046199999999998</v>
      </c>
    </row>
    <row r="37" spans="1:16" x14ac:dyDescent="0.25">
      <c r="L37" t="s">
        <v>65</v>
      </c>
    </row>
    <row r="39" spans="1:16" x14ac:dyDescent="0.25">
      <c r="I39" s="23">
        <f>SUM(I4:I38)</f>
        <v>184.101</v>
      </c>
      <c r="J39" s="15">
        <f>SUM(J4:J38)</f>
        <v>146.697</v>
      </c>
      <c r="K39" s="24">
        <f>SUM(K4:K38)</f>
        <v>43.457000000000001</v>
      </c>
      <c r="L39" s="4">
        <f>SUM(L4:L33)</f>
        <v>1701.5900000000004</v>
      </c>
    </row>
    <row r="40" spans="1:16" x14ac:dyDescent="0.25">
      <c r="I40" s="25">
        <f>1.25 * $P35 * $N35</f>
        <v>184.63692499999999</v>
      </c>
      <c r="J40" s="26">
        <f>1 * $P35 * $N35</f>
        <v>147.70953999999998</v>
      </c>
      <c r="K40" s="27">
        <f>0.27 * $P35 * $N35</f>
        <v>39.8815758</v>
      </c>
      <c r="L40">
        <f>11.43*P35* N34</f>
        <v>1726.1182520999998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Case à cocher 1">
              <controlPr defaultSize="0" autoFill="0" autoLine="0" autoPict="0">
                <anchor moveWithCells="1">
                  <from>
                    <xdr:col>1</xdr:col>
                    <xdr:colOff>161925</xdr:colOff>
                    <xdr:row>3</xdr:row>
                    <xdr:rowOff>19050</xdr:rowOff>
                  </from>
                  <to>
                    <xdr:col>1</xdr:col>
                    <xdr:colOff>342900</xdr:colOff>
                    <xdr:row>4</xdr:row>
                    <xdr:rowOff>19050</xdr:rowOff>
                  </to>
                </anchor>
              </controlPr>
            </control>
          </mc:Choice>
        </mc:AlternateContent>
        <mc:AlternateContent xmlns:mc="http://schemas.openxmlformats.org/markup-compatibility/2006">
          <mc:Choice Requires="x14">
            <control shapeId="20482" r:id="rId5" name="Case à cocher 2">
              <controlPr defaultSize="0" autoFill="0" autoLine="0" autoPict="0">
                <anchor moveWithCells="1">
                  <from>
                    <xdr:col>1</xdr:col>
                    <xdr:colOff>161925</xdr:colOff>
                    <xdr:row>4</xdr:row>
                    <xdr:rowOff>9525</xdr:rowOff>
                  </from>
                  <to>
                    <xdr:col>1</xdr:col>
                    <xdr:colOff>342900</xdr:colOff>
                    <xdr:row>5</xdr:row>
                    <xdr:rowOff>9525</xdr:rowOff>
                  </to>
                </anchor>
              </controlPr>
            </control>
          </mc:Choice>
        </mc:AlternateContent>
        <mc:AlternateContent xmlns:mc="http://schemas.openxmlformats.org/markup-compatibility/2006">
          <mc:Choice Requires="x14">
            <control shapeId="20483" r:id="rId6" name="Case à cocher 4">
              <controlPr defaultSize="0" autoFill="0" autoLine="0" autoPict="0">
                <anchor moveWithCells="1">
                  <from>
                    <xdr:col>1</xdr:col>
                    <xdr:colOff>161925</xdr:colOff>
                    <xdr:row>5</xdr:row>
                    <xdr:rowOff>19050</xdr:rowOff>
                  </from>
                  <to>
                    <xdr:col>1</xdr:col>
                    <xdr:colOff>342900</xdr:colOff>
                    <xdr:row>6</xdr:row>
                    <xdr:rowOff>19050</xdr:rowOff>
                  </to>
                </anchor>
              </controlPr>
            </control>
          </mc:Choice>
        </mc:AlternateContent>
        <mc:AlternateContent xmlns:mc="http://schemas.openxmlformats.org/markup-compatibility/2006">
          <mc:Choice Requires="x14">
            <control shapeId="20484" r:id="rId7" name="Case à cocher 5">
              <controlPr defaultSize="0" autoFill="0" autoLine="0" autoPict="0">
                <anchor moveWithCells="1">
                  <from>
                    <xdr:col>1</xdr:col>
                    <xdr:colOff>161925</xdr:colOff>
                    <xdr:row>7</xdr:row>
                    <xdr:rowOff>9525</xdr:rowOff>
                  </from>
                  <to>
                    <xdr:col>1</xdr:col>
                    <xdr:colOff>342900</xdr:colOff>
                    <xdr:row>8</xdr:row>
                    <xdr:rowOff>9525</xdr:rowOff>
                  </to>
                </anchor>
              </controlPr>
            </control>
          </mc:Choice>
        </mc:AlternateContent>
        <mc:AlternateContent xmlns:mc="http://schemas.openxmlformats.org/markup-compatibility/2006">
          <mc:Choice Requires="x14">
            <control shapeId="20485" r:id="rId8" name="Case à cocher 6">
              <controlPr defaultSize="0" autoFill="0" autoLine="0" autoPict="0">
                <anchor moveWithCells="1">
                  <from>
                    <xdr:col>1</xdr:col>
                    <xdr:colOff>161925</xdr:colOff>
                    <xdr:row>6</xdr:row>
                    <xdr:rowOff>19050</xdr:rowOff>
                  </from>
                  <to>
                    <xdr:col>1</xdr:col>
                    <xdr:colOff>342900</xdr:colOff>
                    <xdr:row>7</xdr:row>
                    <xdr:rowOff>19050</xdr:rowOff>
                  </to>
                </anchor>
              </controlPr>
            </control>
          </mc:Choice>
        </mc:AlternateContent>
        <mc:AlternateContent xmlns:mc="http://schemas.openxmlformats.org/markup-compatibility/2006">
          <mc:Choice Requires="x14">
            <control shapeId="20486" r:id="rId9" name="Case à cocher 7">
              <controlPr defaultSize="0" autoFill="0" autoLine="0" autoPict="0">
                <anchor moveWithCells="1">
                  <from>
                    <xdr:col>1</xdr:col>
                    <xdr:colOff>161925</xdr:colOff>
                    <xdr:row>8</xdr:row>
                    <xdr:rowOff>19050</xdr:rowOff>
                  </from>
                  <to>
                    <xdr:col>1</xdr:col>
                    <xdr:colOff>342900</xdr:colOff>
                    <xdr:row>9</xdr:row>
                    <xdr:rowOff>19050</xdr:rowOff>
                  </to>
                </anchor>
              </controlPr>
            </control>
          </mc:Choice>
        </mc:AlternateContent>
        <mc:AlternateContent xmlns:mc="http://schemas.openxmlformats.org/markup-compatibility/2006">
          <mc:Choice Requires="x14">
            <control shapeId="20487" r:id="rId10" name="Case à cocher 8">
              <controlPr defaultSize="0" autoFill="0" autoLine="0" autoPict="0">
                <anchor moveWithCells="1">
                  <from>
                    <xdr:col>1</xdr:col>
                    <xdr:colOff>161925</xdr:colOff>
                    <xdr:row>9</xdr:row>
                    <xdr:rowOff>9525</xdr:rowOff>
                  </from>
                  <to>
                    <xdr:col>1</xdr:col>
                    <xdr:colOff>342900</xdr:colOff>
                    <xdr:row>10</xdr:row>
                    <xdr:rowOff>9525</xdr:rowOff>
                  </to>
                </anchor>
              </controlPr>
            </control>
          </mc:Choice>
        </mc:AlternateContent>
        <mc:AlternateContent xmlns:mc="http://schemas.openxmlformats.org/markup-compatibility/2006">
          <mc:Choice Requires="x14">
            <control shapeId="20488" r:id="rId11" name="Case à cocher 9">
              <controlPr defaultSize="0" autoFill="0" autoLine="0" autoPict="0">
                <anchor moveWithCells="1">
                  <from>
                    <xdr:col>1</xdr:col>
                    <xdr:colOff>161925</xdr:colOff>
                    <xdr:row>10</xdr:row>
                    <xdr:rowOff>9525</xdr:rowOff>
                  </from>
                  <to>
                    <xdr:col>1</xdr:col>
                    <xdr:colOff>342900</xdr:colOff>
                    <xdr:row>11</xdr:row>
                    <xdr:rowOff>9525</xdr:rowOff>
                  </to>
                </anchor>
              </controlPr>
            </control>
          </mc:Choice>
        </mc:AlternateContent>
        <mc:AlternateContent xmlns:mc="http://schemas.openxmlformats.org/markup-compatibility/2006">
          <mc:Choice Requires="x14">
            <control shapeId="20489" r:id="rId12" name="Case à cocher 10">
              <controlPr defaultSize="0" autoFill="0" autoLine="0" autoPict="0">
                <anchor moveWithCells="1">
                  <from>
                    <xdr:col>1</xdr:col>
                    <xdr:colOff>161925</xdr:colOff>
                    <xdr:row>10</xdr:row>
                    <xdr:rowOff>171450</xdr:rowOff>
                  </from>
                  <to>
                    <xdr:col>1</xdr:col>
                    <xdr:colOff>342900</xdr:colOff>
                    <xdr:row>11</xdr:row>
                    <xdr:rowOff>171450</xdr:rowOff>
                  </to>
                </anchor>
              </controlPr>
            </control>
          </mc:Choice>
        </mc:AlternateContent>
        <mc:AlternateContent xmlns:mc="http://schemas.openxmlformats.org/markup-compatibility/2006">
          <mc:Choice Requires="x14">
            <control shapeId="20490" r:id="rId13" name="Case à cocher 11">
              <controlPr defaultSize="0" autoFill="0" autoLine="0" autoPict="0">
                <anchor moveWithCells="1">
                  <from>
                    <xdr:col>1</xdr:col>
                    <xdr:colOff>161925</xdr:colOff>
                    <xdr:row>11</xdr:row>
                    <xdr:rowOff>171450</xdr:rowOff>
                  </from>
                  <to>
                    <xdr:col>1</xdr:col>
                    <xdr:colOff>342900</xdr:colOff>
                    <xdr:row>12</xdr:row>
                    <xdr:rowOff>171450</xdr:rowOff>
                  </to>
                </anchor>
              </controlPr>
            </control>
          </mc:Choice>
        </mc:AlternateContent>
        <mc:AlternateContent xmlns:mc="http://schemas.openxmlformats.org/markup-compatibility/2006">
          <mc:Choice Requires="x14">
            <control shapeId="20491" r:id="rId14" name="Check Box 11">
              <controlPr defaultSize="0" autoFill="0" autoLine="0" autoPict="0">
                <anchor moveWithCells="1">
                  <from>
                    <xdr:col>1</xdr:col>
                    <xdr:colOff>161925</xdr:colOff>
                    <xdr:row>12</xdr:row>
                    <xdr:rowOff>171450</xdr:rowOff>
                  </from>
                  <to>
                    <xdr:col>1</xdr:col>
                    <xdr:colOff>342900</xdr:colOff>
                    <xdr:row>13</xdr:row>
                    <xdr:rowOff>171450</xdr:rowOff>
                  </to>
                </anchor>
              </controlPr>
            </control>
          </mc:Choice>
        </mc:AlternateContent>
        <mc:AlternateContent xmlns:mc="http://schemas.openxmlformats.org/markup-compatibility/2006">
          <mc:Choice Requires="x14">
            <control shapeId="20492" r:id="rId15" name="Check Box 13">
              <controlPr defaultSize="0" autoFill="0" autoLine="0" autoPict="0">
                <anchor moveWithCells="1">
                  <from>
                    <xdr:col>1</xdr:col>
                    <xdr:colOff>161925</xdr:colOff>
                    <xdr:row>13</xdr:row>
                    <xdr:rowOff>180975</xdr:rowOff>
                  </from>
                  <to>
                    <xdr:col>1</xdr:col>
                    <xdr:colOff>342900</xdr:colOff>
                    <xdr:row>15</xdr:row>
                    <xdr:rowOff>0</xdr:rowOff>
                  </to>
                </anchor>
              </controlPr>
            </control>
          </mc:Choice>
        </mc:AlternateContent>
        <mc:AlternateContent xmlns:mc="http://schemas.openxmlformats.org/markup-compatibility/2006">
          <mc:Choice Requires="x14">
            <control shapeId="20493" r:id="rId16" name="Check Box 14">
              <controlPr defaultSize="0" autoFill="0" autoLine="0" autoPict="0">
                <anchor moveWithCells="1">
                  <from>
                    <xdr:col>1</xdr:col>
                    <xdr:colOff>161925</xdr:colOff>
                    <xdr:row>14</xdr:row>
                    <xdr:rowOff>180975</xdr:rowOff>
                  </from>
                  <to>
                    <xdr:col>1</xdr:col>
                    <xdr:colOff>342900</xdr:colOff>
                    <xdr:row>16</xdr:row>
                    <xdr:rowOff>0</xdr:rowOff>
                  </to>
                </anchor>
              </controlPr>
            </control>
          </mc:Choice>
        </mc:AlternateContent>
        <mc:AlternateContent xmlns:mc="http://schemas.openxmlformats.org/markup-compatibility/2006">
          <mc:Choice Requires="x14">
            <control shapeId="20494" r:id="rId17" name="Check Box 15">
              <controlPr defaultSize="0" autoFill="0" autoLine="0" autoPict="0">
                <anchor moveWithCells="1">
                  <from>
                    <xdr:col>1</xdr:col>
                    <xdr:colOff>161925</xdr:colOff>
                    <xdr:row>16</xdr:row>
                    <xdr:rowOff>0</xdr:rowOff>
                  </from>
                  <to>
                    <xdr:col>1</xdr:col>
                    <xdr:colOff>342900</xdr:colOff>
                    <xdr:row>17</xdr:row>
                    <xdr:rowOff>0</xdr:rowOff>
                  </to>
                </anchor>
              </controlPr>
            </control>
          </mc:Choice>
        </mc:AlternateContent>
        <mc:AlternateContent xmlns:mc="http://schemas.openxmlformats.org/markup-compatibility/2006">
          <mc:Choice Requires="x14">
            <control shapeId="20495" r:id="rId18" name="Check Box 16">
              <controlPr defaultSize="0" autoFill="0" autoLine="0" autoPict="0">
                <anchor moveWithCells="1">
                  <from>
                    <xdr:col>1</xdr:col>
                    <xdr:colOff>161925</xdr:colOff>
                    <xdr:row>16</xdr:row>
                    <xdr:rowOff>180975</xdr:rowOff>
                  </from>
                  <to>
                    <xdr:col>1</xdr:col>
                    <xdr:colOff>342900</xdr:colOff>
                    <xdr:row>18</xdr:row>
                    <xdr:rowOff>0</xdr:rowOff>
                  </to>
                </anchor>
              </controlPr>
            </control>
          </mc:Choice>
        </mc:AlternateContent>
        <mc:AlternateContent xmlns:mc="http://schemas.openxmlformats.org/markup-compatibility/2006">
          <mc:Choice Requires="x14">
            <control shapeId="20496" r:id="rId19" name="Check Box 17">
              <controlPr defaultSize="0" autoFill="0" autoLine="0" autoPict="0">
                <anchor moveWithCells="1">
                  <from>
                    <xdr:col>1</xdr:col>
                    <xdr:colOff>161925</xdr:colOff>
                    <xdr:row>17</xdr:row>
                    <xdr:rowOff>180975</xdr:rowOff>
                  </from>
                  <to>
                    <xdr:col>1</xdr:col>
                    <xdr:colOff>342900</xdr:colOff>
                    <xdr:row>19</xdr:row>
                    <xdr:rowOff>0</xdr:rowOff>
                  </to>
                </anchor>
              </controlPr>
            </control>
          </mc:Choice>
        </mc:AlternateContent>
        <mc:AlternateContent xmlns:mc="http://schemas.openxmlformats.org/markup-compatibility/2006">
          <mc:Choice Requires="x14">
            <control shapeId="20497" r:id="rId20" name="Check Box 18">
              <controlPr defaultSize="0" autoFill="0" autoLine="0" autoPict="0">
                <anchor moveWithCells="1">
                  <from>
                    <xdr:col>1</xdr:col>
                    <xdr:colOff>161925</xdr:colOff>
                    <xdr:row>19</xdr:row>
                    <xdr:rowOff>0</xdr:rowOff>
                  </from>
                  <to>
                    <xdr:col>1</xdr:col>
                    <xdr:colOff>342900</xdr:colOff>
                    <xdr:row>20</xdr:row>
                    <xdr:rowOff>0</xdr:rowOff>
                  </to>
                </anchor>
              </controlPr>
            </control>
          </mc:Choice>
        </mc:AlternateContent>
        <mc:AlternateContent xmlns:mc="http://schemas.openxmlformats.org/markup-compatibility/2006">
          <mc:Choice Requires="x14">
            <control shapeId="20498" r:id="rId21" name="Check Box 19">
              <controlPr defaultSize="0" autoFill="0" autoLine="0" autoPict="0">
                <anchor moveWithCells="1">
                  <from>
                    <xdr:col>1</xdr:col>
                    <xdr:colOff>161925</xdr:colOff>
                    <xdr:row>20</xdr:row>
                    <xdr:rowOff>0</xdr:rowOff>
                  </from>
                  <to>
                    <xdr:col>1</xdr:col>
                    <xdr:colOff>342900</xdr:colOff>
                    <xdr:row>21</xdr:row>
                    <xdr:rowOff>0</xdr:rowOff>
                  </to>
                </anchor>
              </controlPr>
            </control>
          </mc:Choice>
        </mc:AlternateContent>
        <mc:AlternateContent xmlns:mc="http://schemas.openxmlformats.org/markup-compatibility/2006">
          <mc:Choice Requires="x14">
            <control shapeId="20499" r:id="rId22" name="Check Box 20">
              <controlPr defaultSize="0" autoFill="0" autoLine="0" autoPict="0">
                <anchor moveWithCells="1">
                  <from>
                    <xdr:col>1</xdr:col>
                    <xdr:colOff>161925</xdr:colOff>
                    <xdr:row>21</xdr:row>
                    <xdr:rowOff>9525</xdr:rowOff>
                  </from>
                  <to>
                    <xdr:col>1</xdr:col>
                    <xdr:colOff>342900</xdr:colOff>
                    <xdr:row>22</xdr:row>
                    <xdr:rowOff>9525</xdr:rowOff>
                  </to>
                </anchor>
              </controlPr>
            </control>
          </mc:Choice>
        </mc:AlternateContent>
        <mc:AlternateContent xmlns:mc="http://schemas.openxmlformats.org/markup-compatibility/2006">
          <mc:Choice Requires="x14">
            <control shapeId="20500" r:id="rId23" name="Check Box 21">
              <controlPr defaultSize="0" autoFill="0" autoLine="0" autoPict="0">
                <anchor moveWithCells="1">
                  <from>
                    <xdr:col>1</xdr:col>
                    <xdr:colOff>161925</xdr:colOff>
                    <xdr:row>22</xdr:row>
                    <xdr:rowOff>9525</xdr:rowOff>
                  </from>
                  <to>
                    <xdr:col>1</xdr:col>
                    <xdr:colOff>342900</xdr:colOff>
                    <xdr:row>23</xdr:row>
                    <xdr:rowOff>9525</xdr:rowOff>
                  </to>
                </anchor>
              </controlPr>
            </control>
          </mc:Choice>
        </mc:AlternateContent>
        <mc:AlternateContent xmlns:mc="http://schemas.openxmlformats.org/markup-compatibility/2006">
          <mc:Choice Requires="x14">
            <control shapeId="20501" r:id="rId24" name="Check Box 21">
              <controlPr defaultSize="0" autoFill="0" autoLine="0" autoPict="0">
                <anchor moveWithCells="1">
                  <from>
                    <xdr:col>1</xdr:col>
                    <xdr:colOff>161925</xdr:colOff>
                    <xdr:row>22</xdr:row>
                    <xdr:rowOff>180975</xdr:rowOff>
                  </from>
                  <to>
                    <xdr:col>1</xdr:col>
                    <xdr:colOff>342900</xdr:colOff>
                    <xdr:row>23</xdr:row>
                    <xdr:rowOff>180975</xdr:rowOff>
                  </to>
                </anchor>
              </controlPr>
            </control>
          </mc:Choice>
        </mc:AlternateContent>
        <mc:AlternateContent xmlns:mc="http://schemas.openxmlformats.org/markup-compatibility/2006">
          <mc:Choice Requires="x14">
            <control shapeId="20502" r:id="rId25" name="Check Box 22">
              <controlPr defaultSize="0" autoFill="0" autoLine="0" autoPict="0">
                <anchor moveWithCells="1">
                  <from>
                    <xdr:col>1</xdr:col>
                    <xdr:colOff>161925</xdr:colOff>
                    <xdr:row>24</xdr:row>
                    <xdr:rowOff>0</xdr:rowOff>
                  </from>
                  <to>
                    <xdr:col>1</xdr:col>
                    <xdr:colOff>342900</xdr:colOff>
                    <xdr:row>25</xdr:row>
                    <xdr:rowOff>0</xdr:rowOff>
                  </to>
                </anchor>
              </controlPr>
            </control>
          </mc:Choice>
        </mc:AlternateContent>
        <mc:AlternateContent xmlns:mc="http://schemas.openxmlformats.org/markup-compatibility/2006">
          <mc:Choice Requires="x14">
            <control shapeId="20503" r:id="rId26" name="Check Box 23">
              <controlPr defaultSize="0" autoFill="0" autoLine="0" autoPict="0">
                <anchor moveWithCells="1">
                  <from>
                    <xdr:col>1</xdr:col>
                    <xdr:colOff>161925</xdr:colOff>
                    <xdr:row>25</xdr:row>
                    <xdr:rowOff>171450</xdr:rowOff>
                  </from>
                  <to>
                    <xdr:col>1</xdr:col>
                    <xdr:colOff>342900</xdr:colOff>
                    <xdr:row>26</xdr:row>
                    <xdr:rowOff>171450</xdr:rowOff>
                  </to>
                </anchor>
              </controlPr>
            </control>
          </mc:Choice>
        </mc:AlternateContent>
        <mc:AlternateContent xmlns:mc="http://schemas.openxmlformats.org/markup-compatibility/2006">
          <mc:Choice Requires="x14">
            <control shapeId="20504" r:id="rId27" name="Check Box 24">
              <controlPr defaultSize="0" autoFill="0" autoLine="0" autoPict="0">
                <anchor moveWithCells="1">
                  <from>
                    <xdr:col>1</xdr:col>
                    <xdr:colOff>161925</xdr:colOff>
                    <xdr:row>26</xdr:row>
                    <xdr:rowOff>180975</xdr:rowOff>
                  </from>
                  <to>
                    <xdr:col>1</xdr:col>
                    <xdr:colOff>342900</xdr:colOff>
                    <xdr:row>27</xdr:row>
                    <xdr:rowOff>180975</xdr:rowOff>
                  </to>
                </anchor>
              </controlPr>
            </control>
          </mc:Choice>
        </mc:AlternateContent>
        <mc:AlternateContent xmlns:mc="http://schemas.openxmlformats.org/markup-compatibility/2006">
          <mc:Choice Requires="x14">
            <control shapeId="20505" r:id="rId28" name="Check Box 25">
              <controlPr defaultSize="0" autoFill="0" autoLine="0" autoPict="0">
                <anchor moveWithCells="1">
                  <from>
                    <xdr:col>1</xdr:col>
                    <xdr:colOff>161925</xdr:colOff>
                    <xdr:row>28</xdr:row>
                    <xdr:rowOff>9525</xdr:rowOff>
                  </from>
                  <to>
                    <xdr:col>1</xdr:col>
                    <xdr:colOff>342900</xdr:colOff>
                    <xdr:row>29</xdr:row>
                    <xdr:rowOff>9525</xdr:rowOff>
                  </to>
                </anchor>
              </controlPr>
            </control>
          </mc:Choice>
        </mc:AlternateContent>
        <mc:AlternateContent xmlns:mc="http://schemas.openxmlformats.org/markup-compatibility/2006">
          <mc:Choice Requires="x14">
            <control shapeId="20506" r:id="rId29" name="Check Box 26">
              <controlPr defaultSize="0" autoFill="0" autoLine="0" autoPict="0">
                <anchor moveWithCells="1">
                  <from>
                    <xdr:col>1</xdr:col>
                    <xdr:colOff>161925</xdr:colOff>
                    <xdr:row>29</xdr:row>
                    <xdr:rowOff>0</xdr:rowOff>
                  </from>
                  <to>
                    <xdr:col>1</xdr:col>
                    <xdr:colOff>342900</xdr:colOff>
                    <xdr:row>30</xdr:row>
                    <xdr:rowOff>0</xdr:rowOff>
                  </to>
                </anchor>
              </controlPr>
            </control>
          </mc:Choice>
        </mc:AlternateContent>
        <mc:AlternateContent xmlns:mc="http://schemas.openxmlformats.org/markup-compatibility/2006">
          <mc:Choice Requires="x14">
            <control shapeId="20507" r:id="rId30" name="Check Box 27">
              <controlPr defaultSize="0" autoFill="0" autoLine="0" autoPict="0">
                <anchor moveWithCells="1">
                  <from>
                    <xdr:col>1</xdr:col>
                    <xdr:colOff>161925</xdr:colOff>
                    <xdr:row>30</xdr:row>
                    <xdr:rowOff>0</xdr:rowOff>
                  </from>
                  <to>
                    <xdr:col>1</xdr:col>
                    <xdr:colOff>342900</xdr:colOff>
                    <xdr:row>31</xdr:row>
                    <xdr:rowOff>0</xdr:rowOff>
                  </to>
                </anchor>
              </controlPr>
            </control>
          </mc:Choice>
        </mc:AlternateContent>
        <mc:AlternateContent xmlns:mc="http://schemas.openxmlformats.org/markup-compatibility/2006">
          <mc:Choice Requires="x14">
            <control shapeId="20508" r:id="rId31" name="Check Box 28">
              <controlPr defaultSize="0" autoFill="0" autoLine="0" autoPict="0">
                <anchor moveWithCells="1">
                  <from>
                    <xdr:col>1</xdr:col>
                    <xdr:colOff>161925</xdr:colOff>
                    <xdr:row>31</xdr:row>
                    <xdr:rowOff>0</xdr:rowOff>
                  </from>
                  <to>
                    <xdr:col>1</xdr:col>
                    <xdr:colOff>342900</xdr:colOff>
                    <xdr:row>32</xdr:row>
                    <xdr:rowOff>0</xdr:rowOff>
                  </to>
                </anchor>
              </controlPr>
            </control>
          </mc:Choice>
        </mc:AlternateContent>
        <mc:AlternateContent xmlns:mc="http://schemas.openxmlformats.org/markup-compatibility/2006">
          <mc:Choice Requires="x14">
            <control shapeId="20509" r:id="rId32" name="Check Box 29">
              <controlPr defaultSize="0" autoFill="0" autoLine="0" autoPict="0">
                <anchor moveWithCells="1">
                  <from>
                    <xdr:col>1</xdr:col>
                    <xdr:colOff>152400</xdr:colOff>
                    <xdr:row>31</xdr:row>
                    <xdr:rowOff>171450</xdr:rowOff>
                  </from>
                  <to>
                    <xdr:col>1</xdr:col>
                    <xdr:colOff>333375</xdr:colOff>
                    <xdr:row>32</xdr:row>
                    <xdr:rowOff>171450</xdr:rowOff>
                  </to>
                </anchor>
              </controlPr>
            </control>
          </mc:Choice>
        </mc:AlternateContent>
        <mc:AlternateContent xmlns:mc="http://schemas.openxmlformats.org/markup-compatibility/2006">
          <mc:Choice Requires="x14">
            <control shapeId="20510" r:id="rId33" name="Check Box 30">
              <controlPr defaultSize="0" autoFill="0" autoLine="0" autoPict="0">
                <anchor moveWithCells="1">
                  <from>
                    <xdr:col>1</xdr:col>
                    <xdr:colOff>142875</xdr:colOff>
                    <xdr:row>33</xdr:row>
                    <xdr:rowOff>0</xdr:rowOff>
                  </from>
                  <to>
                    <xdr:col>1</xdr:col>
                    <xdr:colOff>323850</xdr:colOff>
                    <xdr:row>34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dimension ref="A3:P40"/>
  <sheetViews>
    <sheetView zoomScale="85" zoomScaleNormal="85" workbookViewId="0">
      <selection activeCell="C32" sqref="C32"/>
    </sheetView>
  </sheetViews>
  <sheetFormatPr defaultColWidth="11.42578125" defaultRowHeight="15" x14ac:dyDescent="0.25"/>
  <cols>
    <col min="1" max="1" width="18.5703125" customWidth="1"/>
    <col min="2" max="2" width="5.85546875" customWidth="1"/>
    <col min="3" max="3" width="11.42578125" style="2"/>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3" x14ac:dyDescent="0.25">
      <c r="C3" s="3" t="s">
        <v>1</v>
      </c>
      <c r="D3" s="3" t="s">
        <v>24</v>
      </c>
      <c r="E3" s="19" t="s">
        <v>16</v>
      </c>
      <c r="F3" s="16" t="s">
        <v>15</v>
      </c>
      <c r="G3" s="21" t="s">
        <v>14</v>
      </c>
      <c r="H3" s="17" t="s">
        <v>0</v>
      </c>
      <c r="I3" s="19" t="s">
        <v>29</v>
      </c>
      <c r="J3" s="16" t="s">
        <v>30</v>
      </c>
      <c r="K3" s="21" t="s">
        <v>14</v>
      </c>
      <c r="L3" s="17" t="s">
        <v>31</v>
      </c>
    </row>
    <row r="4" spans="1:13" x14ac:dyDescent="0.25">
      <c r="A4" t="s">
        <v>2</v>
      </c>
      <c r="C4" s="28">
        <v>5</v>
      </c>
      <c r="E4" s="20">
        <f>10/100</f>
        <v>0.1</v>
      </c>
      <c r="F4" s="6">
        <f>1.6/100</f>
        <v>1.6E-2</v>
      </c>
      <c r="G4" s="22">
        <f>11/100</f>
        <v>0.11</v>
      </c>
      <c r="H4" s="18">
        <f>148/100</f>
        <v>1.48</v>
      </c>
      <c r="I4" s="20">
        <f t="shared" ref="I4:K33" si="0">IF($M4=TRUE,E4*$C4,0)</f>
        <v>0</v>
      </c>
      <c r="J4" s="6">
        <f t="shared" si="0"/>
        <v>0</v>
      </c>
      <c r="K4" s="22">
        <f t="shared" si="0"/>
        <v>0</v>
      </c>
      <c r="L4" s="18">
        <f t="shared" ref="L4:L34" si="1">IF($M4=TRUE, H4*C4,0)</f>
        <v>0</v>
      </c>
      <c r="M4" t="b">
        <v>0</v>
      </c>
    </row>
    <row r="5" spans="1:13" x14ac:dyDescent="0.25">
      <c r="A5" t="s">
        <v>3</v>
      </c>
      <c r="C5" s="28">
        <v>52</v>
      </c>
      <c r="E5" s="20">
        <f>12/100</f>
        <v>0.12</v>
      </c>
      <c r="F5" s="6">
        <f>60/100</f>
        <v>0.6</v>
      </c>
      <c r="G5" s="22">
        <f>7.1/100</f>
        <v>7.0999999999999994E-2</v>
      </c>
      <c r="H5" s="18">
        <f>371/100</f>
        <v>3.71</v>
      </c>
      <c r="I5" s="20">
        <f t="shared" si="0"/>
        <v>6.24</v>
      </c>
      <c r="J5" s="6">
        <f t="shared" si="0"/>
        <v>31.2</v>
      </c>
      <c r="K5" s="22">
        <f t="shared" si="0"/>
        <v>3.6919999999999997</v>
      </c>
      <c r="L5" s="18">
        <f t="shared" si="1"/>
        <v>192.92</v>
      </c>
      <c r="M5" t="b">
        <v>1</v>
      </c>
    </row>
    <row r="6" spans="1:13" x14ac:dyDescent="0.25">
      <c r="A6" t="s">
        <v>4</v>
      </c>
      <c r="C6" s="28">
        <v>1</v>
      </c>
      <c r="E6" s="20">
        <v>10.1</v>
      </c>
      <c r="F6" s="6">
        <v>34.1</v>
      </c>
      <c r="G6" s="22">
        <v>10.1</v>
      </c>
      <c r="H6" s="18">
        <v>400</v>
      </c>
      <c r="I6" s="20">
        <f t="shared" si="0"/>
        <v>0</v>
      </c>
      <c r="J6" s="6">
        <f t="shared" si="0"/>
        <v>0</v>
      </c>
      <c r="K6" s="22">
        <f t="shared" si="0"/>
        <v>0</v>
      </c>
      <c r="L6" s="18">
        <f t="shared" si="1"/>
        <v>0</v>
      </c>
      <c r="M6" t="b">
        <v>0</v>
      </c>
    </row>
    <row r="7" spans="1:13" x14ac:dyDescent="0.25">
      <c r="A7" t="s">
        <v>5</v>
      </c>
      <c r="C7" s="28">
        <f>135+150</f>
        <v>285</v>
      </c>
      <c r="E7" s="20">
        <f>20.7/100</f>
        <v>0.20699999999999999</v>
      </c>
      <c r="F7" s="6">
        <f>2.2/100</f>
        <v>2.2000000000000002E-2</v>
      </c>
      <c r="G7" s="22">
        <f>0.9/100</f>
        <v>9.0000000000000011E-3</v>
      </c>
      <c r="H7" s="18">
        <f>94/100</f>
        <v>0.94</v>
      </c>
      <c r="I7" s="20">
        <f t="shared" si="0"/>
        <v>58.994999999999997</v>
      </c>
      <c r="J7" s="6">
        <f t="shared" si="0"/>
        <v>6.2700000000000005</v>
      </c>
      <c r="K7" s="22">
        <f t="shared" si="0"/>
        <v>2.5650000000000004</v>
      </c>
      <c r="L7" s="18">
        <f t="shared" si="1"/>
        <v>267.89999999999998</v>
      </c>
      <c r="M7" t="b">
        <v>1</v>
      </c>
    </row>
    <row r="8" spans="1:13" x14ac:dyDescent="0.25">
      <c r="A8" t="s">
        <v>6</v>
      </c>
      <c r="C8" s="28">
        <v>253</v>
      </c>
      <c r="E8" s="20">
        <f>20/100</f>
        <v>0.2</v>
      </c>
      <c r="F8" s="6">
        <f>0.2/100</f>
        <v>2E-3</v>
      </c>
      <c r="G8" s="22">
        <f>5/100</f>
        <v>0.05</v>
      </c>
      <c r="H8" s="18">
        <f>126/100</f>
        <v>1.26</v>
      </c>
      <c r="I8" s="20">
        <f t="shared" si="0"/>
        <v>0</v>
      </c>
      <c r="J8" s="6">
        <f t="shared" si="0"/>
        <v>0</v>
      </c>
      <c r="K8" s="22">
        <f t="shared" si="0"/>
        <v>0</v>
      </c>
      <c r="L8" s="18">
        <f t="shared" si="1"/>
        <v>0</v>
      </c>
      <c r="M8" t="b">
        <v>0</v>
      </c>
    </row>
    <row r="9" spans="1:13" x14ac:dyDescent="0.25">
      <c r="A9" t="s">
        <v>7</v>
      </c>
      <c r="C9" s="28">
        <v>50</v>
      </c>
      <c r="E9" s="20">
        <f>12.68/100</f>
        <v>0.1268</v>
      </c>
      <c r="F9" s="6">
        <f>72.83/100</f>
        <v>0.72829999999999995</v>
      </c>
      <c r="G9" s="22">
        <f>1.05/100</f>
        <v>1.0500000000000001E-2</v>
      </c>
      <c r="H9" s="18">
        <f>360/100</f>
        <v>3.6</v>
      </c>
      <c r="I9" s="20">
        <f t="shared" si="0"/>
        <v>0</v>
      </c>
      <c r="J9" s="6">
        <f t="shared" si="0"/>
        <v>0</v>
      </c>
      <c r="K9" s="22">
        <f t="shared" si="0"/>
        <v>0</v>
      </c>
      <c r="L9" s="18">
        <f t="shared" si="1"/>
        <v>0</v>
      </c>
      <c r="M9" t="b">
        <v>0</v>
      </c>
    </row>
    <row r="10" spans="1:13" x14ac:dyDescent="0.25">
      <c r="A10" t="s">
        <v>8</v>
      </c>
      <c r="C10" s="28">
        <v>39</v>
      </c>
      <c r="E10" s="20">
        <f>8.8/100</f>
        <v>8.8000000000000009E-2</v>
      </c>
      <c r="F10" s="6">
        <f>72/100</f>
        <v>0.72</v>
      </c>
      <c r="G10" s="22">
        <f>2.2/100</f>
        <v>2.2000000000000002E-2</v>
      </c>
      <c r="H10" s="18">
        <f>343/100</f>
        <v>3.43</v>
      </c>
      <c r="I10" s="20">
        <f t="shared" si="0"/>
        <v>0</v>
      </c>
      <c r="J10" s="6">
        <f t="shared" si="0"/>
        <v>0</v>
      </c>
      <c r="K10" s="22">
        <f t="shared" si="0"/>
        <v>0</v>
      </c>
      <c r="L10" s="18">
        <f t="shared" si="1"/>
        <v>0</v>
      </c>
      <c r="M10" t="b">
        <v>0</v>
      </c>
    </row>
    <row r="11" spans="1:13" x14ac:dyDescent="0.25">
      <c r="A11" t="s">
        <v>9</v>
      </c>
      <c r="C11" s="28">
        <f>150+150</f>
        <v>300</v>
      </c>
      <c r="E11" s="20">
        <f>1.5/100</f>
        <v>1.4999999999999999E-2</v>
      </c>
      <c r="F11" s="6">
        <f>20/100</f>
        <v>0.2</v>
      </c>
      <c r="G11" s="22">
        <v>0</v>
      </c>
      <c r="H11" s="18">
        <f>90/100</f>
        <v>0.9</v>
      </c>
      <c r="I11" s="20">
        <f t="shared" si="0"/>
        <v>4.5</v>
      </c>
      <c r="J11" s="6">
        <f t="shared" si="0"/>
        <v>60</v>
      </c>
      <c r="K11" s="22">
        <f t="shared" si="0"/>
        <v>0</v>
      </c>
      <c r="L11" s="18">
        <f t="shared" si="1"/>
        <v>270</v>
      </c>
      <c r="M11" t="b">
        <v>1</v>
      </c>
    </row>
    <row r="12" spans="1:13" x14ac:dyDescent="0.25">
      <c r="A12" t="s">
        <v>10</v>
      </c>
      <c r="C12" s="28">
        <v>69</v>
      </c>
      <c r="E12" s="20">
        <f>1.6/100</f>
        <v>1.6E-2</v>
      </c>
      <c r="F12" s="6">
        <f>11/100</f>
        <v>0.11</v>
      </c>
      <c r="G12" s="22">
        <f>0.3/100</f>
        <v>3.0000000000000001E-3</v>
      </c>
      <c r="H12" s="18">
        <f>53/100</f>
        <v>0.53</v>
      </c>
      <c r="I12" s="20">
        <f t="shared" si="0"/>
        <v>0</v>
      </c>
      <c r="J12" s="6">
        <f t="shared" si="0"/>
        <v>0</v>
      </c>
      <c r="K12" s="22">
        <f t="shared" si="0"/>
        <v>0</v>
      </c>
      <c r="L12" s="18">
        <f t="shared" si="1"/>
        <v>0</v>
      </c>
      <c r="M12" t="b">
        <v>0</v>
      </c>
    </row>
    <row r="13" spans="1:13" x14ac:dyDescent="0.25">
      <c r="A13" t="s">
        <v>11</v>
      </c>
      <c r="C13" s="28">
        <v>219</v>
      </c>
      <c r="E13" s="20">
        <f>1/100</f>
        <v>0.01</v>
      </c>
      <c r="F13" s="6">
        <f>9/100</f>
        <v>0.09</v>
      </c>
      <c r="G13" s="22">
        <f>0.2/100</f>
        <v>2E-3</v>
      </c>
      <c r="H13" s="18">
        <f>45/100</f>
        <v>0.45</v>
      </c>
      <c r="I13" s="20">
        <f t="shared" si="0"/>
        <v>2.19</v>
      </c>
      <c r="J13" s="6">
        <f t="shared" si="0"/>
        <v>19.71</v>
      </c>
      <c r="K13" s="22">
        <f t="shared" si="0"/>
        <v>0.438</v>
      </c>
      <c r="L13" s="18">
        <f t="shared" si="1"/>
        <v>98.55</v>
      </c>
      <c r="M13" t="b">
        <v>1</v>
      </c>
    </row>
    <row r="14" spans="1:13" x14ac:dyDescent="0.25">
      <c r="A14" t="s">
        <v>12</v>
      </c>
      <c r="C14" s="28">
        <v>130</v>
      </c>
      <c r="E14" s="20">
        <f>11/100</f>
        <v>0.11</v>
      </c>
      <c r="F14" s="6">
        <f>54/100</f>
        <v>0.54</v>
      </c>
      <c r="G14" s="22">
        <f>3.3/100</f>
        <v>3.3000000000000002E-2</v>
      </c>
      <c r="H14" s="18">
        <f>293/100</f>
        <v>2.93</v>
      </c>
      <c r="I14" s="20">
        <f t="shared" si="0"/>
        <v>0</v>
      </c>
      <c r="J14" s="6">
        <f t="shared" si="0"/>
        <v>0</v>
      </c>
      <c r="K14" s="22">
        <f t="shared" si="0"/>
        <v>0</v>
      </c>
      <c r="L14" s="18">
        <f t="shared" si="1"/>
        <v>0</v>
      </c>
      <c r="M14" t="b">
        <v>0</v>
      </c>
    </row>
    <row r="15" spans="1:13" x14ac:dyDescent="0.25">
      <c r="A15" t="s">
        <v>13</v>
      </c>
      <c r="C15" s="29">
        <v>1</v>
      </c>
      <c r="E15" s="20">
        <v>20</v>
      </c>
      <c r="F15" s="6">
        <v>1</v>
      </c>
      <c r="G15" s="22">
        <v>1</v>
      </c>
      <c r="H15" s="18">
        <v>93</v>
      </c>
      <c r="I15" s="20">
        <f t="shared" si="0"/>
        <v>20</v>
      </c>
      <c r="J15" s="6">
        <f t="shared" si="0"/>
        <v>1</v>
      </c>
      <c r="K15" s="22">
        <f t="shared" si="0"/>
        <v>1</v>
      </c>
      <c r="L15" s="18">
        <f t="shared" si="1"/>
        <v>93</v>
      </c>
      <c r="M15" t="b">
        <v>1</v>
      </c>
    </row>
    <row r="16" spans="1:13" x14ac:dyDescent="0.25">
      <c r="A16" t="s">
        <v>17</v>
      </c>
      <c r="C16" s="28">
        <v>24</v>
      </c>
      <c r="D16" s="2" t="s">
        <v>23</v>
      </c>
      <c r="E16" s="20">
        <f>3/100</f>
        <v>0.03</v>
      </c>
      <c r="F16" s="6">
        <f>11/100</f>
        <v>0.11</v>
      </c>
      <c r="G16" s="22">
        <f>1.5/100</f>
        <v>1.4999999999999999E-2</v>
      </c>
      <c r="H16" s="18">
        <f>74/100</f>
        <v>0.74</v>
      </c>
      <c r="I16" s="20">
        <f t="shared" si="0"/>
        <v>0</v>
      </c>
      <c r="J16" s="6">
        <f t="shared" si="0"/>
        <v>0</v>
      </c>
      <c r="K16" s="22">
        <f t="shared" si="0"/>
        <v>0</v>
      </c>
      <c r="L16" s="18">
        <f t="shared" si="1"/>
        <v>0</v>
      </c>
      <c r="M16" t="b">
        <v>0</v>
      </c>
    </row>
    <row r="17" spans="1:13" x14ac:dyDescent="0.25">
      <c r="A17" t="s">
        <v>18</v>
      </c>
      <c r="C17" s="28">
        <f>248</f>
        <v>248</v>
      </c>
      <c r="E17" s="20">
        <f>3.2/100</f>
        <v>3.2000000000000001E-2</v>
      </c>
      <c r="F17" s="6">
        <f>4.8/100</f>
        <v>4.8000000000000001E-2</v>
      </c>
      <c r="G17" s="22">
        <f>1.6/100</f>
        <v>1.6E-2</v>
      </c>
      <c r="H17" s="18">
        <f>46/100</f>
        <v>0.46</v>
      </c>
      <c r="I17" s="20">
        <f t="shared" si="0"/>
        <v>7.9359999999999999</v>
      </c>
      <c r="J17" s="6">
        <f t="shared" si="0"/>
        <v>11.904</v>
      </c>
      <c r="K17" s="22">
        <f t="shared" si="0"/>
        <v>3.968</v>
      </c>
      <c r="L17" s="18">
        <f t="shared" si="1"/>
        <v>114.08</v>
      </c>
      <c r="M17" t="b">
        <v>1</v>
      </c>
    </row>
    <row r="18" spans="1:13" x14ac:dyDescent="0.25">
      <c r="A18" t="s">
        <v>19</v>
      </c>
      <c r="C18" s="28">
        <v>137</v>
      </c>
      <c r="D18" s="2" t="s">
        <v>25</v>
      </c>
      <c r="E18" s="20">
        <f>2/100</f>
        <v>0.02</v>
      </c>
      <c r="F18" s="6">
        <f>17/100</f>
        <v>0.17</v>
      </c>
      <c r="G18" s="22">
        <f>0.1/100</f>
        <v>1E-3</v>
      </c>
      <c r="H18" s="18">
        <f>77/100</f>
        <v>0.77</v>
      </c>
      <c r="I18" s="20">
        <f t="shared" si="0"/>
        <v>0</v>
      </c>
      <c r="J18" s="6">
        <f t="shared" si="0"/>
        <v>0</v>
      </c>
      <c r="K18" s="22">
        <f t="shared" si="0"/>
        <v>0</v>
      </c>
      <c r="L18" s="18">
        <f t="shared" si="1"/>
        <v>0</v>
      </c>
      <c r="M18" t="b">
        <v>0</v>
      </c>
    </row>
    <row r="19" spans="1:13" x14ac:dyDescent="0.25">
      <c r="A19" t="s">
        <v>20</v>
      </c>
      <c r="C19" s="28">
        <f>100</f>
        <v>100</v>
      </c>
      <c r="E19" s="20">
        <f>25/100</f>
        <v>0.25</v>
      </c>
      <c r="F19" s="6">
        <v>0</v>
      </c>
      <c r="G19" s="22">
        <f>1/100</f>
        <v>0.01</v>
      </c>
      <c r="H19" s="18">
        <f>109/100</f>
        <v>1.0900000000000001</v>
      </c>
      <c r="I19" s="20">
        <f t="shared" si="0"/>
        <v>0</v>
      </c>
      <c r="J19" s="6">
        <f t="shared" si="0"/>
        <v>0</v>
      </c>
      <c r="K19" s="22">
        <f t="shared" si="0"/>
        <v>0</v>
      </c>
      <c r="L19" s="18">
        <f t="shared" si="1"/>
        <v>0</v>
      </c>
      <c r="M19" t="b">
        <v>0</v>
      </c>
    </row>
    <row r="20" spans="1:13" x14ac:dyDescent="0.25">
      <c r="A20" t="s">
        <v>21</v>
      </c>
      <c r="C20" s="28">
        <v>240</v>
      </c>
      <c r="D20" s="2" t="s">
        <v>22</v>
      </c>
      <c r="E20" s="20">
        <f>2.3/100</f>
        <v>2.3E-2</v>
      </c>
      <c r="F20" s="6">
        <f>7.2/100</f>
        <v>7.2000000000000008E-2</v>
      </c>
      <c r="G20" s="22">
        <f>0.5/100</f>
        <v>5.0000000000000001E-3</v>
      </c>
      <c r="H20" s="18">
        <f>44/100</f>
        <v>0.44</v>
      </c>
      <c r="I20" s="20">
        <f t="shared" si="0"/>
        <v>5.52</v>
      </c>
      <c r="J20" s="6">
        <f t="shared" si="0"/>
        <v>17.28</v>
      </c>
      <c r="K20" s="22">
        <f t="shared" si="0"/>
        <v>1.2</v>
      </c>
      <c r="L20" s="18">
        <f t="shared" si="1"/>
        <v>105.6</v>
      </c>
      <c r="M20" t="b">
        <v>1</v>
      </c>
    </row>
    <row r="21" spans="1:13" x14ac:dyDescent="0.25">
      <c r="A21" t="s">
        <v>26</v>
      </c>
      <c r="C21" s="28"/>
      <c r="E21" s="20">
        <v>0</v>
      </c>
      <c r="F21" s="6">
        <v>0</v>
      </c>
      <c r="G21" s="22">
        <v>0</v>
      </c>
      <c r="H21" s="18">
        <f>275/100</f>
        <v>2.75</v>
      </c>
      <c r="I21" s="20">
        <f t="shared" si="0"/>
        <v>0</v>
      </c>
      <c r="J21" s="6">
        <f t="shared" si="0"/>
        <v>0</v>
      </c>
      <c r="K21" s="22">
        <f t="shared" si="0"/>
        <v>0</v>
      </c>
      <c r="L21" s="18">
        <f t="shared" si="1"/>
        <v>0</v>
      </c>
      <c r="M21" t="b">
        <v>0</v>
      </c>
    </row>
    <row r="22" spans="1:13" x14ac:dyDescent="0.25">
      <c r="A22" t="s">
        <v>32</v>
      </c>
      <c r="C22" s="28">
        <v>6</v>
      </c>
      <c r="E22" s="20">
        <f>22/100</f>
        <v>0.22</v>
      </c>
      <c r="F22" s="6">
        <f>6.9/100</f>
        <v>6.9000000000000006E-2</v>
      </c>
      <c r="G22" s="22">
        <f>54/100</f>
        <v>0.54</v>
      </c>
      <c r="H22" s="18">
        <f>620/100</f>
        <v>6.2</v>
      </c>
      <c r="I22" s="20">
        <f t="shared" si="0"/>
        <v>1.32</v>
      </c>
      <c r="J22" s="6">
        <f t="shared" si="0"/>
        <v>0.41400000000000003</v>
      </c>
      <c r="K22" s="22">
        <f t="shared" si="0"/>
        <v>3.24</v>
      </c>
      <c r="L22" s="18">
        <f t="shared" si="1"/>
        <v>37.200000000000003</v>
      </c>
      <c r="M22" t="b">
        <v>1</v>
      </c>
    </row>
    <row r="23" spans="1:13" x14ac:dyDescent="0.25">
      <c r="A23" t="s">
        <v>33</v>
      </c>
      <c r="C23" s="28">
        <v>143</v>
      </c>
      <c r="E23" s="20">
        <v>3.6</v>
      </c>
      <c r="F23" s="6">
        <v>0.2</v>
      </c>
      <c r="G23" s="22">
        <v>0.1</v>
      </c>
      <c r="H23" s="18">
        <f>17</f>
        <v>17</v>
      </c>
      <c r="I23" s="20">
        <f t="shared" si="0"/>
        <v>0</v>
      </c>
      <c r="J23" s="6">
        <f t="shared" si="0"/>
        <v>0</v>
      </c>
      <c r="K23" s="22">
        <f t="shared" si="0"/>
        <v>0</v>
      </c>
      <c r="L23" s="18">
        <f t="shared" si="1"/>
        <v>0</v>
      </c>
      <c r="M23" t="b">
        <v>0</v>
      </c>
    </row>
    <row r="24" spans="1:13" x14ac:dyDescent="0.25">
      <c r="A24" t="s">
        <v>34</v>
      </c>
      <c r="C24" s="28">
        <v>50</v>
      </c>
      <c r="E24" s="20">
        <f>7.4/100</f>
        <v>7.400000000000001E-2</v>
      </c>
      <c r="F24" s="6">
        <f>78.7/100</f>
        <v>0.78700000000000003</v>
      </c>
      <c r="G24" s="22">
        <f>0.7/100</f>
        <v>6.9999999999999993E-3</v>
      </c>
      <c r="H24" s="18">
        <f>351/100</f>
        <v>3.51</v>
      </c>
      <c r="I24" s="20">
        <f t="shared" si="0"/>
        <v>0</v>
      </c>
      <c r="J24" s="6">
        <f t="shared" si="0"/>
        <v>0</v>
      </c>
      <c r="K24" s="22">
        <f t="shared" si="0"/>
        <v>0</v>
      </c>
      <c r="L24" s="18">
        <f t="shared" si="1"/>
        <v>0</v>
      </c>
      <c r="M24" t="b">
        <v>0</v>
      </c>
    </row>
    <row r="25" spans="1:13" x14ac:dyDescent="0.25">
      <c r="A25" s="4" t="s">
        <v>33</v>
      </c>
      <c r="C25" s="28">
        <f>165</f>
        <v>165</v>
      </c>
      <c r="E25" s="20">
        <f>11/100</f>
        <v>0.11</v>
      </c>
      <c r="F25" s="6">
        <f>0.7/100</f>
        <v>6.9999999999999993E-3</v>
      </c>
      <c r="G25" s="22">
        <f>0.2/100</f>
        <v>2E-3</v>
      </c>
      <c r="H25" s="18">
        <f>52/100</f>
        <v>0.52</v>
      </c>
      <c r="I25" s="20">
        <f t="shared" si="0"/>
        <v>18.149999999999999</v>
      </c>
      <c r="J25" s="6">
        <f t="shared" si="0"/>
        <v>1.1549999999999998</v>
      </c>
      <c r="K25" s="22">
        <f t="shared" si="0"/>
        <v>0.33</v>
      </c>
      <c r="L25" s="18">
        <f t="shared" si="1"/>
        <v>85.8</v>
      </c>
      <c r="M25" t="b">
        <v>1</v>
      </c>
    </row>
    <row r="26" spans="1:13" x14ac:dyDescent="0.25">
      <c r="A26" t="s">
        <v>55</v>
      </c>
      <c r="C26" s="28"/>
      <c r="E26" s="20">
        <f>19/100</f>
        <v>0.19</v>
      </c>
      <c r="F26" s="6">
        <f>61/100</f>
        <v>0.61</v>
      </c>
      <c r="G26" s="22">
        <f>6/100</f>
        <v>0.06</v>
      </c>
      <c r="H26" s="18">
        <f>364/100</f>
        <v>3.64</v>
      </c>
      <c r="I26" s="20">
        <f t="shared" si="0"/>
        <v>0</v>
      </c>
      <c r="J26" s="6">
        <f t="shared" si="0"/>
        <v>0</v>
      </c>
      <c r="K26" s="22">
        <f t="shared" si="0"/>
        <v>0</v>
      </c>
      <c r="L26" s="18">
        <f t="shared" si="1"/>
        <v>0</v>
      </c>
      <c r="M26" t="b">
        <v>0</v>
      </c>
    </row>
    <row r="27" spans="1:13" x14ac:dyDescent="0.25">
      <c r="A27" t="s">
        <v>57</v>
      </c>
      <c r="C27" s="29">
        <v>130</v>
      </c>
      <c r="E27" s="20">
        <f>19/100</f>
        <v>0.19</v>
      </c>
      <c r="F27" s="6">
        <v>0</v>
      </c>
      <c r="G27" s="22">
        <f>12/100</f>
        <v>0.12</v>
      </c>
      <c r="H27" s="18">
        <f>184/100</f>
        <v>1.84</v>
      </c>
      <c r="I27" s="20">
        <f t="shared" si="0"/>
        <v>0</v>
      </c>
      <c r="J27" s="6">
        <f t="shared" si="0"/>
        <v>0</v>
      </c>
      <c r="K27" s="22">
        <f t="shared" si="0"/>
        <v>0</v>
      </c>
      <c r="L27" s="18">
        <f t="shared" si="1"/>
        <v>0</v>
      </c>
      <c r="M27" t="b">
        <v>0</v>
      </c>
    </row>
    <row r="28" spans="1:13" x14ac:dyDescent="0.25">
      <c r="A28" t="s">
        <v>58</v>
      </c>
      <c r="C28" s="28">
        <v>288</v>
      </c>
      <c r="E28" s="20">
        <f>1.6/100</f>
        <v>1.6E-2</v>
      </c>
      <c r="F28" s="6">
        <f>20/100</f>
        <v>0.2</v>
      </c>
      <c r="G28" s="22">
        <f>0.1/100</f>
        <v>1E-3</v>
      </c>
      <c r="H28" s="18">
        <f>86/100</f>
        <v>0.86</v>
      </c>
      <c r="I28" s="20">
        <f t="shared" si="0"/>
        <v>0</v>
      </c>
      <c r="J28" s="6">
        <f t="shared" si="0"/>
        <v>0</v>
      </c>
      <c r="K28" s="22">
        <f t="shared" si="0"/>
        <v>0</v>
      </c>
      <c r="L28" s="18">
        <f t="shared" si="1"/>
        <v>0</v>
      </c>
      <c r="M28" t="b">
        <v>0</v>
      </c>
    </row>
    <row r="29" spans="1:13" x14ac:dyDescent="0.25">
      <c r="A29" t="s">
        <v>59</v>
      </c>
      <c r="C29" s="28">
        <v>360</v>
      </c>
      <c r="E29" s="20">
        <f>20/100</f>
        <v>0.2</v>
      </c>
      <c r="F29" s="6">
        <v>0</v>
      </c>
      <c r="G29" s="22">
        <f>5/100</f>
        <v>0.05</v>
      </c>
      <c r="H29" s="18">
        <f>121/100</f>
        <v>1.21</v>
      </c>
      <c r="I29" s="20">
        <f t="shared" si="0"/>
        <v>72</v>
      </c>
      <c r="J29" s="6">
        <f t="shared" si="0"/>
        <v>0</v>
      </c>
      <c r="K29" s="22">
        <f t="shared" si="0"/>
        <v>18</v>
      </c>
      <c r="L29" s="18">
        <f t="shared" si="1"/>
        <v>435.59999999999997</v>
      </c>
      <c r="M29" t="b">
        <v>1</v>
      </c>
    </row>
    <row r="30" spans="1:13" x14ac:dyDescent="0.25">
      <c r="A30" t="s">
        <v>60</v>
      </c>
      <c r="C30" s="28">
        <v>66</v>
      </c>
      <c r="E30" s="20">
        <f>7.5/100</f>
        <v>7.4999999999999997E-2</v>
      </c>
      <c r="F30" s="6">
        <f>78/100</f>
        <v>0.78</v>
      </c>
      <c r="G30" s="22">
        <f>0.6/100</f>
        <v>6.0000000000000001E-3</v>
      </c>
      <c r="H30" s="18">
        <f>347/100</f>
        <v>3.47</v>
      </c>
      <c r="I30" s="20">
        <f t="shared" si="0"/>
        <v>0</v>
      </c>
      <c r="J30" s="6">
        <f t="shared" si="0"/>
        <v>0</v>
      </c>
      <c r="K30" s="22">
        <f t="shared" si="0"/>
        <v>0</v>
      </c>
      <c r="L30" s="18">
        <f t="shared" si="1"/>
        <v>0</v>
      </c>
      <c r="M30" t="b">
        <v>0</v>
      </c>
    </row>
    <row r="31" spans="1:13" x14ac:dyDescent="0.25">
      <c r="A31" t="s">
        <v>63</v>
      </c>
      <c r="C31" s="28">
        <v>23</v>
      </c>
      <c r="E31" s="20">
        <f>1.4/100</f>
        <v>1.3999999999999999E-2</v>
      </c>
      <c r="F31" s="6">
        <f>9/100</f>
        <v>0.09</v>
      </c>
      <c r="G31" s="22">
        <f>0.2/100</f>
        <v>2E-3</v>
      </c>
      <c r="H31" s="18">
        <f>43/100</f>
        <v>0.43</v>
      </c>
      <c r="I31" s="20">
        <f t="shared" si="0"/>
        <v>0</v>
      </c>
      <c r="J31" s="6">
        <f t="shared" si="0"/>
        <v>0</v>
      </c>
      <c r="K31" s="22">
        <f t="shared" si="0"/>
        <v>0</v>
      </c>
      <c r="L31" s="18">
        <f t="shared" si="1"/>
        <v>0</v>
      </c>
      <c r="M31" t="b">
        <v>0</v>
      </c>
    </row>
    <row r="32" spans="1:13" x14ac:dyDescent="0.25">
      <c r="A32" t="s">
        <v>64</v>
      </c>
      <c r="C32" s="28">
        <v>10</v>
      </c>
      <c r="E32" s="20">
        <f>4.1/100</f>
        <v>4.0999999999999995E-2</v>
      </c>
      <c r="F32" s="6">
        <f>6.6/100</f>
        <v>6.6000000000000003E-2</v>
      </c>
      <c r="G32" s="22">
        <f>5/100</f>
        <v>0.05</v>
      </c>
      <c r="H32" s="18">
        <f>84/100</f>
        <v>0.84</v>
      </c>
      <c r="I32" s="20">
        <f t="shared" si="0"/>
        <v>0</v>
      </c>
      <c r="J32" s="6">
        <f t="shared" si="0"/>
        <v>0</v>
      </c>
      <c r="K32" s="22">
        <f t="shared" si="0"/>
        <v>0</v>
      </c>
      <c r="L32" s="18">
        <f t="shared" si="1"/>
        <v>0</v>
      </c>
      <c r="M32" t="b">
        <v>0</v>
      </c>
    </row>
    <row r="33" spans="1:16" x14ac:dyDescent="0.25">
      <c r="A33" t="s">
        <v>66</v>
      </c>
      <c r="C33" s="28">
        <v>70</v>
      </c>
      <c r="E33" s="20">
        <f>14.1/100</f>
        <v>0.14099999999999999</v>
      </c>
      <c r="F33" s="6">
        <f>68.9/100</f>
        <v>0.68900000000000006</v>
      </c>
      <c r="G33" s="22">
        <f>5.8/100</f>
        <v>5.7999999999999996E-2</v>
      </c>
      <c r="H33" s="18">
        <f>380/100</f>
        <v>3.8</v>
      </c>
      <c r="I33" s="20">
        <f t="shared" si="0"/>
        <v>0</v>
      </c>
      <c r="J33" s="6">
        <f t="shared" si="0"/>
        <v>0</v>
      </c>
      <c r="K33" s="22">
        <f t="shared" si="0"/>
        <v>0</v>
      </c>
      <c r="L33" s="18">
        <f t="shared" si="1"/>
        <v>0</v>
      </c>
      <c r="M33" t="b">
        <v>0</v>
      </c>
      <c r="N33" s="2" t="s">
        <v>68</v>
      </c>
    </row>
    <row r="34" spans="1:16" x14ac:dyDescent="0.25">
      <c r="A34" s="4" t="s">
        <v>67</v>
      </c>
      <c r="C34" s="28">
        <v>22</v>
      </c>
      <c r="E34" s="20">
        <f>2.4/100</f>
        <v>2.4E-2</v>
      </c>
      <c r="F34" s="6">
        <v>0</v>
      </c>
      <c r="G34" s="22">
        <f>27/100</f>
        <v>0.27</v>
      </c>
      <c r="H34" s="18">
        <f>350/100</f>
        <v>3.5</v>
      </c>
      <c r="I34" s="20">
        <f>IF($M34=TRUE,E34*$C34,0)</f>
        <v>0.52800000000000002</v>
      </c>
      <c r="J34" s="6">
        <f>IF($M34=TRUE,F34*$C34,0)</f>
        <v>0</v>
      </c>
      <c r="K34" s="22">
        <f>IF($M34=TRUE,G34*$C34,0)</f>
        <v>5.94</v>
      </c>
      <c r="L34" s="18">
        <f t="shared" si="1"/>
        <v>77</v>
      </c>
      <c r="M34" t="b">
        <v>1</v>
      </c>
      <c r="N34" s="2">
        <v>68.5</v>
      </c>
      <c r="P34">
        <v>1</v>
      </c>
    </row>
    <row r="35" spans="1:16" x14ac:dyDescent="0.25">
      <c r="N35" s="2">
        <v>67</v>
      </c>
      <c r="P35">
        <v>2.2046199999999998</v>
      </c>
    </row>
    <row r="37" spans="1:16" x14ac:dyDescent="0.25">
      <c r="L37" t="s">
        <v>65</v>
      </c>
    </row>
    <row r="39" spans="1:16" x14ac:dyDescent="0.25">
      <c r="I39" s="23">
        <f>SUM(I4:I38)</f>
        <v>197.37899999999996</v>
      </c>
      <c r="J39" s="15">
        <f>SUM(J4:J38)</f>
        <v>148.93299999999999</v>
      </c>
      <c r="K39" s="24">
        <f>SUM(K4:K38)</f>
        <v>40.372999999999998</v>
      </c>
      <c r="L39" s="4">
        <f>SUM(L4:L33)</f>
        <v>1700.6499999999996</v>
      </c>
    </row>
    <row r="40" spans="1:16" x14ac:dyDescent="0.25">
      <c r="I40" s="25">
        <f>1.25 * $P35 * $N35</f>
        <v>184.63692499999999</v>
      </c>
      <c r="J40" s="26">
        <f>1 * $P35 * $N35</f>
        <v>147.70953999999998</v>
      </c>
      <c r="K40" s="27">
        <f>0.27 * $P35 * $N35</f>
        <v>39.8815758</v>
      </c>
      <c r="L40">
        <f>11.43*P35* N34</f>
        <v>1726.1182520999998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ase à cocher 1">
              <controlPr defaultSize="0" autoFill="0" autoLine="0" autoPict="0">
                <anchor moveWithCells="1">
                  <from>
                    <xdr:col>1</xdr:col>
                    <xdr:colOff>161925</xdr:colOff>
                    <xdr:row>3</xdr:row>
                    <xdr:rowOff>19050</xdr:rowOff>
                  </from>
                  <to>
                    <xdr:col>1</xdr:col>
                    <xdr:colOff>342900</xdr:colOff>
                    <xdr:row>4</xdr:row>
                    <xdr:rowOff>19050</xdr:rowOff>
                  </to>
                </anchor>
              </controlPr>
            </control>
          </mc:Choice>
        </mc:AlternateContent>
        <mc:AlternateContent xmlns:mc="http://schemas.openxmlformats.org/markup-compatibility/2006">
          <mc:Choice Requires="x14">
            <control shapeId="22530" r:id="rId5" name="Case à cocher 2">
              <controlPr defaultSize="0" autoFill="0" autoLine="0" autoPict="0">
                <anchor moveWithCells="1">
                  <from>
                    <xdr:col>1</xdr:col>
                    <xdr:colOff>161925</xdr:colOff>
                    <xdr:row>4</xdr:row>
                    <xdr:rowOff>9525</xdr:rowOff>
                  </from>
                  <to>
                    <xdr:col>1</xdr:col>
                    <xdr:colOff>342900</xdr:colOff>
                    <xdr:row>5</xdr:row>
                    <xdr:rowOff>9525</xdr:rowOff>
                  </to>
                </anchor>
              </controlPr>
            </control>
          </mc:Choice>
        </mc:AlternateContent>
        <mc:AlternateContent xmlns:mc="http://schemas.openxmlformats.org/markup-compatibility/2006">
          <mc:Choice Requires="x14">
            <control shapeId="22531" r:id="rId6" name="Case à cocher 4">
              <controlPr defaultSize="0" autoFill="0" autoLine="0" autoPict="0">
                <anchor moveWithCells="1">
                  <from>
                    <xdr:col>1</xdr:col>
                    <xdr:colOff>161925</xdr:colOff>
                    <xdr:row>5</xdr:row>
                    <xdr:rowOff>19050</xdr:rowOff>
                  </from>
                  <to>
                    <xdr:col>1</xdr:col>
                    <xdr:colOff>342900</xdr:colOff>
                    <xdr:row>6</xdr:row>
                    <xdr:rowOff>19050</xdr:rowOff>
                  </to>
                </anchor>
              </controlPr>
            </control>
          </mc:Choice>
        </mc:AlternateContent>
        <mc:AlternateContent xmlns:mc="http://schemas.openxmlformats.org/markup-compatibility/2006">
          <mc:Choice Requires="x14">
            <control shapeId="22532" r:id="rId7" name="Case à cocher 5">
              <controlPr defaultSize="0" autoFill="0" autoLine="0" autoPict="0">
                <anchor moveWithCells="1">
                  <from>
                    <xdr:col>1</xdr:col>
                    <xdr:colOff>161925</xdr:colOff>
                    <xdr:row>7</xdr:row>
                    <xdr:rowOff>9525</xdr:rowOff>
                  </from>
                  <to>
                    <xdr:col>1</xdr:col>
                    <xdr:colOff>342900</xdr:colOff>
                    <xdr:row>8</xdr:row>
                    <xdr:rowOff>9525</xdr:rowOff>
                  </to>
                </anchor>
              </controlPr>
            </control>
          </mc:Choice>
        </mc:AlternateContent>
        <mc:AlternateContent xmlns:mc="http://schemas.openxmlformats.org/markup-compatibility/2006">
          <mc:Choice Requires="x14">
            <control shapeId="22533" r:id="rId8" name="Case à cocher 6">
              <controlPr defaultSize="0" autoFill="0" autoLine="0" autoPict="0">
                <anchor moveWithCells="1">
                  <from>
                    <xdr:col>1</xdr:col>
                    <xdr:colOff>161925</xdr:colOff>
                    <xdr:row>6</xdr:row>
                    <xdr:rowOff>19050</xdr:rowOff>
                  </from>
                  <to>
                    <xdr:col>1</xdr:col>
                    <xdr:colOff>342900</xdr:colOff>
                    <xdr:row>7</xdr:row>
                    <xdr:rowOff>19050</xdr:rowOff>
                  </to>
                </anchor>
              </controlPr>
            </control>
          </mc:Choice>
        </mc:AlternateContent>
        <mc:AlternateContent xmlns:mc="http://schemas.openxmlformats.org/markup-compatibility/2006">
          <mc:Choice Requires="x14">
            <control shapeId="22534" r:id="rId9" name="Case à cocher 7">
              <controlPr defaultSize="0" autoFill="0" autoLine="0" autoPict="0">
                <anchor moveWithCells="1">
                  <from>
                    <xdr:col>1</xdr:col>
                    <xdr:colOff>161925</xdr:colOff>
                    <xdr:row>8</xdr:row>
                    <xdr:rowOff>19050</xdr:rowOff>
                  </from>
                  <to>
                    <xdr:col>1</xdr:col>
                    <xdr:colOff>342900</xdr:colOff>
                    <xdr:row>9</xdr:row>
                    <xdr:rowOff>19050</xdr:rowOff>
                  </to>
                </anchor>
              </controlPr>
            </control>
          </mc:Choice>
        </mc:AlternateContent>
        <mc:AlternateContent xmlns:mc="http://schemas.openxmlformats.org/markup-compatibility/2006">
          <mc:Choice Requires="x14">
            <control shapeId="22535" r:id="rId10" name="Case à cocher 8">
              <controlPr defaultSize="0" autoFill="0" autoLine="0" autoPict="0">
                <anchor moveWithCells="1">
                  <from>
                    <xdr:col>1</xdr:col>
                    <xdr:colOff>161925</xdr:colOff>
                    <xdr:row>9</xdr:row>
                    <xdr:rowOff>9525</xdr:rowOff>
                  </from>
                  <to>
                    <xdr:col>1</xdr:col>
                    <xdr:colOff>342900</xdr:colOff>
                    <xdr:row>10</xdr:row>
                    <xdr:rowOff>9525</xdr:rowOff>
                  </to>
                </anchor>
              </controlPr>
            </control>
          </mc:Choice>
        </mc:AlternateContent>
        <mc:AlternateContent xmlns:mc="http://schemas.openxmlformats.org/markup-compatibility/2006">
          <mc:Choice Requires="x14">
            <control shapeId="22536" r:id="rId11" name="Case à cocher 9">
              <controlPr defaultSize="0" autoFill="0" autoLine="0" autoPict="0">
                <anchor moveWithCells="1">
                  <from>
                    <xdr:col>1</xdr:col>
                    <xdr:colOff>161925</xdr:colOff>
                    <xdr:row>10</xdr:row>
                    <xdr:rowOff>9525</xdr:rowOff>
                  </from>
                  <to>
                    <xdr:col>1</xdr:col>
                    <xdr:colOff>342900</xdr:colOff>
                    <xdr:row>11</xdr:row>
                    <xdr:rowOff>9525</xdr:rowOff>
                  </to>
                </anchor>
              </controlPr>
            </control>
          </mc:Choice>
        </mc:AlternateContent>
        <mc:AlternateContent xmlns:mc="http://schemas.openxmlformats.org/markup-compatibility/2006">
          <mc:Choice Requires="x14">
            <control shapeId="22537" r:id="rId12" name="Case à cocher 10">
              <controlPr defaultSize="0" autoFill="0" autoLine="0" autoPict="0">
                <anchor moveWithCells="1">
                  <from>
                    <xdr:col>1</xdr:col>
                    <xdr:colOff>161925</xdr:colOff>
                    <xdr:row>10</xdr:row>
                    <xdr:rowOff>171450</xdr:rowOff>
                  </from>
                  <to>
                    <xdr:col>1</xdr:col>
                    <xdr:colOff>342900</xdr:colOff>
                    <xdr:row>11</xdr:row>
                    <xdr:rowOff>171450</xdr:rowOff>
                  </to>
                </anchor>
              </controlPr>
            </control>
          </mc:Choice>
        </mc:AlternateContent>
        <mc:AlternateContent xmlns:mc="http://schemas.openxmlformats.org/markup-compatibility/2006">
          <mc:Choice Requires="x14">
            <control shapeId="22538" r:id="rId13" name="Case à cocher 11">
              <controlPr defaultSize="0" autoFill="0" autoLine="0" autoPict="0">
                <anchor moveWithCells="1">
                  <from>
                    <xdr:col>1</xdr:col>
                    <xdr:colOff>161925</xdr:colOff>
                    <xdr:row>11</xdr:row>
                    <xdr:rowOff>171450</xdr:rowOff>
                  </from>
                  <to>
                    <xdr:col>1</xdr:col>
                    <xdr:colOff>342900</xdr:colOff>
                    <xdr:row>12</xdr:row>
                    <xdr:rowOff>171450</xdr:rowOff>
                  </to>
                </anchor>
              </controlPr>
            </control>
          </mc:Choice>
        </mc:AlternateContent>
        <mc:AlternateContent xmlns:mc="http://schemas.openxmlformats.org/markup-compatibility/2006">
          <mc:Choice Requires="x14">
            <control shapeId="22539" r:id="rId14" name="Check Box 11">
              <controlPr defaultSize="0" autoFill="0" autoLine="0" autoPict="0">
                <anchor moveWithCells="1">
                  <from>
                    <xdr:col>1</xdr:col>
                    <xdr:colOff>161925</xdr:colOff>
                    <xdr:row>12</xdr:row>
                    <xdr:rowOff>171450</xdr:rowOff>
                  </from>
                  <to>
                    <xdr:col>1</xdr:col>
                    <xdr:colOff>342900</xdr:colOff>
                    <xdr:row>13</xdr:row>
                    <xdr:rowOff>171450</xdr:rowOff>
                  </to>
                </anchor>
              </controlPr>
            </control>
          </mc:Choice>
        </mc:AlternateContent>
        <mc:AlternateContent xmlns:mc="http://schemas.openxmlformats.org/markup-compatibility/2006">
          <mc:Choice Requires="x14">
            <control shapeId="22540" r:id="rId15" name="Check Box 13">
              <controlPr defaultSize="0" autoFill="0" autoLine="0" autoPict="0">
                <anchor moveWithCells="1">
                  <from>
                    <xdr:col>1</xdr:col>
                    <xdr:colOff>161925</xdr:colOff>
                    <xdr:row>13</xdr:row>
                    <xdr:rowOff>180975</xdr:rowOff>
                  </from>
                  <to>
                    <xdr:col>1</xdr:col>
                    <xdr:colOff>342900</xdr:colOff>
                    <xdr:row>15</xdr:row>
                    <xdr:rowOff>0</xdr:rowOff>
                  </to>
                </anchor>
              </controlPr>
            </control>
          </mc:Choice>
        </mc:AlternateContent>
        <mc:AlternateContent xmlns:mc="http://schemas.openxmlformats.org/markup-compatibility/2006">
          <mc:Choice Requires="x14">
            <control shapeId="22541" r:id="rId16" name="Check Box 14">
              <controlPr defaultSize="0" autoFill="0" autoLine="0" autoPict="0">
                <anchor moveWithCells="1">
                  <from>
                    <xdr:col>1</xdr:col>
                    <xdr:colOff>161925</xdr:colOff>
                    <xdr:row>14</xdr:row>
                    <xdr:rowOff>180975</xdr:rowOff>
                  </from>
                  <to>
                    <xdr:col>1</xdr:col>
                    <xdr:colOff>342900</xdr:colOff>
                    <xdr:row>16</xdr:row>
                    <xdr:rowOff>0</xdr:rowOff>
                  </to>
                </anchor>
              </controlPr>
            </control>
          </mc:Choice>
        </mc:AlternateContent>
        <mc:AlternateContent xmlns:mc="http://schemas.openxmlformats.org/markup-compatibility/2006">
          <mc:Choice Requires="x14">
            <control shapeId="22542" r:id="rId17" name="Check Box 15">
              <controlPr defaultSize="0" autoFill="0" autoLine="0" autoPict="0">
                <anchor moveWithCells="1">
                  <from>
                    <xdr:col>1</xdr:col>
                    <xdr:colOff>161925</xdr:colOff>
                    <xdr:row>16</xdr:row>
                    <xdr:rowOff>0</xdr:rowOff>
                  </from>
                  <to>
                    <xdr:col>1</xdr:col>
                    <xdr:colOff>342900</xdr:colOff>
                    <xdr:row>17</xdr:row>
                    <xdr:rowOff>0</xdr:rowOff>
                  </to>
                </anchor>
              </controlPr>
            </control>
          </mc:Choice>
        </mc:AlternateContent>
        <mc:AlternateContent xmlns:mc="http://schemas.openxmlformats.org/markup-compatibility/2006">
          <mc:Choice Requires="x14">
            <control shapeId="22543" r:id="rId18" name="Check Box 16">
              <controlPr defaultSize="0" autoFill="0" autoLine="0" autoPict="0">
                <anchor moveWithCells="1">
                  <from>
                    <xdr:col>1</xdr:col>
                    <xdr:colOff>161925</xdr:colOff>
                    <xdr:row>16</xdr:row>
                    <xdr:rowOff>180975</xdr:rowOff>
                  </from>
                  <to>
                    <xdr:col>1</xdr:col>
                    <xdr:colOff>342900</xdr:colOff>
                    <xdr:row>18</xdr:row>
                    <xdr:rowOff>0</xdr:rowOff>
                  </to>
                </anchor>
              </controlPr>
            </control>
          </mc:Choice>
        </mc:AlternateContent>
        <mc:AlternateContent xmlns:mc="http://schemas.openxmlformats.org/markup-compatibility/2006">
          <mc:Choice Requires="x14">
            <control shapeId="22544" r:id="rId19" name="Check Box 17">
              <controlPr defaultSize="0" autoFill="0" autoLine="0" autoPict="0">
                <anchor moveWithCells="1">
                  <from>
                    <xdr:col>1</xdr:col>
                    <xdr:colOff>161925</xdr:colOff>
                    <xdr:row>17</xdr:row>
                    <xdr:rowOff>180975</xdr:rowOff>
                  </from>
                  <to>
                    <xdr:col>1</xdr:col>
                    <xdr:colOff>342900</xdr:colOff>
                    <xdr:row>19</xdr:row>
                    <xdr:rowOff>0</xdr:rowOff>
                  </to>
                </anchor>
              </controlPr>
            </control>
          </mc:Choice>
        </mc:AlternateContent>
        <mc:AlternateContent xmlns:mc="http://schemas.openxmlformats.org/markup-compatibility/2006">
          <mc:Choice Requires="x14">
            <control shapeId="22545" r:id="rId20" name="Check Box 18">
              <controlPr defaultSize="0" autoFill="0" autoLine="0" autoPict="0">
                <anchor moveWithCells="1">
                  <from>
                    <xdr:col>1</xdr:col>
                    <xdr:colOff>161925</xdr:colOff>
                    <xdr:row>19</xdr:row>
                    <xdr:rowOff>0</xdr:rowOff>
                  </from>
                  <to>
                    <xdr:col>1</xdr:col>
                    <xdr:colOff>342900</xdr:colOff>
                    <xdr:row>20</xdr:row>
                    <xdr:rowOff>0</xdr:rowOff>
                  </to>
                </anchor>
              </controlPr>
            </control>
          </mc:Choice>
        </mc:AlternateContent>
        <mc:AlternateContent xmlns:mc="http://schemas.openxmlformats.org/markup-compatibility/2006">
          <mc:Choice Requires="x14">
            <control shapeId="22546" r:id="rId21" name="Check Box 19">
              <controlPr defaultSize="0" autoFill="0" autoLine="0" autoPict="0">
                <anchor moveWithCells="1">
                  <from>
                    <xdr:col>1</xdr:col>
                    <xdr:colOff>161925</xdr:colOff>
                    <xdr:row>20</xdr:row>
                    <xdr:rowOff>0</xdr:rowOff>
                  </from>
                  <to>
                    <xdr:col>1</xdr:col>
                    <xdr:colOff>342900</xdr:colOff>
                    <xdr:row>21</xdr:row>
                    <xdr:rowOff>0</xdr:rowOff>
                  </to>
                </anchor>
              </controlPr>
            </control>
          </mc:Choice>
        </mc:AlternateContent>
        <mc:AlternateContent xmlns:mc="http://schemas.openxmlformats.org/markup-compatibility/2006">
          <mc:Choice Requires="x14">
            <control shapeId="22547" r:id="rId22" name="Check Box 20">
              <controlPr defaultSize="0" autoFill="0" autoLine="0" autoPict="0">
                <anchor moveWithCells="1">
                  <from>
                    <xdr:col>1</xdr:col>
                    <xdr:colOff>161925</xdr:colOff>
                    <xdr:row>21</xdr:row>
                    <xdr:rowOff>9525</xdr:rowOff>
                  </from>
                  <to>
                    <xdr:col>1</xdr:col>
                    <xdr:colOff>342900</xdr:colOff>
                    <xdr:row>22</xdr:row>
                    <xdr:rowOff>9525</xdr:rowOff>
                  </to>
                </anchor>
              </controlPr>
            </control>
          </mc:Choice>
        </mc:AlternateContent>
        <mc:AlternateContent xmlns:mc="http://schemas.openxmlformats.org/markup-compatibility/2006">
          <mc:Choice Requires="x14">
            <control shapeId="22548" r:id="rId23" name="Check Box 21">
              <controlPr defaultSize="0" autoFill="0" autoLine="0" autoPict="0">
                <anchor moveWithCells="1">
                  <from>
                    <xdr:col>1</xdr:col>
                    <xdr:colOff>161925</xdr:colOff>
                    <xdr:row>22</xdr:row>
                    <xdr:rowOff>9525</xdr:rowOff>
                  </from>
                  <to>
                    <xdr:col>1</xdr:col>
                    <xdr:colOff>342900</xdr:colOff>
                    <xdr:row>23</xdr:row>
                    <xdr:rowOff>9525</xdr:rowOff>
                  </to>
                </anchor>
              </controlPr>
            </control>
          </mc:Choice>
        </mc:AlternateContent>
        <mc:AlternateContent xmlns:mc="http://schemas.openxmlformats.org/markup-compatibility/2006">
          <mc:Choice Requires="x14">
            <control shapeId="22549" r:id="rId24" name="Check Box 21">
              <controlPr defaultSize="0" autoFill="0" autoLine="0" autoPict="0">
                <anchor moveWithCells="1">
                  <from>
                    <xdr:col>1</xdr:col>
                    <xdr:colOff>161925</xdr:colOff>
                    <xdr:row>22</xdr:row>
                    <xdr:rowOff>180975</xdr:rowOff>
                  </from>
                  <to>
                    <xdr:col>1</xdr:col>
                    <xdr:colOff>342900</xdr:colOff>
                    <xdr:row>23</xdr:row>
                    <xdr:rowOff>180975</xdr:rowOff>
                  </to>
                </anchor>
              </controlPr>
            </control>
          </mc:Choice>
        </mc:AlternateContent>
        <mc:AlternateContent xmlns:mc="http://schemas.openxmlformats.org/markup-compatibility/2006">
          <mc:Choice Requires="x14">
            <control shapeId="22550" r:id="rId25" name="Check Box 22">
              <controlPr defaultSize="0" autoFill="0" autoLine="0" autoPict="0">
                <anchor moveWithCells="1">
                  <from>
                    <xdr:col>1</xdr:col>
                    <xdr:colOff>161925</xdr:colOff>
                    <xdr:row>24</xdr:row>
                    <xdr:rowOff>0</xdr:rowOff>
                  </from>
                  <to>
                    <xdr:col>1</xdr:col>
                    <xdr:colOff>342900</xdr:colOff>
                    <xdr:row>25</xdr:row>
                    <xdr:rowOff>0</xdr:rowOff>
                  </to>
                </anchor>
              </controlPr>
            </control>
          </mc:Choice>
        </mc:AlternateContent>
        <mc:AlternateContent xmlns:mc="http://schemas.openxmlformats.org/markup-compatibility/2006">
          <mc:Choice Requires="x14">
            <control shapeId="22551" r:id="rId26" name="Check Box 23">
              <controlPr defaultSize="0" autoFill="0" autoLine="0" autoPict="0">
                <anchor moveWithCells="1">
                  <from>
                    <xdr:col>1</xdr:col>
                    <xdr:colOff>161925</xdr:colOff>
                    <xdr:row>25</xdr:row>
                    <xdr:rowOff>171450</xdr:rowOff>
                  </from>
                  <to>
                    <xdr:col>1</xdr:col>
                    <xdr:colOff>342900</xdr:colOff>
                    <xdr:row>26</xdr:row>
                    <xdr:rowOff>171450</xdr:rowOff>
                  </to>
                </anchor>
              </controlPr>
            </control>
          </mc:Choice>
        </mc:AlternateContent>
        <mc:AlternateContent xmlns:mc="http://schemas.openxmlformats.org/markup-compatibility/2006">
          <mc:Choice Requires="x14">
            <control shapeId="22552" r:id="rId27" name="Check Box 24">
              <controlPr defaultSize="0" autoFill="0" autoLine="0" autoPict="0">
                <anchor moveWithCells="1">
                  <from>
                    <xdr:col>1</xdr:col>
                    <xdr:colOff>161925</xdr:colOff>
                    <xdr:row>26</xdr:row>
                    <xdr:rowOff>180975</xdr:rowOff>
                  </from>
                  <to>
                    <xdr:col>1</xdr:col>
                    <xdr:colOff>342900</xdr:colOff>
                    <xdr:row>27</xdr:row>
                    <xdr:rowOff>180975</xdr:rowOff>
                  </to>
                </anchor>
              </controlPr>
            </control>
          </mc:Choice>
        </mc:AlternateContent>
        <mc:AlternateContent xmlns:mc="http://schemas.openxmlformats.org/markup-compatibility/2006">
          <mc:Choice Requires="x14">
            <control shapeId="22553" r:id="rId28" name="Check Box 25">
              <controlPr defaultSize="0" autoFill="0" autoLine="0" autoPict="0">
                <anchor moveWithCells="1">
                  <from>
                    <xdr:col>1</xdr:col>
                    <xdr:colOff>161925</xdr:colOff>
                    <xdr:row>28</xdr:row>
                    <xdr:rowOff>9525</xdr:rowOff>
                  </from>
                  <to>
                    <xdr:col>1</xdr:col>
                    <xdr:colOff>342900</xdr:colOff>
                    <xdr:row>29</xdr:row>
                    <xdr:rowOff>9525</xdr:rowOff>
                  </to>
                </anchor>
              </controlPr>
            </control>
          </mc:Choice>
        </mc:AlternateContent>
        <mc:AlternateContent xmlns:mc="http://schemas.openxmlformats.org/markup-compatibility/2006">
          <mc:Choice Requires="x14">
            <control shapeId="22554" r:id="rId29" name="Check Box 26">
              <controlPr defaultSize="0" autoFill="0" autoLine="0" autoPict="0">
                <anchor moveWithCells="1">
                  <from>
                    <xdr:col>1</xdr:col>
                    <xdr:colOff>161925</xdr:colOff>
                    <xdr:row>29</xdr:row>
                    <xdr:rowOff>0</xdr:rowOff>
                  </from>
                  <to>
                    <xdr:col>1</xdr:col>
                    <xdr:colOff>342900</xdr:colOff>
                    <xdr:row>30</xdr:row>
                    <xdr:rowOff>0</xdr:rowOff>
                  </to>
                </anchor>
              </controlPr>
            </control>
          </mc:Choice>
        </mc:AlternateContent>
        <mc:AlternateContent xmlns:mc="http://schemas.openxmlformats.org/markup-compatibility/2006">
          <mc:Choice Requires="x14">
            <control shapeId="22555" r:id="rId30" name="Check Box 27">
              <controlPr defaultSize="0" autoFill="0" autoLine="0" autoPict="0">
                <anchor moveWithCells="1">
                  <from>
                    <xdr:col>1</xdr:col>
                    <xdr:colOff>161925</xdr:colOff>
                    <xdr:row>30</xdr:row>
                    <xdr:rowOff>0</xdr:rowOff>
                  </from>
                  <to>
                    <xdr:col>1</xdr:col>
                    <xdr:colOff>342900</xdr:colOff>
                    <xdr:row>31</xdr:row>
                    <xdr:rowOff>0</xdr:rowOff>
                  </to>
                </anchor>
              </controlPr>
            </control>
          </mc:Choice>
        </mc:AlternateContent>
        <mc:AlternateContent xmlns:mc="http://schemas.openxmlformats.org/markup-compatibility/2006">
          <mc:Choice Requires="x14">
            <control shapeId="22556" r:id="rId31" name="Check Box 28">
              <controlPr defaultSize="0" autoFill="0" autoLine="0" autoPict="0">
                <anchor moveWithCells="1">
                  <from>
                    <xdr:col>1</xdr:col>
                    <xdr:colOff>161925</xdr:colOff>
                    <xdr:row>31</xdr:row>
                    <xdr:rowOff>0</xdr:rowOff>
                  </from>
                  <to>
                    <xdr:col>1</xdr:col>
                    <xdr:colOff>342900</xdr:colOff>
                    <xdr:row>32</xdr:row>
                    <xdr:rowOff>0</xdr:rowOff>
                  </to>
                </anchor>
              </controlPr>
            </control>
          </mc:Choice>
        </mc:AlternateContent>
        <mc:AlternateContent xmlns:mc="http://schemas.openxmlformats.org/markup-compatibility/2006">
          <mc:Choice Requires="x14">
            <control shapeId="22557" r:id="rId32" name="Check Box 29">
              <controlPr defaultSize="0" autoFill="0" autoLine="0" autoPict="0">
                <anchor moveWithCells="1">
                  <from>
                    <xdr:col>1</xdr:col>
                    <xdr:colOff>152400</xdr:colOff>
                    <xdr:row>31</xdr:row>
                    <xdr:rowOff>171450</xdr:rowOff>
                  </from>
                  <to>
                    <xdr:col>1</xdr:col>
                    <xdr:colOff>333375</xdr:colOff>
                    <xdr:row>32</xdr:row>
                    <xdr:rowOff>171450</xdr:rowOff>
                  </to>
                </anchor>
              </controlPr>
            </control>
          </mc:Choice>
        </mc:AlternateContent>
        <mc:AlternateContent xmlns:mc="http://schemas.openxmlformats.org/markup-compatibility/2006">
          <mc:Choice Requires="x14">
            <control shapeId="22558" r:id="rId33" name="Check Box 30">
              <controlPr defaultSize="0" autoFill="0" autoLine="0" autoPict="0">
                <anchor moveWithCells="1">
                  <from>
                    <xdr:col>1</xdr:col>
                    <xdr:colOff>142875</xdr:colOff>
                    <xdr:row>33</xdr:row>
                    <xdr:rowOff>0</xdr:rowOff>
                  </from>
                  <to>
                    <xdr:col>1</xdr:col>
                    <xdr:colOff>323850</xdr:colOff>
                    <xdr:row>34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dimension ref="A3:P40"/>
  <sheetViews>
    <sheetView zoomScale="85" zoomScaleNormal="85" workbookViewId="0">
      <selection activeCell="C32" sqref="C32"/>
    </sheetView>
  </sheetViews>
  <sheetFormatPr defaultColWidth="11.42578125" defaultRowHeight="15" x14ac:dyDescent="0.25"/>
  <cols>
    <col min="1" max="1" width="18.5703125" customWidth="1"/>
    <col min="2" max="2" width="5.85546875" customWidth="1"/>
    <col min="3" max="3" width="11.42578125" style="2"/>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3" x14ac:dyDescent="0.25">
      <c r="C3" s="3" t="s">
        <v>1</v>
      </c>
      <c r="D3" s="3" t="s">
        <v>24</v>
      </c>
      <c r="E3" s="19" t="s">
        <v>16</v>
      </c>
      <c r="F3" s="16" t="s">
        <v>15</v>
      </c>
      <c r="G3" s="21" t="s">
        <v>14</v>
      </c>
      <c r="H3" s="17" t="s">
        <v>0</v>
      </c>
      <c r="I3" s="19" t="s">
        <v>29</v>
      </c>
      <c r="J3" s="16" t="s">
        <v>30</v>
      </c>
      <c r="K3" s="21" t="s">
        <v>14</v>
      </c>
      <c r="L3" s="17" t="s">
        <v>31</v>
      </c>
    </row>
    <row r="4" spans="1:13" x14ac:dyDescent="0.25">
      <c r="A4" t="s">
        <v>2</v>
      </c>
      <c r="C4" s="28">
        <v>5</v>
      </c>
      <c r="E4" s="20">
        <f>10/100</f>
        <v>0.1</v>
      </c>
      <c r="F4" s="6">
        <f>1.6/100</f>
        <v>1.6E-2</v>
      </c>
      <c r="G4" s="22">
        <f>11/100</f>
        <v>0.11</v>
      </c>
      <c r="H4" s="18">
        <f>148/100</f>
        <v>1.48</v>
      </c>
      <c r="I4" s="20">
        <f t="shared" ref="I4:K33" si="0">IF($M4=TRUE,E4*$C4,0)</f>
        <v>0</v>
      </c>
      <c r="J4" s="6">
        <f t="shared" si="0"/>
        <v>0</v>
      </c>
      <c r="K4" s="22">
        <f t="shared" si="0"/>
        <v>0</v>
      </c>
      <c r="L4" s="18">
        <f t="shared" ref="L4:L34" si="1">IF($M4=TRUE, H4*C4,0)</f>
        <v>0</v>
      </c>
      <c r="M4" t="b">
        <v>0</v>
      </c>
    </row>
    <row r="5" spans="1:13" x14ac:dyDescent="0.25">
      <c r="A5" s="32" t="s">
        <v>3</v>
      </c>
      <c r="B5" s="32"/>
      <c r="C5" s="33">
        <v>57</v>
      </c>
      <c r="E5" s="20">
        <f>12/100</f>
        <v>0.12</v>
      </c>
      <c r="F5" s="6">
        <f>60/100</f>
        <v>0.6</v>
      </c>
      <c r="G5" s="22">
        <f>7.1/100</f>
        <v>7.0999999999999994E-2</v>
      </c>
      <c r="H5" s="18">
        <f>371/100</f>
        <v>3.71</v>
      </c>
      <c r="I5" s="20">
        <f t="shared" si="0"/>
        <v>6.84</v>
      </c>
      <c r="J5" s="6">
        <f t="shared" si="0"/>
        <v>34.199999999999996</v>
      </c>
      <c r="K5" s="22">
        <f t="shared" si="0"/>
        <v>4.0469999999999997</v>
      </c>
      <c r="L5" s="18">
        <f t="shared" si="1"/>
        <v>211.47</v>
      </c>
      <c r="M5" t="b">
        <v>1</v>
      </c>
    </row>
    <row r="6" spans="1:13" x14ac:dyDescent="0.25">
      <c r="A6" t="s">
        <v>4</v>
      </c>
      <c r="C6" s="28">
        <v>1</v>
      </c>
      <c r="E6" s="20">
        <v>10.1</v>
      </c>
      <c r="F6" s="6">
        <v>34.1</v>
      </c>
      <c r="G6" s="22">
        <v>10.1</v>
      </c>
      <c r="H6" s="18">
        <v>400</v>
      </c>
      <c r="I6" s="20">
        <f t="shared" si="0"/>
        <v>0</v>
      </c>
      <c r="J6" s="6">
        <f t="shared" si="0"/>
        <v>0</v>
      </c>
      <c r="K6" s="22">
        <f t="shared" si="0"/>
        <v>0</v>
      </c>
      <c r="L6" s="18">
        <f t="shared" si="1"/>
        <v>0</v>
      </c>
      <c r="M6" t="b">
        <v>0</v>
      </c>
    </row>
    <row r="7" spans="1:13" x14ac:dyDescent="0.25">
      <c r="A7" s="36" t="s">
        <v>5</v>
      </c>
      <c r="B7" s="36"/>
      <c r="C7" s="38">
        <f>135</f>
        <v>135</v>
      </c>
      <c r="E7" s="20">
        <f>20.7/100</f>
        <v>0.20699999999999999</v>
      </c>
      <c r="F7" s="6">
        <f>2.2/100</f>
        <v>2.2000000000000002E-2</v>
      </c>
      <c r="G7" s="22">
        <f>0.9/100</f>
        <v>9.0000000000000011E-3</v>
      </c>
      <c r="H7" s="18">
        <f>94/100</f>
        <v>0.94</v>
      </c>
      <c r="I7" s="20">
        <f t="shared" si="0"/>
        <v>0</v>
      </c>
      <c r="J7" s="6">
        <f t="shared" si="0"/>
        <v>0</v>
      </c>
      <c r="K7" s="22">
        <f t="shared" si="0"/>
        <v>0</v>
      </c>
      <c r="L7" s="18">
        <f t="shared" si="1"/>
        <v>0</v>
      </c>
      <c r="M7" t="b">
        <v>0</v>
      </c>
    </row>
    <row r="8" spans="1:13" x14ac:dyDescent="0.25">
      <c r="A8" s="36" t="s">
        <v>6</v>
      </c>
      <c r="B8" s="36"/>
      <c r="C8" s="38">
        <v>253</v>
      </c>
      <c r="E8" s="20">
        <f>20/100</f>
        <v>0.2</v>
      </c>
      <c r="F8" s="6">
        <f>0.2/100</f>
        <v>2E-3</v>
      </c>
      <c r="G8" s="22">
        <f>5/100</f>
        <v>0.05</v>
      </c>
      <c r="H8" s="18">
        <f>126/100</f>
        <v>1.26</v>
      </c>
      <c r="I8" s="20">
        <f t="shared" si="0"/>
        <v>0</v>
      </c>
      <c r="J8" s="6">
        <f t="shared" si="0"/>
        <v>0</v>
      </c>
      <c r="K8" s="22">
        <f t="shared" si="0"/>
        <v>0</v>
      </c>
      <c r="L8" s="18">
        <f t="shared" si="1"/>
        <v>0</v>
      </c>
      <c r="M8" t="b">
        <v>0</v>
      </c>
    </row>
    <row r="9" spans="1:13" x14ac:dyDescent="0.25">
      <c r="A9" t="s">
        <v>7</v>
      </c>
      <c r="C9" s="28">
        <v>50</v>
      </c>
      <c r="E9" s="20">
        <f>12.68/100</f>
        <v>0.1268</v>
      </c>
      <c r="F9" s="6">
        <f>72.83/100</f>
        <v>0.72829999999999995</v>
      </c>
      <c r="G9" s="22">
        <f>1.05/100</f>
        <v>1.0500000000000001E-2</v>
      </c>
      <c r="H9" s="18">
        <f>360/100</f>
        <v>3.6</v>
      </c>
      <c r="I9" s="20">
        <f t="shared" si="0"/>
        <v>0</v>
      </c>
      <c r="J9" s="6">
        <f t="shared" si="0"/>
        <v>0</v>
      </c>
      <c r="K9" s="22">
        <f t="shared" si="0"/>
        <v>0</v>
      </c>
      <c r="L9" s="18">
        <f t="shared" si="1"/>
        <v>0</v>
      </c>
      <c r="M9" t="b">
        <v>0</v>
      </c>
    </row>
    <row r="10" spans="1:13" x14ac:dyDescent="0.25">
      <c r="A10" t="s">
        <v>8</v>
      </c>
      <c r="C10" s="28">
        <v>39</v>
      </c>
      <c r="E10" s="20">
        <f>8.8/100</f>
        <v>8.8000000000000009E-2</v>
      </c>
      <c r="F10" s="6">
        <f>72/100</f>
        <v>0.72</v>
      </c>
      <c r="G10" s="22">
        <f>2.2/100</f>
        <v>2.2000000000000002E-2</v>
      </c>
      <c r="H10" s="18">
        <f>343/100</f>
        <v>3.43</v>
      </c>
      <c r="I10" s="20">
        <f t="shared" si="0"/>
        <v>0</v>
      </c>
      <c r="J10" s="6">
        <f t="shared" si="0"/>
        <v>0</v>
      </c>
      <c r="K10" s="22">
        <f t="shared" si="0"/>
        <v>0</v>
      </c>
      <c r="L10" s="18">
        <f t="shared" si="1"/>
        <v>0</v>
      </c>
      <c r="M10" t="b">
        <v>0</v>
      </c>
    </row>
    <row r="11" spans="1:13" x14ac:dyDescent="0.25">
      <c r="A11" s="35" t="s">
        <v>9</v>
      </c>
      <c r="B11" s="35"/>
      <c r="C11" s="39">
        <f>158</f>
        <v>158</v>
      </c>
      <c r="E11" s="20">
        <f>1.5/100</f>
        <v>1.4999999999999999E-2</v>
      </c>
      <c r="F11" s="6">
        <f>20/100</f>
        <v>0.2</v>
      </c>
      <c r="G11" s="22">
        <v>0</v>
      </c>
      <c r="H11" s="18">
        <f>90/100</f>
        <v>0.9</v>
      </c>
      <c r="I11" s="20">
        <f t="shared" si="0"/>
        <v>2.37</v>
      </c>
      <c r="J11" s="6">
        <f t="shared" si="0"/>
        <v>31.6</v>
      </c>
      <c r="K11" s="22">
        <f t="shared" si="0"/>
        <v>0</v>
      </c>
      <c r="L11" s="18">
        <f t="shared" si="1"/>
        <v>142.20000000000002</v>
      </c>
      <c r="M11" t="b">
        <v>1</v>
      </c>
    </row>
    <row r="12" spans="1:13" x14ac:dyDescent="0.25">
      <c r="A12" s="35" t="s">
        <v>10</v>
      </c>
      <c r="B12" s="35"/>
      <c r="C12" s="39">
        <v>69</v>
      </c>
      <c r="E12" s="20">
        <f>1.6/100</f>
        <v>1.6E-2</v>
      </c>
      <c r="F12" s="6">
        <f>11/100</f>
        <v>0.11</v>
      </c>
      <c r="G12" s="22">
        <f>0.3/100</f>
        <v>3.0000000000000001E-3</v>
      </c>
      <c r="H12" s="18">
        <f>53/100</f>
        <v>0.53</v>
      </c>
      <c r="I12" s="20">
        <f t="shared" si="0"/>
        <v>0</v>
      </c>
      <c r="J12" s="6">
        <f t="shared" si="0"/>
        <v>0</v>
      </c>
      <c r="K12" s="22">
        <f t="shared" si="0"/>
        <v>0</v>
      </c>
      <c r="L12" s="18">
        <f t="shared" si="1"/>
        <v>0</v>
      </c>
      <c r="M12" t="b">
        <v>0</v>
      </c>
    </row>
    <row r="13" spans="1:13" x14ac:dyDescent="0.25">
      <c r="A13" s="35" t="s">
        <v>11</v>
      </c>
      <c r="B13" s="35"/>
      <c r="C13" s="39">
        <v>219</v>
      </c>
      <c r="E13" s="20">
        <f>1/100</f>
        <v>0.01</v>
      </c>
      <c r="F13" s="6">
        <f>9/100</f>
        <v>0.09</v>
      </c>
      <c r="G13" s="22">
        <f>0.2/100</f>
        <v>2E-3</v>
      </c>
      <c r="H13" s="18">
        <f>45/100</f>
        <v>0.45</v>
      </c>
      <c r="I13" s="20">
        <f t="shared" si="0"/>
        <v>2.19</v>
      </c>
      <c r="J13" s="6">
        <f t="shared" si="0"/>
        <v>19.71</v>
      </c>
      <c r="K13" s="22">
        <f t="shared" si="0"/>
        <v>0.438</v>
      </c>
      <c r="L13" s="18">
        <f t="shared" si="1"/>
        <v>98.55</v>
      </c>
      <c r="M13" t="b">
        <v>1</v>
      </c>
    </row>
    <row r="14" spans="1:13" x14ac:dyDescent="0.25">
      <c r="A14" t="s">
        <v>12</v>
      </c>
      <c r="C14" s="28">
        <v>130</v>
      </c>
      <c r="E14" s="20">
        <f>11/100</f>
        <v>0.11</v>
      </c>
      <c r="F14" s="6">
        <f>54/100</f>
        <v>0.54</v>
      </c>
      <c r="G14" s="22">
        <f>3.3/100</f>
        <v>3.3000000000000002E-2</v>
      </c>
      <c r="H14" s="18">
        <f>293/100</f>
        <v>2.93</v>
      </c>
      <c r="I14" s="20">
        <f t="shared" si="0"/>
        <v>0</v>
      </c>
      <c r="J14" s="6">
        <f t="shared" si="0"/>
        <v>0</v>
      </c>
      <c r="K14" s="22">
        <f t="shared" si="0"/>
        <v>0</v>
      </c>
      <c r="L14" s="18">
        <f t="shared" si="1"/>
        <v>0</v>
      </c>
      <c r="M14" t="b">
        <v>0</v>
      </c>
    </row>
    <row r="15" spans="1:13" x14ac:dyDescent="0.25">
      <c r="A15" t="s">
        <v>13</v>
      </c>
      <c r="C15" s="29">
        <v>1</v>
      </c>
      <c r="E15" s="20">
        <v>20</v>
      </c>
      <c r="F15" s="6">
        <v>1</v>
      </c>
      <c r="G15" s="22">
        <v>1</v>
      </c>
      <c r="H15" s="18">
        <v>93</v>
      </c>
      <c r="I15" s="20">
        <f t="shared" si="0"/>
        <v>20</v>
      </c>
      <c r="J15" s="6">
        <f t="shared" si="0"/>
        <v>1</v>
      </c>
      <c r="K15" s="22">
        <f t="shared" si="0"/>
        <v>1</v>
      </c>
      <c r="L15" s="18">
        <f t="shared" si="1"/>
        <v>93</v>
      </c>
      <c r="M15" t="b">
        <v>1</v>
      </c>
    </row>
    <row r="16" spans="1:13" x14ac:dyDescent="0.25">
      <c r="A16" t="s">
        <v>17</v>
      </c>
      <c r="C16" s="28">
        <v>24</v>
      </c>
      <c r="D16" s="2" t="s">
        <v>23</v>
      </c>
      <c r="E16" s="20">
        <f>3/100</f>
        <v>0.03</v>
      </c>
      <c r="F16" s="6">
        <f>11/100</f>
        <v>0.11</v>
      </c>
      <c r="G16" s="22">
        <f>1.5/100</f>
        <v>1.4999999999999999E-2</v>
      </c>
      <c r="H16" s="18">
        <f>74/100</f>
        <v>0.74</v>
      </c>
      <c r="I16" s="20">
        <f t="shared" si="0"/>
        <v>0</v>
      </c>
      <c r="J16" s="6">
        <f t="shared" si="0"/>
        <v>0</v>
      </c>
      <c r="K16" s="22">
        <f t="shared" si="0"/>
        <v>0</v>
      </c>
      <c r="L16" s="18">
        <f t="shared" si="1"/>
        <v>0</v>
      </c>
      <c r="M16" t="b">
        <v>0</v>
      </c>
    </row>
    <row r="17" spans="1:13" x14ac:dyDescent="0.25">
      <c r="A17" s="32" t="s">
        <v>18</v>
      </c>
      <c r="B17" s="32"/>
      <c r="C17" s="33">
        <f>248</f>
        <v>248</v>
      </c>
      <c r="E17" s="20">
        <f>3.2/100</f>
        <v>3.2000000000000001E-2</v>
      </c>
      <c r="F17" s="6">
        <f>4.8/100</f>
        <v>4.8000000000000001E-2</v>
      </c>
      <c r="G17" s="22">
        <f>1.6/100</f>
        <v>1.6E-2</v>
      </c>
      <c r="H17" s="18">
        <f>46/100</f>
        <v>0.46</v>
      </c>
      <c r="I17" s="20">
        <f t="shared" si="0"/>
        <v>7.9359999999999999</v>
      </c>
      <c r="J17" s="6">
        <f t="shared" si="0"/>
        <v>11.904</v>
      </c>
      <c r="K17" s="22">
        <f t="shared" si="0"/>
        <v>3.968</v>
      </c>
      <c r="L17" s="18">
        <f t="shared" si="1"/>
        <v>114.08</v>
      </c>
      <c r="M17" t="b">
        <v>1</v>
      </c>
    </row>
    <row r="18" spans="1:13" x14ac:dyDescent="0.25">
      <c r="A18" t="s">
        <v>19</v>
      </c>
      <c r="C18" s="28">
        <v>137</v>
      </c>
      <c r="D18" s="2" t="s">
        <v>25</v>
      </c>
      <c r="E18" s="20">
        <f>2/100</f>
        <v>0.02</v>
      </c>
      <c r="F18" s="6">
        <f>17/100</f>
        <v>0.17</v>
      </c>
      <c r="G18" s="22">
        <f>0.1/100</f>
        <v>1E-3</v>
      </c>
      <c r="H18" s="18">
        <f>77/100</f>
        <v>0.77</v>
      </c>
      <c r="I18" s="20">
        <f t="shared" si="0"/>
        <v>0</v>
      </c>
      <c r="J18" s="6">
        <f t="shared" si="0"/>
        <v>0</v>
      </c>
      <c r="K18" s="22">
        <f t="shared" si="0"/>
        <v>0</v>
      </c>
      <c r="L18" s="18">
        <f t="shared" si="1"/>
        <v>0</v>
      </c>
      <c r="M18" t="b">
        <v>0</v>
      </c>
    </row>
    <row r="19" spans="1:13" x14ac:dyDescent="0.25">
      <c r="A19" t="s">
        <v>20</v>
      </c>
      <c r="C19" s="28">
        <f>100</f>
        <v>100</v>
      </c>
      <c r="E19" s="20">
        <f>25/100</f>
        <v>0.25</v>
      </c>
      <c r="F19" s="6">
        <v>0</v>
      </c>
      <c r="G19" s="22">
        <f>1/100</f>
        <v>0.01</v>
      </c>
      <c r="H19" s="18">
        <f>109/100</f>
        <v>1.0900000000000001</v>
      </c>
      <c r="I19" s="20">
        <f t="shared" si="0"/>
        <v>0</v>
      </c>
      <c r="J19" s="6">
        <f t="shared" si="0"/>
        <v>0</v>
      </c>
      <c r="K19" s="22">
        <f t="shared" si="0"/>
        <v>0</v>
      </c>
      <c r="L19" s="18">
        <f t="shared" si="1"/>
        <v>0</v>
      </c>
      <c r="M19" t="b">
        <v>0</v>
      </c>
    </row>
    <row r="20" spans="1:13" x14ac:dyDescent="0.25">
      <c r="A20" s="35" t="s">
        <v>21</v>
      </c>
      <c r="B20" s="35"/>
      <c r="C20" s="39">
        <v>130</v>
      </c>
      <c r="D20" s="2" t="s">
        <v>22</v>
      </c>
      <c r="E20" s="20">
        <f>2.3/100</f>
        <v>2.3E-2</v>
      </c>
      <c r="F20" s="6">
        <f>7.2/100</f>
        <v>7.2000000000000008E-2</v>
      </c>
      <c r="G20" s="22">
        <f>0.5/100</f>
        <v>5.0000000000000001E-3</v>
      </c>
      <c r="H20" s="18">
        <f>44/100</f>
        <v>0.44</v>
      </c>
      <c r="I20" s="20">
        <f t="shared" si="0"/>
        <v>2.9899999999999998</v>
      </c>
      <c r="J20" s="6">
        <f t="shared" si="0"/>
        <v>9.3600000000000012</v>
      </c>
      <c r="K20" s="22">
        <f t="shared" si="0"/>
        <v>0.65</v>
      </c>
      <c r="L20" s="18">
        <f t="shared" si="1"/>
        <v>57.2</v>
      </c>
      <c r="M20" t="b">
        <v>1</v>
      </c>
    </row>
    <row r="21" spans="1:13" x14ac:dyDescent="0.25">
      <c r="A21" t="s">
        <v>26</v>
      </c>
      <c r="C21" s="28"/>
      <c r="E21" s="20">
        <v>0</v>
      </c>
      <c r="F21" s="6">
        <v>0</v>
      </c>
      <c r="G21" s="22">
        <v>0</v>
      </c>
      <c r="H21" s="18">
        <f>275/100</f>
        <v>2.75</v>
      </c>
      <c r="I21" s="20">
        <f t="shared" si="0"/>
        <v>0</v>
      </c>
      <c r="J21" s="6">
        <f t="shared" si="0"/>
        <v>0</v>
      </c>
      <c r="K21" s="22">
        <f t="shared" si="0"/>
        <v>0</v>
      </c>
      <c r="L21" s="18">
        <f t="shared" si="1"/>
        <v>0</v>
      </c>
      <c r="M21" t="b">
        <v>0</v>
      </c>
    </row>
    <row r="22" spans="1:13" x14ac:dyDescent="0.25">
      <c r="A22" t="s">
        <v>32</v>
      </c>
      <c r="C22" s="28">
        <v>6</v>
      </c>
      <c r="E22" s="20">
        <f>22/100</f>
        <v>0.22</v>
      </c>
      <c r="F22" s="6">
        <f>6.9/100</f>
        <v>6.9000000000000006E-2</v>
      </c>
      <c r="G22" s="22">
        <f>54/100</f>
        <v>0.54</v>
      </c>
      <c r="H22" s="18">
        <f>620/100</f>
        <v>6.2</v>
      </c>
      <c r="I22" s="20">
        <f t="shared" si="0"/>
        <v>0</v>
      </c>
      <c r="J22" s="6">
        <f t="shared" si="0"/>
        <v>0</v>
      </c>
      <c r="K22" s="22">
        <f t="shared" si="0"/>
        <v>0</v>
      </c>
      <c r="L22" s="18">
        <f t="shared" si="1"/>
        <v>0</v>
      </c>
      <c r="M22" t="b">
        <v>0</v>
      </c>
    </row>
    <row r="23" spans="1:13" x14ac:dyDescent="0.25">
      <c r="A23" t="s">
        <v>33</v>
      </c>
      <c r="C23" s="28">
        <v>143</v>
      </c>
      <c r="E23" s="20">
        <v>3.6</v>
      </c>
      <c r="F23" s="6">
        <v>0.2</v>
      </c>
      <c r="G23" s="22">
        <v>0.1</v>
      </c>
      <c r="H23" s="18">
        <f>17</f>
        <v>17</v>
      </c>
      <c r="I23" s="20">
        <f t="shared" si="0"/>
        <v>0</v>
      </c>
      <c r="J23" s="6">
        <f t="shared" si="0"/>
        <v>0</v>
      </c>
      <c r="K23" s="22">
        <f t="shared" si="0"/>
        <v>0</v>
      </c>
      <c r="L23" s="18">
        <f t="shared" si="1"/>
        <v>0</v>
      </c>
      <c r="M23" t="b">
        <v>0</v>
      </c>
    </row>
    <row r="24" spans="1:13" x14ac:dyDescent="0.25">
      <c r="A24" t="s">
        <v>34</v>
      </c>
      <c r="C24" s="28">
        <v>50</v>
      </c>
      <c r="E24" s="20">
        <f>7.4/100</f>
        <v>7.400000000000001E-2</v>
      </c>
      <c r="F24" s="6">
        <f>78.7/100</f>
        <v>0.78700000000000003</v>
      </c>
      <c r="G24" s="22">
        <f>0.7/100</f>
        <v>6.9999999999999993E-3</v>
      </c>
      <c r="H24" s="18">
        <f>351/100</f>
        <v>3.51</v>
      </c>
      <c r="I24" s="20">
        <f t="shared" si="0"/>
        <v>0</v>
      </c>
      <c r="J24" s="6">
        <f t="shared" si="0"/>
        <v>0</v>
      </c>
      <c r="K24" s="22">
        <f t="shared" si="0"/>
        <v>0</v>
      </c>
      <c r="L24" s="18">
        <f t="shared" si="1"/>
        <v>0</v>
      </c>
      <c r="M24" t="b">
        <v>0</v>
      </c>
    </row>
    <row r="25" spans="1:13" x14ac:dyDescent="0.25">
      <c r="A25" s="34" t="s">
        <v>33</v>
      </c>
      <c r="B25" s="32"/>
      <c r="C25" s="33">
        <f>150+116</f>
        <v>266</v>
      </c>
      <c r="E25" s="20">
        <f>11/100</f>
        <v>0.11</v>
      </c>
      <c r="F25" s="6">
        <f>0.7/100</f>
        <v>6.9999999999999993E-3</v>
      </c>
      <c r="G25" s="22">
        <f>0.2/100</f>
        <v>2E-3</v>
      </c>
      <c r="H25" s="18">
        <f>52/100</f>
        <v>0.52</v>
      </c>
      <c r="I25" s="20">
        <f t="shared" si="0"/>
        <v>29.26</v>
      </c>
      <c r="J25" s="6">
        <f t="shared" si="0"/>
        <v>1.8619999999999999</v>
      </c>
      <c r="K25" s="22">
        <f t="shared" si="0"/>
        <v>0.53200000000000003</v>
      </c>
      <c r="L25" s="18">
        <f t="shared" si="1"/>
        <v>138.32</v>
      </c>
      <c r="M25" t="b">
        <v>1</v>
      </c>
    </row>
    <row r="26" spans="1:13" x14ac:dyDescent="0.25">
      <c r="A26" t="s">
        <v>55</v>
      </c>
      <c r="C26" s="28"/>
      <c r="E26" s="20">
        <f>19/100</f>
        <v>0.19</v>
      </c>
      <c r="F26" s="6">
        <f>61/100</f>
        <v>0.61</v>
      </c>
      <c r="G26" s="22">
        <f>6/100</f>
        <v>0.06</v>
      </c>
      <c r="H26" s="18">
        <f>364/100</f>
        <v>3.64</v>
      </c>
      <c r="I26" s="20">
        <f t="shared" si="0"/>
        <v>0</v>
      </c>
      <c r="J26" s="6">
        <f t="shared" si="0"/>
        <v>0</v>
      </c>
      <c r="K26" s="22">
        <f t="shared" si="0"/>
        <v>0</v>
      </c>
      <c r="L26" s="18">
        <f t="shared" si="1"/>
        <v>0</v>
      </c>
      <c r="M26" t="b">
        <v>0</v>
      </c>
    </row>
    <row r="27" spans="1:13" x14ac:dyDescent="0.25">
      <c r="A27" s="36" t="s">
        <v>57</v>
      </c>
      <c r="B27" s="36"/>
      <c r="C27" s="37">
        <v>150</v>
      </c>
      <c r="E27" s="20">
        <f>19/100</f>
        <v>0.19</v>
      </c>
      <c r="F27" s="6">
        <v>0</v>
      </c>
      <c r="G27" s="22">
        <f>12/100</f>
        <v>0.12</v>
      </c>
      <c r="H27" s="18">
        <f>184/100</f>
        <v>1.84</v>
      </c>
      <c r="I27" s="20">
        <f t="shared" si="0"/>
        <v>28.5</v>
      </c>
      <c r="J27" s="6">
        <f t="shared" si="0"/>
        <v>0</v>
      </c>
      <c r="K27" s="22">
        <f t="shared" si="0"/>
        <v>18</v>
      </c>
      <c r="L27" s="18">
        <f t="shared" si="1"/>
        <v>276</v>
      </c>
      <c r="M27" t="b">
        <v>1</v>
      </c>
    </row>
    <row r="28" spans="1:13" x14ac:dyDescent="0.25">
      <c r="A28" t="s">
        <v>58</v>
      </c>
      <c r="C28" s="28">
        <v>288</v>
      </c>
      <c r="E28" s="20">
        <f>1.6/100</f>
        <v>1.6E-2</v>
      </c>
      <c r="F28" s="6">
        <f>20/100</f>
        <v>0.2</v>
      </c>
      <c r="G28" s="22">
        <f>0.1/100</f>
        <v>1E-3</v>
      </c>
      <c r="H28" s="18">
        <f>86/100</f>
        <v>0.86</v>
      </c>
      <c r="I28" s="20">
        <f t="shared" si="0"/>
        <v>0</v>
      </c>
      <c r="J28" s="6">
        <f t="shared" si="0"/>
        <v>0</v>
      </c>
      <c r="K28" s="22">
        <f t="shared" si="0"/>
        <v>0</v>
      </c>
      <c r="L28" s="18">
        <f t="shared" si="1"/>
        <v>0</v>
      </c>
      <c r="M28" t="b">
        <v>0</v>
      </c>
    </row>
    <row r="29" spans="1:13" x14ac:dyDescent="0.25">
      <c r="A29" s="36" t="s">
        <v>59</v>
      </c>
      <c r="B29" s="36"/>
      <c r="C29" s="38">
        <v>360</v>
      </c>
      <c r="E29" s="20">
        <f>20/100</f>
        <v>0.2</v>
      </c>
      <c r="F29" s="6">
        <v>0</v>
      </c>
      <c r="G29" s="22">
        <f>5/100</f>
        <v>0.05</v>
      </c>
      <c r="H29" s="18">
        <f>121/100</f>
        <v>1.21</v>
      </c>
      <c r="I29" s="20">
        <f t="shared" si="0"/>
        <v>0</v>
      </c>
      <c r="J29" s="6">
        <f t="shared" si="0"/>
        <v>0</v>
      </c>
      <c r="K29" s="22">
        <f t="shared" si="0"/>
        <v>0</v>
      </c>
      <c r="L29" s="18">
        <f t="shared" si="1"/>
        <v>0</v>
      </c>
      <c r="M29" t="b">
        <v>0</v>
      </c>
    </row>
    <row r="30" spans="1:13" x14ac:dyDescent="0.25">
      <c r="A30" t="s">
        <v>60</v>
      </c>
      <c r="C30" s="28">
        <v>66</v>
      </c>
      <c r="E30" s="20">
        <f>7.5/100</f>
        <v>7.4999999999999997E-2</v>
      </c>
      <c r="F30" s="6">
        <f>78/100</f>
        <v>0.78</v>
      </c>
      <c r="G30" s="22">
        <f>0.6/100</f>
        <v>6.0000000000000001E-3</v>
      </c>
      <c r="H30" s="18">
        <f>347/100</f>
        <v>3.47</v>
      </c>
      <c r="I30" s="20">
        <f t="shared" si="0"/>
        <v>0</v>
      </c>
      <c r="J30" s="6">
        <f t="shared" si="0"/>
        <v>0</v>
      </c>
      <c r="K30" s="22">
        <f t="shared" si="0"/>
        <v>0</v>
      </c>
      <c r="L30" s="18">
        <f t="shared" si="1"/>
        <v>0</v>
      </c>
      <c r="M30" t="b">
        <v>0</v>
      </c>
    </row>
    <row r="31" spans="1:13" x14ac:dyDescent="0.25">
      <c r="A31" t="s">
        <v>63</v>
      </c>
      <c r="C31" s="28">
        <v>23</v>
      </c>
      <c r="E31" s="20">
        <f>1.4/100</f>
        <v>1.3999999999999999E-2</v>
      </c>
      <c r="F31" s="6">
        <f>9/100</f>
        <v>0.09</v>
      </c>
      <c r="G31" s="22">
        <f>0.2/100</f>
        <v>2E-3</v>
      </c>
      <c r="H31" s="18">
        <f>43/100</f>
        <v>0.43</v>
      </c>
      <c r="I31" s="20">
        <f t="shared" si="0"/>
        <v>0</v>
      </c>
      <c r="J31" s="6">
        <f t="shared" si="0"/>
        <v>0</v>
      </c>
      <c r="K31" s="22">
        <f t="shared" si="0"/>
        <v>0</v>
      </c>
      <c r="L31" s="18">
        <f t="shared" si="1"/>
        <v>0</v>
      </c>
      <c r="M31" t="b">
        <v>0</v>
      </c>
    </row>
    <row r="32" spans="1:13" x14ac:dyDescent="0.25">
      <c r="A32" t="s">
        <v>64</v>
      </c>
      <c r="C32" s="28">
        <v>10</v>
      </c>
      <c r="E32" s="20">
        <f>4.1/100</f>
        <v>4.0999999999999995E-2</v>
      </c>
      <c r="F32" s="6">
        <f>6.6/100</f>
        <v>6.6000000000000003E-2</v>
      </c>
      <c r="G32" s="22">
        <f>5/100</f>
        <v>0.05</v>
      </c>
      <c r="H32" s="18">
        <f>84/100</f>
        <v>0.84</v>
      </c>
      <c r="I32" s="20">
        <f t="shared" si="0"/>
        <v>0</v>
      </c>
      <c r="J32" s="6">
        <f t="shared" si="0"/>
        <v>0</v>
      </c>
      <c r="K32" s="22">
        <f t="shared" si="0"/>
        <v>0</v>
      </c>
      <c r="L32" s="18">
        <f t="shared" si="1"/>
        <v>0</v>
      </c>
      <c r="M32" t="b">
        <v>0</v>
      </c>
    </row>
    <row r="33" spans="1:16" x14ac:dyDescent="0.25">
      <c r="A33" t="s">
        <v>66</v>
      </c>
      <c r="C33" s="28">
        <v>70</v>
      </c>
      <c r="E33" s="20">
        <f>14.1/100</f>
        <v>0.14099999999999999</v>
      </c>
      <c r="F33" s="6">
        <f>68.9/100</f>
        <v>0.68900000000000006</v>
      </c>
      <c r="G33" s="22">
        <f>5.8/100</f>
        <v>5.7999999999999996E-2</v>
      </c>
      <c r="H33" s="18">
        <f>380/100</f>
        <v>3.8</v>
      </c>
      <c r="I33" s="20">
        <f t="shared" si="0"/>
        <v>0</v>
      </c>
      <c r="J33" s="6">
        <f t="shared" si="0"/>
        <v>0</v>
      </c>
      <c r="K33" s="22">
        <f t="shared" si="0"/>
        <v>0</v>
      </c>
      <c r="L33" s="18">
        <f t="shared" si="1"/>
        <v>0</v>
      </c>
      <c r="M33" t="b">
        <v>0</v>
      </c>
      <c r="N33" s="2" t="s">
        <v>68</v>
      </c>
    </row>
    <row r="34" spans="1:16" x14ac:dyDescent="0.25">
      <c r="A34" s="34" t="s">
        <v>67</v>
      </c>
      <c r="B34" s="32"/>
      <c r="C34" s="33">
        <v>22</v>
      </c>
      <c r="E34" s="20">
        <f>2.4/100</f>
        <v>2.4E-2</v>
      </c>
      <c r="F34" s="6">
        <v>0</v>
      </c>
      <c r="G34" s="22">
        <f>27/100</f>
        <v>0.27</v>
      </c>
      <c r="H34" s="18">
        <f>350/100</f>
        <v>3.5</v>
      </c>
      <c r="I34" s="20">
        <f>IF($M34=TRUE,E34*$C34,0)</f>
        <v>0.52800000000000002</v>
      </c>
      <c r="J34" s="6">
        <f>IF($M34=TRUE,F34*$C34,0)</f>
        <v>0</v>
      </c>
      <c r="K34" s="22">
        <f>IF($M34=TRUE,G34*$C34,0)</f>
        <v>5.94</v>
      </c>
      <c r="L34" s="18">
        <f t="shared" si="1"/>
        <v>77</v>
      </c>
      <c r="M34" t="b">
        <v>1</v>
      </c>
      <c r="N34" s="2">
        <v>68.5</v>
      </c>
      <c r="P34">
        <v>1</v>
      </c>
    </row>
    <row r="35" spans="1:16" x14ac:dyDescent="0.25">
      <c r="N35" s="2">
        <v>67</v>
      </c>
      <c r="P35">
        <v>2.2046199999999998</v>
      </c>
    </row>
    <row r="37" spans="1:16" x14ac:dyDescent="0.25">
      <c r="L37" t="s">
        <v>65</v>
      </c>
    </row>
    <row r="39" spans="1:16" x14ac:dyDescent="0.25">
      <c r="I39" s="23">
        <f>SUM(I4:I38)</f>
        <v>100.614</v>
      </c>
      <c r="J39" s="15">
        <f>SUM(J4:J38)</f>
        <v>109.63599999999998</v>
      </c>
      <c r="K39" s="24">
        <f>SUM(K4:K38)</f>
        <v>34.574999999999996</v>
      </c>
      <c r="L39" s="4">
        <f>SUM(L4:L33)</f>
        <v>1130.8200000000002</v>
      </c>
    </row>
    <row r="40" spans="1:16" x14ac:dyDescent="0.25">
      <c r="I40" s="25">
        <f>1.25 * $P35 * $N35</f>
        <v>184.63692499999999</v>
      </c>
      <c r="J40" s="26">
        <f>1 * $P35 * $N35</f>
        <v>147.70953999999998</v>
      </c>
      <c r="K40" s="27">
        <f>0.27 * $P35 * $N35</f>
        <v>39.8815758</v>
      </c>
      <c r="L40">
        <f>11.43*P35* N34</f>
        <v>1726.1182520999998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Case à cocher 1">
              <controlPr defaultSize="0" autoFill="0" autoLine="0" autoPict="0">
                <anchor moveWithCells="1">
                  <from>
                    <xdr:col>1</xdr:col>
                    <xdr:colOff>161925</xdr:colOff>
                    <xdr:row>3</xdr:row>
                    <xdr:rowOff>19050</xdr:rowOff>
                  </from>
                  <to>
                    <xdr:col>1</xdr:col>
                    <xdr:colOff>342900</xdr:colOff>
                    <xdr:row>4</xdr:row>
                    <xdr:rowOff>19050</xdr:rowOff>
                  </to>
                </anchor>
              </controlPr>
            </control>
          </mc:Choice>
        </mc:AlternateContent>
        <mc:AlternateContent xmlns:mc="http://schemas.openxmlformats.org/markup-compatibility/2006">
          <mc:Choice Requires="x14">
            <control shapeId="25602" r:id="rId5" name="Case à cocher 2">
              <controlPr defaultSize="0" autoFill="0" autoLine="0" autoPict="0">
                <anchor moveWithCells="1">
                  <from>
                    <xdr:col>1</xdr:col>
                    <xdr:colOff>161925</xdr:colOff>
                    <xdr:row>4</xdr:row>
                    <xdr:rowOff>9525</xdr:rowOff>
                  </from>
                  <to>
                    <xdr:col>1</xdr:col>
                    <xdr:colOff>342900</xdr:colOff>
                    <xdr:row>5</xdr:row>
                    <xdr:rowOff>9525</xdr:rowOff>
                  </to>
                </anchor>
              </controlPr>
            </control>
          </mc:Choice>
        </mc:AlternateContent>
        <mc:AlternateContent xmlns:mc="http://schemas.openxmlformats.org/markup-compatibility/2006">
          <mc:Choice Requires="x14">
            <control shapeId="25603" r:id="rId6" name="Case à cocher 4">
              <controlPr defaultSize="0" autoFill="0" autoLine="0" autoPict="0">
                <anchor moveWithCells="1">
                  <from>
                    <xdr:col>1</xdr:col>
                    <xdr:colOff>161925</xdr:colOff>
                    <xdr:row>5</xdr:row>
                    <xdr:rowOff>19050</xdr:rowOff>
                  </from>
                  <to>
                    <xdr:col>1</xdr:col>
                    <xdr:colOff>342900</xdr:colOff>
                    <xdr:row>6</xdr:row>
                    <xdr:rowOff>19050</xdr:rowOff>
                  </to>
                </anchor>
              </controlPr>
            </control>
          </mc:Choice>
        </mc:AlternateContent>
        <mc:AlternateContent xmlns:mc="http://schemas.openxmlformats.org/markup-compatibility/2006">
          <mc:Choice Requires="x14">
            <control shapeId="25604" r:id="rId7" name="Case à cocher 5">
              <controlPr defaultSize="0" autoFill="0" autoLine="0" autoPict="0">
                <anchor moveWithCells="1">
                  <from>
                    <xdr:col>1</xdr:col>
                    <xdr:colOff>161925</xdr:colOff>
                    <xdr:row>7</xdr:row>
                    <xdr:rowOff>9525</xdr:rowOff>
                  </from>
                  <to>
                    <xdr:col>1</xdr:col>
                    <xdr:colOff>342900</xdr:colOff>
                    <xdr:row>8</xdr:row>
                    <xdr:rowOff>9525</xdr:rowOff>
                  </to>
                </anchor>
              </controlPr>
            </control>
          </mc:Choice>
        </mc:AlternateContent>
        <mc:AlternateContent xmlns:mc="http://schemas.openxmlformats.org/markup-compatibility/2006">
          <mc:Choice Requires="x14">
            <control shapeId="25605" r:id="rId8" name="Case à cocher 6">
              <controlPr defaultSize="0" autoFill="0" autoLine="0" autoPict="0">
                <anchor moveWithCells="1">
                  <from>
                    <xdr:col>1</xdr:col>
                    <xdr:colOff>161925</xdr:colOff>
                    <xdr:row>6</xdr:row>
                    <xdr:rowOff>19050</xdr:rowOff>
                  </from>
                  <to>
                    <xdr:col>1</xdr:col>
                    <xdr:colOff>342900</xdr:colOff>
                    <xdr:row>7</xdr:row>
                    <xdr:rowOff>19050</xdr:rowOff>
                  </to>
                </anchor>
              </controlPr>
            </control>
          </mc:Choice>
        </mc:AlternateContent>
        <mc:AlternateContent xmlns:mc="http://schemas.openxmlformats.org/markup-compatibility/2006">
          <mc:Choice Requires="x14">
            <control shapeId="25606" r:id="rId9" name="Case à cocher 7">
              <controlPr defaultSize="0" autoFill="0" autoLine="0" autoPict="0">
                <anchor moveWithCells="1">
                  <from>
                    <xdr:col>1</xdr:col>
                    <xdr:colOff>161925</xdr:colOff>
                    <xdr:row>8</xdr:row>
                    <xdr:rowOff>19050</xdr:rowOff>
                  </from>
                  <to>
                    <xdr:col>1</xdr:col>
                    <xdr:colOff>342900</xdr:colOff>
                    <xdr:row>9</xdr:row>
                    <xdr:rowOff>19050</xdr:rowOff>
                  </to>
                </anchor>
              </controlPr>
            </control>
          </mc:Choice>
        </mc:AlternateContent>
        <mc:AlternateContent xmlns:mc="http://schemas.openxmlformats.org/markup-compatibility/2006">
          <mc:Choice Requires="x14">
            <control shapeId="25607" r:id="rId10" name="Case à cocher 8">
              <controlPr defaultSize="0" autoFill="0" autoLine="0" autoPict="0">
                <anchor moveWithCells="1">
                  <from>
                    <xdr:col>1</xdr:col>
                    <xdr:colOff>161925</xdr:colOff>
                    <xdr:row>9</xdr:row>
                    <xdr:rowOff>9525</xdr:rowOff>
                  </from>
                  <to>
                    <xdr:col>1</xdr:col>
                    <xdr:colOff>342900</xdr:colOff>
                    <xdr:row>10</xdr:row>
                    <xdr:rowOff>9525</xdr:rowOff>
                  </to>
                </anchor>
              </controlPr>
            </control>
          </mc:Choice>
        </mc:AlternateContent>
        <mc:AlternateContent xmlns:mc="http://schemas.openxmlformats.org/markup-compatibility/2006">
          <mc:Choice Requires="x14">
            <control shapeId="25608" r:id="rId11" name="Case à cocher 9">
              <controlPr defaultSize="0" autoFill="0" autoLine="0" autoPict="0">
                <anchor moveWithCells="1">
                  <from>
                    <xdr:col>1</xdr:col>
                    <xdr:colOff>161925</xdr:colOff>
                    <xdr:row>10</xdr:row>
                    <xdr:rowOff>9525</xdr:rowOff>
                  </from>
                  <to>
                    <xdr:col>1</xdr:col>
                    <xdr:colOff>342900</xdr:colOff>
                    <xdr:row>11</xdr:row>
                    <xdr:rowOff>9525</xdr:rowOff>
                  </to>
                </anchor>
              </controlPr>
            </control>
          </mc:Choice>
        </mc:AlternateContent>
        <mc:AlternateContent xmlns:mc="http://schemas.openxmlformats.org/markup-compatibility/2006">
          <mc:Choice Requires="x14">
            <control shapeId="25609" r:id="rId12" name="Case à cocher 10">
              <controlPr defaultSize="0" autoFill="0" autoLine="0" autoPict="0">
                <anchor moveWithCells="1">
                  <from>
                    <xdr:col>1</xdr:col>
                    <xdr:colOff>161925</xdr:colOff>
                    <xdr:row>10</xdr:row>
                    <xdr:rowOff>171450</xdr:rowOff>
                  </from>
                  <to>
                    <xdr:col>1</xdr:col>
                    <xdr:colOff>342900</xdr:colOff>
                    <xdr:row>11</xdr:row>
                    <xdr:rowOff>171450</xdr:rowOff>
                  </to>
                </anchor>
              </controlPr>
            </control>
          </mc:Choice>
        </mc:AlternateContent>
        <mc:AlternateContent xmlns:mc="http://schemas.openxmlformats.org/markup-compatibility/2006">
          <mc:Choice Requires="x14">
            <control shapeId="25610" r:id="rId13" name="Case à cocher 11">
              <controlPr defaultSize="0" autoFill="0" autoLine="0" autoPict="0">
                <anchor moveWithCells="1">
                  <from>
                    <xdr:col>1</xdr:col>
                    <xdr:colOff>161925</xdr:colOff>
                    <xdr:row>11</xdr:row>
                    <xdr:rowOff>171450</xdr:rowOff>
                  </from>
                  <to>
                    <xdr:col>1</xdr:col>
                    <xdr:colOff>342900</xdr:colOff>
                    <xdr:row>12</xdr:row>
                    <xdr:rowOff>171450</xdr:rowOff>
                  </to>
                </anchor>
              </controlPr>
            </control>
          </mc:Choice>
        </mc:AlternateContent>
        <mc:AlternateContent xmlns:mc="http://schemas.openxmlformats.org/markup-compatibility/2006">
          <mc:Choice Requires="x14">
            <control shapeId="25611" r:id="rId14" name="Check Box 11">
              <controlPr defaultSize="0" autoFill="0" autoLine="0" autoPict="0">
                <anchor moveWithCells="1">
                  <from>
                    <xdr:col>1</xdr:col>
                    <xdr:colOff>161925</xdr:colOff>
                    <xdr:row>12</xdr:row>
                    <xdr:rowOff>171450</xdr:rowOff>
                  </from>
                  <to>
                    <xdr:col>1</xdr:col>
                    <xdr:colOff>342900</xdr:colOff>
                    <xdr:row>13</xdr:row>
                    <xdr:rowOff>171450</xdr:rowOff>
                  </to>
                </anchor>
              </controlPr>
            </control>
          </mc:Choice>
        </mc:AlternateContent>
        <mc:AlternateContent xmlns:mc="http://schemas.openxmlformats.org/markup-compatibility/2006">
          <mc:Choice Requires="x14">
            <control shapeId="25612" r:id="rId15" name="Check Box 13">
              <controlPr defaultSize="0" autoFill="0" autoLine="0" autoPict="0">
                <anchor moveWithCells="1">
                  <from>
                    <xdr:col>1</xdr:col>
                    <xdr:colOff>161925</xdr:colOff>
                    <xdr:row>13</xdr:row>
                    <xdr:rowOff>180975</xdr:rowOff>
                  </from>
                  <to>
                    <xdr:col>1</xdr:col>
                    <xdr:colOff>342900</xdr:colOff>
                    <xdr:row>15</xdr:row>
                    <xdr:rowOff>0</xdr:rowOff>
                  </to>
                </anchor>
              </controlPr>
            </control>
          </mc:Choice>
        </mc:AlternateContent>
        <mc:AlternateContent xmlns:mc="http://schemas.openxmlformats.org/markup-compatibility/2006">
          <mc:Choice Requires="x14">
            <control shapeId="25613" r:id="rId16" name="Check Box 14">
              <controlPr defaultSize="0" autoFill="0" autoLine="0" autoPict="0">
                <anchor moveWithCells="1">
                  <from>
                    <xdr:col>1</xdr:col>
                    <xdr:colOff>161925</xdr:colOff>
                    <xdr:row>14</xdr:row>
                    <xdr:rowOff>180975</xdr:rowOff>
                  </from>
                  <to>
                    <xdr:col>1</xdr:col>
                    <xdr:colOff>342900</xdr:colOff>
                    <xdr:row>16</xdr:row>
                    <xdr:rowOff>0</xdr:rowOff>
                  </to>
                </anchor>
              </controlPr>
            </control>
          </mc:Choice>
        </mc:AlternateContent>
        <mc:AlternateContent xmlns:mc="http://schemas.openxmlformats.org/markup-compatibility/2006">
          <mc:Choice Requires="x14">
            <control shapeId="25614" r:id="rId17" name="Check Box 15">
              <controlPr defaultSize="0" autoFill="0" autoLine="0" autoPict="0">
                <anchor moveWithCells="1">
                  <from>
                    <xdr:col>1</xdr:col>
                    <xdr:colOff>161925</xdr:colOff>
                    <xdr:row>16</xdr:row>
                    <xdr:rowOff>0</xdr:rowOff>
                  </from>
                  <to>
                    <xdr:col>1</xdr:col>
                    <xdr:colOff>342900</xdr:colOff>
                    <xdr:row>17</xdr:row>
                    <xdr:rowOff>0</xdr:rowOff>
                  </to>
                </anchor>
              </controlPr>
            </control>
          </mc:Choice>
        </mc:AlternateContent>
        <mc:AlternateContent xmlns:mc="http://schemas.openxmlformats.org/markup-compatibility/2006">
          <mc:Choice Requires="x14">
            <control shapeId="25615" r:id="rId18" name="Check Box 16">
              <controlPr defaultSize="0" autoFill="0" autoLine="0" autoPict="0">
                <anchor moveWithCells="1">
                  <from>
                    <xdr:col>1</xdr:col>
                    <xdr:colOff>161925</xdr:colOff>
                    <xdr:row>16</xdr:row>
                    <xdr:rowOff>180975</xdr:rowOff>
                  </from>
                  <to>
                    <xdr:col>1</xdr:col>
                    <xdr:colOff>342900</xdr:colOff>
                    <xdr:row>18</xdr:row>
                    <xdr:rowOff>0</xdr:rowOff>
                  </to>
                </anchor>
              </controlPr>
            </control>
          </mc:Choice>
        </mc:AlternateContent>
        <mc:AlternateContent xmlns:mc="http://schemas.openxmlformats.org/markup-compatibility/2006">
          <mc:Choice Requires="x14">
            <control shapeId="25616" r:id="rId19" name="Check Box 17">
              <controlPr defaultSize="0" autoFill="0" autoLine="0" autoPict="0">
                <anchor moveWithCells="1">
                  <from>
                    <xdr:col>1</xdr:col>
                    <xdr:colOff>161925</xdr:colOff>
                    <xdr:row>17</xdr:row>
                    <xdr:rowOff>180975</xdr:rowOff>
                  </from>
                  <to>
                    <xdr:col>1</xdr:col>
                    <xdr:colOff>342900</xdr:colOff>
                    <xdr:row>19</xdr:row>
                    <xdr:rowOff>0</xdr:rowOff>
                  </to>
                </anchor>
              </controlPr>
            </control>
          </mc:Choice>
        </mc:AlternateContent>
        <mc:AlternateContent xmlns:mc="http://schemas.openxmlformats.org/markup-compatibility/2006">
          <mc:Choice Requires="x14">
            <control shapeId="25617" r:id="rId20" name="Check Box 18">
              <controlPr defaultSize="0" autoFill="0" autoLine="0" autoPict="0">
                <anchor moveWithCells="1">
                  <from>
                    <xdr:col>1</xdr:col>
                    <xdr:colOff>161925</xdr:colOff>
                    <xdr:row>19</xdr:row>
                    <xdr:rowOff>0</xdr:rowOff>
                  </from>
                  <to>
                    <xdr:col>1</xdr:col>
                    <xdr:colOff>342900</xdr:colOff>
                    <xdr:row>20</xdr:row>
                    <xdr:rowOff>0</xdr:rowOff>
                  </to>
                </anchor>
              </controlPr>
            </control>
          </mc:Choice>
        </mc:AlternateContent>
        <mc:AlternateContent xmlns:mc="http://schemas.openxmlformats.org/markup-compatibility/2006">
          <mc:Choice Requires="x14">
            <control shapeId="25618" r:id="rId21" name="Check Box 19">
              <controlPr defaultSize="0" autoFill="0" autoLine="0" autoPict="0">
                <anchor moveWithCells="1">
                  <from>
                    <xdr:col>1</xdr:col>
                    <xdr:colOff>161925</xdr:colOff>
                    <xdr:row>20</xdr:row>
                    <xdr:rowOff>0</xdr:rowOff>
                  </from>
                  <to>
                    <xdr:col>1</xdr:col>
                    <xdr:colOff>342900</xdr:colOff>
                    <xdr:row>21</xdr:row>
                    <xdr:rowOff>0</xdr:rowOff>
                  </to>
                </anchor>
              </controlPr>
            </control>
          </mc:Choice>
        </mc:AlternateContent>
        <mc:AlternateContent xmlns:mc="http://schemas.openxmlformats.org/markup-compatibility/2006">
          <mc:Choice Requires="x14">
            <control shapeId="25619" r:id="rId22" name="Check Box 20">
              <controlPr defaultSize="0" autoFill="0" autoLine="0" autoPict="0">
                <anchor moveWithCells="1">
                  <from>
                    <xdr:col>1</xdr:col>
                    <xdr:colOff>161925</xdr:colOff>
                    <xdr:row>21</xdr:row>
                    <xdr:rowOff>9525</xdr:rowOff>
                  </from>
                  <to>
                    <xdr:col>1</xdr:col>
                    <xdr:colOff>342900</xdr:colOff>
                    <xdr:row>22</xdr:row>
                    <xdr:rowOff>9525</xdr:rowOff>
                  </to>
                </anchor>
              </controlPr>
            </control>
          </mc:Choice>
        </mc:AlternateContent>
        <mc:AlternateContent xmlns:mc="http://schemas.openxmlformats.org/markup-compatibility/2006">
          <mc:Choice Requires="x14">
            <control shapeId="25620" r:id="rId23" name="Check Box 21">
              <controlPr defaultSize="0" autoFill="0" autoLine="0" autoPict="0">
                <anchor moveWithCells="1">
                  <from>
                    <xdr:col>1</xdr:col>
                    <xdr:colOff>161925</xdr:colOff>
                    <xdr:row>22</xdr:row>
                    <xdr:rowOff>9525</xdr:rowOff>
                  </from>
                  <to>
                    <xdr:col>1</xdr:col>
                    <xdr:colOff>342900</xdr:colOff>
                    <xdr:row>23</xdr:row>
                    <xdr:rowOff>9525</xdr:rowOff>
                  </to>
                </anchor>
              </controlPr>
            </control>
          </mc:Choice>
        </mc:AlternateContent>
        <mc:AlternateContent xmlns:mc="http://schemas.openxmlformats.org/markup-compatibility/2006">
          <mc:Choice Requires="x14">
            <control shapeId="25621" r:id="rId24" name="Check Box 21">
              <controlPr defaultSize="0" autoFill="0" autoLine="0" autoPict="0">
                <anchor moveWithCells="1">
                  <from>
                    <xdr:col>1</xdr:col>
                    <xdr:colOff>161925</xdr:colOff>
                    <xdr:row>22</xdr:row>
                    <xdr:rowOff>180975</xdr:rowOff>
                  </from>
                  <to>
                    <xdr:col>1</xdr:col>
                    <xdr:colOff>342900</xdr:colOff>
                    <xdr:row>23</xdr:row>
                    <xdr:rowOff>180975</xdr:rowOff>
                  </to>
                </anchor>
              </controlPr>
            </control>
          </mc:Choice>
        </mc:AlternateContent>
        <mc:AlternateContent xmlns:mc="http://schemas.openxmlformats.org/markup-compatibility/2006">
          <mc:Choice Requires="x14">
            <control shapeId="25622" r:id="rId25" name="Check Box 22">
              <controlPr defaultSize="0" autoFill="0" autoLine="0" autoPict="0">
                <anchor moveWithCells="1">
                  <from>
                    <xdr:col>1</xdr:col>
                    <xdr:colOff>161925</xdr:colOff>
                    <xdr:row>24</xdr:row>
                    <xdr:rowOff>0</xdr:rowOff>
                  </from>
                  <to>
                    <xdr:col>1</xdr:col>
                    <xdr:colOff>342900</xdr:colOff>
                    <xdr:row>25</xdr:row>
                    <xdr:rowOff>0</xdr:rowOff>
                  </to>
                </anchor>
              </controlPr>
            </control>
          </mc:Choice>
        </mc:AlternateContent>
        <mc:AlternateContent xmlns:mc="http://schemas.openxmlformats.org/markup-compatibility/2006">
          <mc:Choice Requires="x14">
            <control shapeId="25623" r:id="rId26" name="Check Box 23">
              <controlPr defaultSize="0" autoFill="0" autoLine="0" autoPict="0">
                <anchor moveWithCells="1">
                  <from>
                    <xdr:col>1</xdr:col>
                    <xdr:colOff>161925</xdr:colOff>
                    <xdr:row>25</xdr:row>
                    <xdr:rowOff>171450</xdr:rowOff>
                  </from>
                  <to>
                    <xdr:col>1</xdr:col>
                    <xdr:colOff>342900</xdr:colOff>
                    <xdr:row>26</xdr:row>
                    <xdr:rowOff>171450</xdr:rowOff>
                  </to>
                </anchor>
              </controlPr>
            </control>
          </mc:Choice>
        </mc:AlternateContent>
        <mc:AlternateContent xmlns:mc="http://schemas.openxmlformats.org/markup-compatibility/2006">
          <mc:Choice Requires="x14">
            <control shapeId="25624" r:id="rId27" name="Check Box 24">
              <controlPr defaultSize="0" autoFill="0" autoLine="0" autoPict="0">
                <anchor moveWithCells="1">
                  <from>
                    <xdr:col>1</xdr:col>
                    <xdr:colOff>161925</xdr:colOff>
                    <xdr:row>26</xdr:row>
                    <xdr:rowOff>180975</xdr:rowOff>
                  </from>
                  <to>
                    <xdr:col>1</xdr:col>
                    <xdr:colOff>342900</xdr:colOff>
                    <xdr:row>27</xdr:row>
                    <xdr:rowOff>180975</xdr:rowOff>
                  </to>
                </anchor>
              </controlPr>
            </control>
          </mc:Choice>
        </mc:AlternateContent>
        <mc:AlternateContent xmlns:mc="http://schemas.openxmlformats.org/markup-compatibility/2006">
          <mc:Choice Requires="x14">
            <control shapeId="25625" r:id="rId28" name="Check Box 25">
              <controlPr defaultSize="0" autoFill="0" autoLine="0" autoPict="0">
                <anchor moveWithCells="1">
                  <from>
                    <xdr:col>1</xdr:col>
                    <xdr:colOff>161925</xdr:colOff>
                    <xdr:row>28</xdr:row>
                    <xdr:rowOff>9525</xdr:rowOff>
                  </from>
                  <to>
                    <xdr:col>1</xdr:col>
                    <xdr:colOff>342900</xdr:colOff>
                    <xdr:row>29</xdr:row>
                    <xdr:rowOff>9525</xdr:rowOff>
                  </to>
                </anchor>
              </controlPr>
            </control>
          </mc:Choice>
        </mc:AlternateContent>
        <mc:AlternateContent xmlns:mc="http://schemas.openxmlformats.org/markup-compatibility/2006">
          <mc:Choice Requires="x14">
            <control shapeId="25626" r:id="rId29" name="Check Box 26">
              <controlPr defaultSize="0" autoFill="0" autoLine="0" autoPict="0">
                <anchor moveWithCells="1">
                  <from>
                    <xdr:col>1</xdr:col>
                    <xdr:colOff>161925</xdr:colOff>
                    <xdr:row>29</xdr:row>
                    <xdr:rowOff>0</xdr:rowOff>
                  </from>
                  <to>
                    <xdr:col>1</xdr:col>
                    <xdr:colOff>342900</xdr:colOff>
                    <xdr:row>30</xdr:row>
                    <xdr:rowOff>0</xdr:rowOff>
                  </to>
                </anchor>
              </controlPr>
            </control>
          </mc:Choice>
        </mc:AlternateContent>
        <mc:AlternateContent xmlns:mc="http://schemas.openxmlformats.org/markup-compatibility/2006">
          <mc:Choice Requires="x14">
            <control shapeId="25627" r:id="rId30" name="Check Box 27">
              <controlPr defaultSize="0" autoFill="0" autoLine="0" autoPict="0">
                <anchor moveWithCells="1">
                  <from>
                    <xdr:col>1</xdr:col>
                    <xdr:colOff>161925</xdr:colOff>
                    <xdr:row>30</xdr:row>
                    <xdr:rowOff>0</xdr:rowOff>
                  </from>
                  <to>
                    <xdr:col>1</xdr:col>
                    <xdr:colOff>342900</xdr:colOff>
                    <xdr:row>31</xdr:row>
                    <xdr:rowOff>0</xdr:rowOff>
                  </to>
                </anchor>
              </controlPr>
            </control>
          </mc:Choice>
        </mc:AlternateContent>
        <mc:AlternateContent xmlns:mc="http://schemas.openxmlformats.org/markup-compatibility/2006">
          <mc:Choice Requires="x14">
            <control shapeId="25628" r:id="rId31" name="Check Box 28">
              <controlPr defaultSize="0" autoFill="0" autoLine="0" autoPict="0">
                <anchor moveWithCells="1">
                  <from>
                    <xdr:col>1</xdr:col>
                    <xdr:colOff>161925</xdr:colOff>
                    <xdr:row>31</xdr:row>
                    <xdr:rowOff>0</xdr:rowOff>
                  </from>
                  <to>
                    <xdr:col>1</xdr:col>
                    <xdr:colOff>342900</xdr:colOff>
                    <xdr:row>32</xdr:row>
                    <xdr:rowOff>0</xdr:rowOff>
                  </to>
                </anchor>
              </controlPr>
            </control>
          </mc:Choice>
        </mc:AlternateContent>
        <mc:AlternateContent xmlns:mc="http://schemas.openxmlformats.org/markup-compatibility/2006">
          <mc:Choice Requires="x14">
            <control shapeId="25629" r:id="rId32" name="Check Box 29">
              <controlPr defaultSize="0" autoFill="0" autoLine="0" autoPict="0">
                <anchor moveWithCells="1">
                  <from>
                    <xdr:col>1</xdr:col>
                    <xdr:colOff>152400</xdr:colOff>
                    <xdr:row>31</xdr:row>
                    <xdr:rowOff>171450</xdr:rowOff>
                  </from>
                  <to>
                    <xdr:col>1</xdr:col>
                    <xdr:colOff>333375</xdr:colOff>
                    <xdr:row>32</xdr:row>
                    <xdr:rowOff>171450</xdr:rowOff>
                  </to>
                </anchor>
              </controlPr>
            </control>
          </mc:Choice>
        </mc:AlternateContent>
        <mc:AlternateContent xmlns:mc="http://schemas.openxmlformats.org/markup-compatibility/2006">
          <mc:Choice Requires="x14">
            <control shapeId="25630" r:id="rId33" name="Check Box 30">
              <controlPr defaultSize="0" autoFill="0" autoLine="0" autoPict="0">
                <anchor moveWithCells="1">
                  <from>
                    <xdr:col>1</xdr:col>
                    <xdr:colOff>142875</xdr:colOff>
                    <xdr:row>33</xdr:row>
                    <xdr:rowOff>0</xdr:rowOff>
                  </from>
                  <to>
                    <xdr:col>1</xdr:col>
                    <xdr:colOff>323850</xdr:colOff>
                    <xdr:row>34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dimension ref="A3:P40"/>
  <sheetViews>
    <sheetView zoomScale="85" zoomScaleNormal="85" workbookViewId="0">
      <selection activeCell="C32" sqref="C32"/>
    </sheetView>
  </sheetViews>
  <sheetFormatPr defaultColWidth="11.42578125" defaultRowHeight="15" x14ac:dyDescent="0.25"/>
  <cols>
    <col min="1" max="1" width="18.5703125" customWidth="1"/>
    <col min="2" max="2" width="5.85546875" customWidth="1"/>
    <col min="3" max="3" width="11.42578125" style="2"/>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3" x14ac:dyDescent="0.25">
      <c r="C3" s="3" t="s">
        <v>1</v>
      </c>
      <c r="D3" s="3" t="s">
        <v>24</v>
      </c>
      <c r="E3" s="19" t="s">
        <v>16</v>
      </c>
      <c r="F3" s="16" t="s">
        <v>15</v>
      </c>
      <c r="G3" s="21" t="s">
        <v>14</v>
      </c>
      <c r="H3" s="17" t="s">
        <v>0</v>
      </c>
      <c r="I3" s="19" t="s">
        <v>29</v>
      </c>
      <c r="J3" s="16" t="s">
        <v>30</v>
      </c>
      <c r="K3" s="21" t="s">
        <v>14</v>
      </c>
      <c r="L3" s="17" t="s">
        <v>31</v>
      </c>
    </row>
    <row r="4" spans="1:13" x14ac:dyDescent="0.25">
      <c r="A4" t="s">
        <v>2</v>
      </c>
      <c r="C4" s="28">
        <v>5</v>
      </c>
      <c r="E4" s="20">
        <f>10/100</f>
        <v>0.1</v>
      </c>
      <c r="F4" s="6">
        <f>1.6/100</f>
        <v>1.6E-2</v>
      </c>
      <c r="G4" s="22">
        <f>11/100</f>
        <v>0.11</v>
      </c>
      <c r="H4" s="18">
        <f>148/100</f>
        <v>1.48</v>
      </c>
      <c r="I4" s="20">
        <f t="shared" ref="I4:K33" si="0">IF($M4=TRUE,E4*$C4,0)</f>
        <v>0</v>
      </c>
      <c r="J4" s="6">
        <f t="shared" si="0"/>
        <v>0</v>
      </c>
      <c r="K4" s="22">
        <f t="shared" si="0"/>
        <v>0</v>
      </c>
      <c r="L4" s="18">
        <f t="shared" ref="L4:L34" si="1">IF($M4=TRUE, H4*C4,0)</f>
        <v>0</v>
      </c>
      <c r="M4" t="b">
        <v>0</v>
      </c>
    </row>
    <row r="5" spans="1:13" x14ac:dyDescent="0.25">
      <c r="A5" s="32" t="s">
        <v>3</v>
      </c>
      <c r="B5" s="32"/>
      <c r="C5" s="33">
        <v>52</v>
      </c>
      <c r="E5" s="20">
        <f>12/100</f>
        <v>0.12</v>
      </c>
      <c r="F5" s="6">
        <f>60/100</f>
        <v>0.6</v>
      </c>
      <c r="G5" s="22">
        <f>7.1/100</f>
        <v>7.0999999999999994E-2</v>
      </c>
      <c r="H5" s="18">
        <f>371/100</f>
        <v>3.71</v>
      </c>
      <c r="I5" s="20">
        <f t="shared" si="0"/>
        <v>6.24</v>
      </c>
      <c r="J5" s="6">
        <f t="shared" si="0"/>
        <v>31.2</v>
      </c>
      <c r="K5" s="22">
        <f t="shared" si="0"/>
        <v>3.6919999999999997</v>
      </c>
      <c r="L5" s="18">
        <f t="shared" si="1"/>
        <v>192.92</v>
      </c>
      <c r="M5" t="b">
        <v>1</v>
      </c>
    </row>
    <row r="6" spans="1:13" x14ac:dyDescent="0.25">
      <c r="A6" t="s">
        <v>4</v>
      </c>
      <c r="C6" s="28">
        <v>1</v>
      </c>
      <c r="E6" s="20">
        <v>10.1</v>
      </c>
      <c r="F6" s="6">
        <v>34.1</v>
      </c>
      <c r="G6" s="22">
        <v>10.1</v>
      </c>
      <c r="H6" s="18">
        <v>400</v>
      </c>
      <c r="I6" s="20">
        <f t="shared" si="0"/>
        <v>0</v>
      </c>
      <c r="J6" s="6">
        <f t="shared" si="0"/>
        <v>0</v>
      </c>
      <c r="K6" s="22">
        <f t="shared" si="0"/>
        <v>0</v>
      </c>
      <c r="L6" s="18">
        <f t="shared" si="1"/>
        <v>0</v>
      </c>
      <c r="M6" t="b">
        <v>0</v>
      </c>
    </row>
    <row r="7" spans="1:13" x14ac:dyDescent="0.25">
      <c r="A7" s="36" t="s">
        <v>5</v>
      </c>
      <c r="B7" s="36"/>
      <c r="C7" s="38">
        <f>298</f>
        <v>298</v>
      </c>
      <c r="E7" s="20">
        <f>20.7/100</f>
        <v>0.20699999999999999</v>
      </c>
      <c r="F7" s="6">
        <f>2.2/100</f>
        <v>2.2000000000000002E-2</v>
      </c>
      <c r="G7" s="22">
        <f>0.9/100</f>
        <v>9.0000000000000011E-3</v>
      </c>
      <c r="H7" s="18">
        <f>94/100</f>
        <v>0.94</v>
      </c>
      <c r="I7" s="20">
        <f t="shared" si="0"/>
        <v>61.686</v>
      </c>
      <c r="J7" s="6">
        <f t="shared" si="0"/>
        <v>6.5560000000000009</v>
      </c>
      <c r="K7" s="22">
        <f t="shared" si="0"/>
        <v>2.6820000000000004</v>
      </c>
      <c r="L7" s="18">
        <f t="shared" si="1"/>
        <v>280.12</v>
      </c>
      <c r="M7" t="b">
        <v>1</v>
      </c>
    </row>
    <row r="8" spans="1:13" x14ac:dyDescent="0.25">
      <c r="A8" s="36" t="s">
        <v>6</v>
      </c>
      <c r="B8" s="36"/>
      <c r="C8" s="38">
        <v>256</v>
      </c>
      <c r="E8" s="20">
        <f>20/100</f>
        <v>0.2</v>
      </c>
      <c r="F8" s="6">
        <f>0.2/100</f>
        <v>2E-3</v>
      </c>
      <c r="G8" s="22">
        <f>5/100</f>
        <v>0.05</v>
      </c>
      <c r="H8" s="18">
        <f>126/100</f>
        <v>1.26</v>
      </c>
      <c r="I8" s="20">
        <f t="shared" si="0"/>
        <v>51.2</v>
      </c>
      <c r="J8" s="6">
        <f t="shared" si="0"/>
        <v>0.51200000000000001</v>
      </c>
      <c r="K8" s="22">
        <f t="shared" si="0"/>
        <v>12.8</v>
      </c>
      <c r="L8" s="18">
        <f t="shared" si="1"/>
        <v>322.56</v>
      </c>
      <c r="M8" t="b">
        <v>1</v>
      </c>
    </row>
    <row r="9" spans="1:13" x14ac:dyDescent="0.25">
      <c r="A9" t="s">
        <v>7</v>
      </c>
      <c r="C9" s="28">
        <v>50</v>
      </c>
      <c r="E9" s="20">
        <f>12.68/100</f>
        <v>0.1268</v>
      </c>
      <c r="F9" s="6">
        <f>72.83/100</f>
        <v>0.72829999999999995</v>
      </c>
      <c r="G9" s="22">
        <f>1.05/100</f>
        <v>1.0500000000000001E-2</v>
      </c>
      <c r="H9" s="18">
        <f>360/100</f>
        <v>3.6</v>
      </c>
      <c r="I9" s="20">
        <f t="shared" si="0"/>
        <v>0</v>
      </c>
      <c r="J9" s="6">
        <f t="shared" si="0"/>
        <v>0</v>
      </c>
      <c r="K9" s="22">
        <f t="shared" si="0"/>
        <v>0</v>
      </c>
      <c r="L9" s="18">
        <f t="shared" si="1"/>
        <v>0</v>
      </c>
      <c r="M9" t="b">
        <v>0</v>
      </c>
    </row>
    <row r="10" spans="1:13" x14ac:dyDescent="0.25">
      <c r="A10" t="s">
        <v>8</v>
      </c>
      <c r="C10" s="28">
        <v>39</v>
      </c>
      <c r="E10" s="20">
        <f>8.8/100</f>
        <v>8.8000000000000009E-2</v>
      </c>
      <c r="F10" s="6">
        <f>72/100</f>
        <v>0.72</v>
      </c>
      <c r="G10" s="22">
        <f>2.2/100</f>
        <v>2.2000000000000002E-2</v>
      </c>
      <c r="H10" s="18">
        <f>343/100</f>
        <v>3.43</v>
      </c>
      <c r="I10" s="20">
        <f t="shared" si="0"/>
        <v>0</v>
      </c>
      <c r="J10" s="6">
        <f t="shared" si="0"/>
        <v>0</v>
      </c>
      <c r="K10" s="22">
        <f t="shared" si="0"/>
        <v>0</v>
      </c>
      <c r="L10" s="18">
        <f t="shared" si="1"/>
        <v>0</v>
      </c>
      <c r="M10" t="b">
        <v>0</v>
      </c>
    </row>
    <row r="11" spans="1:13" x14ac:dyDescent="0.25">
      <c r="A11" s="35" t="s">
        <v>9</v>
      </c>
      <c r="B11" s="35"/>
      <c r="C11" s="39">
        <f>158</f>
        <v>158</v>
      </c>
      <c r="E11" s="20">
        <f>1.5/100</f>
        <v>1.4999999999999999E-2</v>
      </c>
      <c r="F11" s="6">
        <f>20/100</f>
        <v>0.2</v>
      </c>
      <c r="G11" s="22">
        <v>0</v>
      </c>
      <c r="H11" s="18">
        <f>90/100</f>
        <v>0.9</v>
      </c>
      <c r="I11" s="20">
        <f t="shared" si="0"/>
        <v>2.37</v>
      </c>
      <c r="J11" s="6">
        <f t="shared" si="0"/>
        <v>31.6</v>
      </c>
      <c r="K11" s="22">
        <f t="shared" si="0"/>
        <v>0</v>
      </c>
      <c r="L11" s="18">
        <f t="shared" si="1"/>
        <v>142.20000000000002</v>
      </c>
      <c r="M11" t="b">
        <v>1</v>
      </c>
    </row>
    <row r="12" spans="1:13" x14ac:dyDescent="0.25">
      <c r="A12" s="35" t="s">
        <v>10</v>
      </c>
      <c r="B12" s="35"/>
      <c r="C12" s="39">
        <v>69</v>
      </c>
      <c r="E12" s="20">
        <f>1.6/100</f>
        <v>1.6E-2</v>
      </c>
      <c r="F12" s="6">
        <f>11/100</f>
        <v>0.11</v>
      </c>
      <c r="G12" s="22">
        <f>0.3/100</f>
        <v>3.0000000000000001E-3</v>
      </c>
      <c r="H12" s="18">
        <f>53/100</f>
        <v>0.53</v>
      </c>
      <c r="I12" s="20">
        <f t="shared" si="0"/>
        <v>0</v>
      </c>
      <c r="J12" s="6">
        <f t="shared" si="0"/>
        <v>0</v>
      </c>
      <c r="K12" s="22">
        <f t="shared" si="0"/>
        <v>0</v>
      </c>
      <c r="L12" s="18">
        <f t="shared" si="1"/>
        <v>0</v>
      </c>
      <c r="M12" t="b">
        <v>0</v>
      </c>
    </row>
    <row r="13" spans="1:13" x14ac:dyDescent="0.25">
      <c r="A13" s="35" t="s">
        <v>11</v>
      </c>
      <c r="B13" s="35"/>
      <c r="C13" s="39">
        <f>234+198</f>
        <v>432</v>
      </c>
      <c r="E13" s="20">
        <f>1/100</f>
        <v>0.01</v>
      </c>
      <c r="F13" s="6">
        <f>9/100</f>
        <v>0.09</v>
      </c>
      <c r="G13" s="22">
        <f>0.2/100</f>
        <v>2E-3</v>
      </c>
      <c r="H13" s="18">
        <f>45/100</f>
        <v>0.45</v>
      </c>
      <c r="I13" s="20">
        <f t="shared" si="0"/>
        <v>4.32</v>
      </c>
      <c r="J13" s="6">
        <f t="shared" si="0"/>
        <v>38.879999999999995</v>
      </c>
      <c r="K13" s="22">
        <f t="shared" si="0"/>
        <v>0.86399999999999999</v>
      </c>
      <c r="L13" s="18">
        <f t="shared" si="1"/>
        <v>194.4</v>
      </c>
      <c r="M13" t="b">
        <v>1</v>
      </c>
    </row>
    <row r="14" spans="1:13" x14ac:dyDescent="0.25">
      <c r="A14" t="s">
        <v>12</v>
      </c>
      <c r="C14" s="28">
        <v>130</v>
      </c>
      <c r="E14" s="20">
        <f>11/100</f>
        <v>0.11</v>
      </c>
      <c r="F14" s="6">
        <f>54/100</f>
        <v>0.54</v>
      </c>
      <c r="G14" s="22">
        <f>3.3/100</f>
        <v>3.3000000000000002E-2</v>
      </c>
      <c r="H14" s="18">
        <f>293/100</f>
        <v>2.93</v>
      </c>
      <c r="I14" s="20">
        <f t="shared" si="0"/>
        <v>0</v>
      </c>
      <c r="J14" s="6">
        <f t="shared" si="0"/>
        <v>0</v>
      </c>
      <c r="K14" s="22">
        <f t="shared" si="0"/>
        <v>0</v>
      </c>
      <c r="L14" s="18">
        <f t="shared" si="1"/>
        <v>0</v>
      </c>
      <c r="M14" t="b">
        <v>0</v>
      </c>
    </row>
    <row r="15" spans="1:13" x14ac:dyDescent="0.25">
      <c r="A15" t="s">
        <v>13</v>
      </c>
      <c r="C15" s="29">
        <v>1</v>
      </c>
      <c r="E15" s="20">
        <v>20</v>
      </c>
      <c r="F15" s="6">
        <v>1</v>
      </c>
      <c r="G15" s="22">
        <v>1</v>
      </c>
      <c r="H15" s="18">
        <v>93</v>
      </c>
      <c r="I15" s="20">
        <f t="shared" si="0"/>
        <v>20</v>
      </c>
      <c r="J15" s="6">
        <f t="shared" si="0"/>
        <v>1</v>
      </c>
      <c r="K15" s="22">
        <f t="shared" si="0"/>
        <v>1</v>
      </c>
      <c r="L15" s="18">
        <f t="shared" si="1"/>
        <v>93</v>
      </c>
      <c r="M15" t="b">
        <v>1</v>
      </c>
    </row>
    <row r="16" spans="1:13" x14ac:dyDescent="0.25">
      <c r="A16" t="s">
        <v>17</v>
      </c>
      <c r="C16" s="28">
        <v>24</v>
      </c>
      <c r="D16" s="2" t="s">
        <v>23</v>
      </c>
      <c r="E16" s="20">
        <f>3/100</f>
        <v>0.03</v>
      </c>
      <c r="F16" s="6">
        <f>11/100</f>
        <v>0.11</v>
      </c>
      <c r="G16" s="22">
        <f>1.5/100</f>
        <v>1.4999999999999999E-2</v>
      </c>
      <c r="H16" s="18">
        <f>74/100</f>
        <v>0.74</v>
      </c>
      <c r="I16" s="20">
        <f t="shared" si="0"/>
        <v>0</v>
      </c>
      <c r="J16" s="6">
        <f t="shared" si="0"/>
        <v>0</v>
      </c>
      <c r="K16" s="22">
        <f t="shared" si="0"/>
        <v>0</v>
      </c>
      <c r="L16" s="18">
        <f t="shared" si="1"/>
        <v>0</v>
      </c>
      <c r="M16" t="b">
        <v>0</v>
      </c>
    </row>
    <row r="17" spans="1:13" x14ac:dyDescent="0.25">
      <c r="A17" s="32" t="s">
        <v>18</v>
      </c>
      <c r="B17" s="32"/>
      <c r="C17" s="40">
        <f>248+100</f>
        <v>348</v>
      </c>
      <c r="E17" s="20">
        <f>3.2/100</f>
        <v>3.2000000000000001E-2</v>
      </c>
      <c r="F17" s="6">
        <f>4.8/100</f>
        <v>4.8000000000000001E-2</v>
      </c>
      <c r="G17" s="22">
        <f>1.6/100</f>
        <v>1.6E-2</v>
      </c>
      <c r="H17" s="18">
        <f>46/100</f>
        <v>0.46</v>
      </c>
      <c r="I17" s="20">
        <f t="shared" si="0"/>
        <v>11.136000000000001</v>
      </c>
      <c r="J17" s="6">
        <f t="shared" si="0"/>
        <v>16.704000000000001</v>
      </c>
      <c r="K17" s="22">
        <f t="shared" si="0"/>
        <v>5.5680000000000005</v>
      </c>
      <c r="L17" s="18">
        <f t="shared" si="1"/>
        <v>160.08000000000001</v>
      </c>
      <c r="M17" t="b">
        <v>1</v>
      </c>
    </row>
    <row r="18" spans="1:13" x14ac:dyDescent="0.25">
      <c r="A18" t="s">
        <v>19</v>
      </c>
      <c r="C18" s="28">
        <v>137</v>
      </c>
      <c r="D18" s="2" t="s">
        <v>25</v>
      </c>
      <c r="E18" s="20">
        <f>2/100</f>
        <v>0.02</v>
      </c>
      <c r="F18" s="6">
        <f>17/100</f>
        <v>0.17</v>
      </c>
      <c r="G18" s="22">
        <f>0.1/100</f>
        <v>1E-3</v>
      </c>
      <c r="H18" s="18">
        <f>77/100</f>
        <v>0.77</v>
      </c>
      <c r="I18" s="20">
        <f t="shared" si="0"/>
        <v>0</v>
      </c>
      <c r="J18" s="6">
        <f t="shared" si="0"/>
        <v>0</v>
      </c>
      <c r="K18" s="22">
        <f t="shared" si="0"/>
        <v>0</v>
      </c>
      <c r="L18" s="18">
        <f t="shared" si="1"/>
        <v>0</v>
      </c>
      <c r="M18" t="b">
        <v>0</v>
      </c>
    </row>
    <row r="19" spans="1:13" x14ac:dyDescent="0.25">
      <c r="A19" t="s">
        <v>20</v>
      </c>
      <c r="C19" s="28">
        <f>100</f>
        <v>100</v>
      </c>
      <c r="E19" s="20">
        <f>25/100</f>
        <v>0.25</v>
      </c>
      <c r="F19" s="6">
        <v>0</v>
      </c>
      <c r="G19" s="22">
        <f>1/100</f>
        <v>0.01</v>
      </c>
      <c r="H19" s="18">
        <f>109/100</f>
        <v>1.0900000000000001</v>
      </c>
      <c r="I19" s="20">
        <f t="shared" si="0"/>
        <v>0</v>
      </c>
      <c r="J19" s="6">
        <f t="shared" si="0"/>
        <v>0</v>
      </c>
      <c r="K19" s="22">
        <f t="shared" si="0"/>
        <v>0</v>
      </c>
      <c r="L19" s="18">
        <f t="shared" si="1"/>
        <v>0</v>
      </c>
      <c r="M19" t="b">
        <v>0</v>
      </c>
    </row>
    <row r="20" spans="1:13" x14ac:dyDescent="0.25">
      <c r="A20" s="35" t="s">
        <v>21</v>
      </c>
      <c r="B20" s="35"/>
      <c r="C20" s="39">
        <v>130</v>
      </c>
      <c r="D20" s="2" t="s">
        <v>22</v>
      </c>
      <c r="E20" s="20">
        <f>2.3/100</f>
        <v>2.3E-2</v>
      </c>
      <c r="F20" s="6">
        <f>7.2/100</f>
        <v>7.2000000000000008E-2</v>
      </c>
      <c r="G20" s="22">
        <f>0.5/100</f>
        <v>5.0000000000000001E-3</v>
      </c>
      <c r="H20" s="18">
        <f>44/100</f>
        <v>0.44</v>
      </c>
      <c r="I20" s="20">
        <f t="shared" si="0"/>
        <v>0</v>
      </c>
      <c r="J20" s="6">
        <f t="shared" si="0"/>
        <v>0</v>
      </c>
      <c r="K20" s="22">
        <f t="shared" si="0"/>
        <v>0</v>
      </c>
      <c r="L20" s="18">
        <f t="shared" si="1"/>
        <v>0</v>
      </c>
      <c r="M20" t="b">
        <v>0</v>
      </c>
    </row>
    <row r="21" spans="1:13" x14ac:dyDescent="0.25">
      <c r="A21" t="s">
        <v>26</v>
      </c>
      <c r="C21" s="28"/>
      <c r="E21" s="20">
        <v>0</v>
      </c>
      <c r="F21" s="6">
        <v>0</v>
      </c>
      <c r="G21" s="22">
        <v>0</v>
      </c>
      <c r="H21" s="18">
        <f>275/100</f>
        <v>2.75</v>
      </c>
      <c r="I21" s="20">
        <f t="shared" si="0"/>
        <v>0</v>
      </c>
      <c r="J21" s="6">
        <f t="shared" si="0"/>
        <v>0</v>
      </c>
      <c r="K21" s="22">
        <f t="shared" si="0"/>
        <v>0</v>
      </c>
      <c r="L21" s="18">
        <f t="shared" si="1"/>
        <v>0</v>
      </c>
      <c r="M21" t="b">
        <v>0</v>
      </c>
    </row>
    <row r="22" spans="1:13" x14ac:dyDescent="0.25">
      <c r="A22" t="s">
        <v>32</v>
      </c>
      <c r="C22" s="28">
        <v>6</v>
      </c>
      <c r="E22" s="20">
        <f>22/100</f>
        <v>0.22</v>
      </c>
      <c r="F22" s="6">
        <f>6.9/100</f>
        <v>6.9000000000000006E-2</v>
      </c>
      <c r="G22" s="22">
        <f>54/100</f>
        <v>0.54</v>
      </c>
      <c r="H22" s="18">
        <f>620/100</f>
        <v>6.2</v>
      </c>
      <c r="I22" s="20">
        <f t="shared" si="0"/>
        <v>0</v>
      </c>
      <c r="J22" s="6">
        <f t="shared" si="0"/>
        <v>0</v>
      </c>
      <c r="K22" s="22">
        <f t="shared" si="0"/>
        <v>0</v>
      </c>
      <c r="L22" s="18">
        <f t="shared" si="1"/>
        <v>0</v>
      </c>
      <c r="M22" t="b">
        <v>0</v>
      </c>
    </row>
    <row r="23" spans="1:13" x14ac:dyDescent="0.25">
      <c r="A23" t="s">
        <v>33</v>
      </c>
      <c r="C23" s="28">
        <v>143</v>
      </c>
      <c r="E23" s="20">
        <v>3.6</v>
      </c>
      <c r="F23" s="6">
        <v>0.2</v>
      </c>
      <c r="G23" s="22">
        <v>0.1</v>
      </c>
      <c r="H23" s="18">
        <f>17</f>
        <v>17</v>
      </c>
      <c r="I23" s="20">
        <f t="shared" si="0"/>
        <v>0</v>
      </c>
      <c r="J23" s="6">
        <f t="shared" si="0"/>
        <v>0</v>
      </c>
      <c r="K23" s="22">
        <f t="shared" si="0"/>
        <v>0</v>
      </c>
      <c r="L23" s="18">
        <f t="shared" si="1"/>
        <v>0</v>
      </c>
      <c r="M23" t="b">
        <v>0</v>
      </c>
    </row>
    <row r="24" spans="1:13" x14ac:dyDescent="0.25">
      <c r="A24" t="s">
        <v>34</v>
      </c>
      <c r="C24" s="28">
        <v>50</v>
      </c>
      <c r="E24" s="20">
        <f>7.4/100</f>
        <v>7.400000000000001E-2</v>
      </c>
      <c r="F24" s="6">
        <f>78.7/100</f>
        <v>0.78700000000000003</v>
      </c>
      <c r="G24" s="22">
        <f>0.7/100</f>
        <v>6.9999999999999993E-3</v>
      </c>
      <c r="H24" s="18">
        <f>351/100</f>
        <v>3.51</v>
      </c>
      <c r="I24" s="20">
        <f t="shared" si="0"/>
        <v>0</v>
      </c>
      <c r="J24" s="6">
        <f t="shared" si="0"/>
        <v>0</v>
      </c>
      <c r="K24" s="22">
        <f t="shared" si="0"/>
        <v>0</v>
      </c>
      <c r="L24" s="18">
        <f t="shared" si="1"/>
        <v>0</v>
      </c>
      <c r="M24" t="b">
        <v>0</v>
      </c>
    </row>
    <row r="25" spans="1:13" x14ac:dyDescent="0.25">
      <c r="A25" s="34" t="s">
        <v>33</v>
      </c>
      <c r="B25" s="32"/>
      <c r="C25" s="40">
        <f>150+140</f>
        <v>290</v>
      </c>
      <c r="E25" s="20">
        <f>11/100</f>
        <v>0.11</v>
      </c>
      <c r="F25" s="6">
        <f>0.7/100</f>
        <v>6.9999999999999993E-3</v>
      </c>
      <c r="G25" s="22">
        <f>0.2/100</f>
        <v>2E-3</v>
      </c>
      <c r="H25" s="18">
        <f>52/100</f>
        <v>0.52</v>
      </c>
      <c r="I25" s="20">
        <f t="shared" si="0"/>
        <v>31.9</v>
      </c>
      <c r="J25" s="6">
        <f t="shared" si="0"/>
        <v>2.0299999999999998</v>
      </c>
      <c r="K25" s="22">
        <f t="shared" si="0"/>
        <v>0.57999999999999996</v>
      </c>
      <c r="L25" s="18">
        <f t="shared" si="1"/>
        <v>150.80000000000001</v>
      </c>
      <c r="M25" t="b">
        <v>1</v>
      </c>
    </row>
    <row r="26" spans="1:13" x14ac:dyDescent="0.25">
      <c r="A26" t="s">
        <v>55</v>
      </c>
      <c r="C26" s="28"/>
      <c r="E26" s="20">
        <f>19/100</f>
        <v>0.19</v>
      </c>
      <c r="F26" s="6">
        <f>61/100</f>
        <v>0.61</v>
      </c>
      <c r="G26" s="22">
        <f>6/100</f>
        <v>0.06</v>
      </c>
      <c r="H26" s="18">
        <f>364/100</f>
        <v>3.64</v>
      </c>
      <c r="I26" s="20">
        <f t="shared" si="0"/>
        <v>0</v>
      </c>
      <c r="J26" s="6">
        <f t="shared" si="0"/>
        <v>0</v>
      </c>
      <c r="K26" s="22">
        <f t="shared" si="0"/>
        <v>0</v>
      </c>
      <c r="L26" s="18">
        <f t="shared" si="1"/>
        <v>0</v>
      </c>
      <c r="M26" t="b">
        <v>0</v>
      </c>
    </row>
    <row r="27" spans="1:13" x14ac:dyDescent="0.25">
      <c r="A27" s="36" t="s">
        <v>57</v>
      </c>
      <c r="B27" s="36"/>
      <c r="C27" s="41">
        <v>150</v>
      </c>
      <c r="E27" s="20">
        <f>19/100</f>
        <v>0.19</v>
      </c>
      <c r="F27" s="6">
        <v>0</v>
      </c>
      <c r="G27" s="22">
        <f>12/100</f>
        <v>0.12</v>
      </c>
      <c r="H27" s="18">
        <f>184/100</f>
        <v>1.84</v>
      </c>
      <c r="I27" s="20">
        <f t="shared" si="0"/>
        <v>0</v>
      </c>
      <c r="J27" s="6">
        <f t="shared" si="0"/>
        <v>0</v>
      </c>
      <c r="K27" s="22">
        <f t="shared" si="0"/>
        <v>0</v>
      </c>
      <c r="L27" s="18">
        <f t="shared" si="1"/>
        <v>0</v>
      </c>
      <c r="M27" t="b">
        <v>0</v>
      </c>
    </row>
    <row r="28" spans="1:13" x14ac:dyDescent="0.25">
      <c r="A28" t="s">
        <v>58</v>
      </c>
      <c r="C28" s="28">
        <v>288</v>
      </c>
      <c r="E28" s="20">
        <f>1.6/100</f>
        <v>1.6E-2</v>
      </c>
      <c r="F28" s="6">
        <f>20/100</f>
        <v>0.2</v>
      </c>
      <c r="G28" s="22">
        <f>0.1/100</f>
        <v>1E-3</v>
      </c>
      <c r="H28" s="18">
        <f>86/100</f>
        <v>0.86</v>
      </c>
      <c r="I28" s="20">
        <f t="shared" si="0"/>
        <v>0</v>
      </c>
      <c r="J28" s="6">
        <f t="shared" si="0"/>
        <v>0</v>
      </c>
      <c r="K28" s="22">
        <f t="shared" si="0"/>
        <v>0</v>
      </c>
      <c r="L28" s="18">
        <f t="shared" si="1"/>
        <v>0</v>
      </c>
      <c r="M28" t="b">
        <v>0</v>
      </c>
    </row>
    <row r="29" spans="1:13" x14ac:dyDescent="0.25">
      <c r="A29" s="36" t="s">
        <v>59</v>
      </c>
      <c r="B29" s="36"/>
      <c r="C29" s="38">
        <v>360</v>
      </c>
      <c r="E29" s="20">
        <f>20/100</f>
        <v>0.2</v>
      </c>
      <c r="F29" s="6">
        <v>0</v>
      </c>
      <c r="G29" s="22">
        <f>5/100</f>
        <v>0.05</v>
      </c>
      <c r="H29" s="18">
        <f>121/100</f>
        <v>1.21</v>
      </c>
      <c r="I29" s="20">
        <f t="shared" si="0"/>
        <v>0</v>
      </c>
      <c r="J29" s="6">
        <f t="shared" si="0"/>
        <v>0</v>
      </c>
      <c r="K29" s="22">
        <f t="shared" si="0"/>
        <v>0</v>
      </c>
      <c r="L29" s="18">
        <f t="shared" si="1"/>
        <v>0</v>
      </c>
      <c r="M29" t="b">
        <v>0</v>
      </c>
    </row>
    <row r="30" spans="1:13" x14ac:dyDescent="0.25">
      <c r="A30" t="s">
        <v>60</v>
      </c>
      <c r="C30" s="28">
        <v>66</v>
      </c>
      <c r="E30" s="20">
        <f>7.5/100</f>
        <v>7.4999999999999997E-2</v>
      </c>
      <c r="F30" s="6">
        <f>78/100</f>
        <v>0.78</v>
      </c>
      <c r="G30" s="22">
        <f>0.6/100</f>
        <v>6.0000000000000001E-3</v>
      </c>
      <c r="H30" s="18">
        <f>347/100</f>
        <v>3.47</v>
      </c>
      <c r="I30" s="20">
        <f t="shared" si="0"/>
        <v>0</v>
      </c>
      <c r="J30" s="6">
        <f t="shared" si="0"/>
        <v>0</v>
      </c>
      <c r="K30" s="22">
        <f t="shared" si="0"/>
        <v>0</v>
      </c>
      <c r="L30" s="18">
        <f t="shared" si="1"/>
        <v>0</v>
      </c>
      <c r="M30" t="b">
        <v>0</v>
      </c>
    </row>
    <row r="31" spans="1:13" x14ac:dyDescent="0.25">
      <c r="A31" t="s">
        <v>63</v>
      </c>
      <c r="C31" s="28">
        <v>39</v>
      </c>
      <c r="E31" s="20">
        <f>1.4/100</f>
        <v>1.3999999999999999E-2</v>
      </c>
      <c r="F31" s="6">
        <f>9/100</f>
        <v>0.09</v>
      </c>
      <c r="G31" s="22">
        <f>0.2/100</f>
        <v>2E-3</v>
      </c>
      <c r="H31" s="18">
        <f>43/100</f>
        <v>0.43</v>
      </c>
      <c r="I31" s="20">
        <f t="shared" si="0"/>
        <v>0.54599999999999993</v>
      </c>
      <c r="J31" s="6">
        <f t="shared" si="0"/>
        <v>3.51</v>
      </c>
      <c r="K31" s="22">
        <f t="shared" si="0"/>
        <v>7.8E-2</v>
      </c>
      <c r="L31" s="18">
        <f t="shared" si="1"/>
        <v>16.77</v>
      </c>
      <c r="M31" t="b">
        <v>1</v>
      </c>
    </row>
    <row r="32" spans="1:13" x14ac:dyDescent="0.25">
      <c r="A32" t="s">
        <v>64</v>
      </c>
      <c r="C32" s="28">
        <v>10</v>
      </c>
      <c r="E32" s="20">
        <f>4.1/100</f>
        <v>4.0999999999999995E-2</v>
      </c>
      <c r="F32" s="6">
        <f>6.6/100</f>
        <v>6.6000000000000003E-2</v>
      </c>
      <c r="G32" s="22">
        <f>5/100</f>
        <v>0.05</v>
      </c>
      <c r="H32" s="18">
        <f>84/100</f>
        <v>0.84</v>
      </c>
      <c r="I32" s="20">
        <f t="shared" si="0"/>
        <v>0</v>
      </c>
      <c r="J32" s="6">
        <f t="shared" si="0"/>
        <v>0</v>
      </c>
      <c r="K32" s="22">
        <f t="shared" si="0"/>
        <v>0</v>
      </c>
      <c r="L32" s="18">
        <f t="shared" si="1"/>
        <v>0</v>
      </c>
      <c r="M32" t="b">
        <v>0</v>
      </c>
    </row>
    <row r="33" spans="1:16" x14ac:dyDescent="0.25">
      <c r="A33" t="s">
        <v>66</v>
      </c>
      <c r="C33" s="28">
        <v>70</v>
      </c>
      <c r="E33" s="20">
        <f>14.1/100</f>
        <v>0.14099999999999999</v>
      </c>
      <c r="F33" s="6">
        <f>68.9/100</f>
        <v>0.68900000000000006</v>
      </c>
      <c r="G33" s="22">
        <f>5.8/100</f>
        <v>5.7999999999999996E-2</v>
      </c>
      <c r="H33" s="18">
        <f>380/100</f>
        <v>3.8</v>
      </c>
      <c r="I33" s="20">
        <f t="shared" si="0"/>
        <v>0</v>
      </c>
      <c r="J33" s="6">
        <f t="shared" si="0"/>
        <v>0</v>
      </c>
      <c r="K33" s="22">
        <f t="shared" si="0"/>
        <v>0</v>
      </c>
      <c r="L33" s="18">
        <f t="shared" si="1"/>
        <v>0</v>
      </c>
      <c r="M33" t="b">
        <v>0</v>
      </c>
      <c r="N33" s="2" t="s">
        <v>68</v>
      </c>
    </row>
    <row r="34" spans="1:16" x14ac:dyDescent="0.25">
      <c r="A34" s="34" t="s">
        <v>67</v>
      </c>
      <c r="B34" s="32"/>
      <c r="C34" s="40">
        <f>22+22</f>
        <v>44</v>
      </c>
      <c r="E34" s="20">
        <f>2.4/100</f>
        <v>2.4E-2</v>
      </c>
      <c r="F34" s="6">
        <v>0</v>
      </c>
      <c r="G34" s="22">
        <f>27/100</f>
        <v>0.27</v>
      </c>
      <c r="H34" s="18">
        <f>350/100</f>
        <v>3.5</v>
      </c>
      <c r="I34" s="20">
        <f>IF($M34=TRUE,E34*$C34,0)</f>
        <v>1.056</v>
      </c>
      <c r="J34" s="6">
        <f>IF($M34=TRUE,F34*$C34,0)</f>
        <v>0</v>
      </c>
      <c r="K34" s="22">
        <f>IF($M34=TRUE,G34*$C34,0)</f>
        <v>11.88</v>
      </c>
      <c r="L34" s="18">
        <f t="shared" si="1"/>
        <v>154</v>
      </c>
      <c r="M34" t="b">
        <v>1</v>
      </c>
      <c r="N34" s="2">
        <v>68.5</v>
      </c>
      <c r="P34">
        <v>1</v>
      </c>
    </row>
    <row r="35" spans="1:16" x14ac:dyDescent="0.25">
      <c r="N35" s="2">
        <v>67</v>
      </c>
      <c r="P35">
        <v>2.2046199999999998</v>
      </c>
    </row>
    <row r="37" spans="1:16" x14ac:dyDescent="0.25">
      <c r="L37" t="s">
        <v>65</v>
      </c>
    </row>
    <row r="39" spans="1:16" x14ac:dyDescent="0.25">
      <c r="I39" s="23">
        <f>SUM(I4:I38)</f>
        <v>190.45400000000001</v>
      </c>
      <c r="J39" s="15">
        <f>SUM(J4:J38)</f>
        <v>131.99199999999999</v>
      </c>
      <c r="K39" s="24">
        <f>SUM(K4:K38)</f>
        <v>39.143999999999998</v>
      </c>
      <c r="L39" s="4">
        <f>SUM(L4:L33)</f>
        <v>1552.85</v>
      </c>
    </row>
    <row r="40" spans="1:16" x14ac:dyDescent="0.25">
      <c r="I40" s="25">
        <f>1.25 * $P35 * $N35</f>
        <v>184.63692499999999</v>
      </c>
      <c r="J40" s="26">
        <f>1 * $P35 * $N35</f>
        <v>147.70953999999998</v>
      </c>
      <c r="K40" s="27">
        <f>0.27 * $P35 * $N35</f>
        <v>39.8815758</v>
      </c>
      <c r="L40">
        <f>11.43*P35* N34</f>
        <v>1726.1182520999998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ase à cocher 1">
              <controlPr defaultSize="0" autoFill="0" autoLine="0" autoPict="0">
                <anchor moveWithCells="1">
                  <from>
                    <xdr:col>1</xdr:col>
                    <xdr:colOff>161925</xdr:colOff>
                    <xdr:row>3</xdr:row>
                    <xdr:rowOff>19050</xdr:rowOff>
                  </from>
                  <to>
                    <xdr:col>1</xdr:col>
                    <xdr:colOff>342900</xdr:colOff>
                    <xdr:row>4</xdr:row>
                    <xdr:rowOff>19050</xdr:rowOff>
                  </to>
                </anchor>
              </controlPr>
            </control>
          </mc:Choice>
        </mc:AlternateContent>
        <mc:AlternateContent xmlns:mc="http://schemas.openxmlformats.org/markup-compatibility/2006">
          <mc:Choice Requires="x14">
            <control shapeId="28674" r:id="rId5" name="Case à cocher 2">
              <controlPr defaultSize="0" autoFill="0" autoLine="0" autoPict="0">
                <anchor moveWithCells="1">
                  <from>
                    <xdr:col>1</xdr:col>
                    <xdr:colOff>161925</xdr:colOff>
                    <xdr:row>4</xdr:row>
                    <xdr:rowOff>9525</xdr:rowOff>
                  </from>
                  <to>
                    <xdr:col>1</xdr:col>
                    <xdr:colOff>342900</xdr:colOff>
                    <xdr:row>5</xdr:row>
                    <xdr:rowOff>9525</xdr:rowOff>
                  </to>
                </anchor>
              </controlPr>
            </control>
          </mc:Choice>
        </mc:AlternateContent>
        <mc:AlternateContent xmlns:mc="http://schemas.openxmlformats.org/markup-compatibility/2006">
          <mc:Choice Requires="x14">
            <control shapeId="28675" r:id="rId6" name="Case à cocher 4">
              <controlPr defaultSize="0" autoFill="0" autoLine="0" autoPict="0">
                <anchor moveWithCells="1">
                  <from>
                    <xdr:col>1</xdr:col>
                    <xdr:colOff>161925</xdr:colOff>
                    <xdr:row>5</xdr:row>
                    <xdr:rowOff>19050</xdr:rowOff>
                  </from>
                  <to>
                    <xdr:col>1</xdr:col>
                    <xdr:colOff>342900</xdr:colOff>
                    <xdr:row>6</xdr:row>
                    <xdr:rowOff>19050</xdr:rowOff>
                  </to>
                </anchor>
              </controlPr>
            </control>
          </mc:Choice>
        </mc:AlternateContent>
        <mc:AlternateContent xmlns:mc="http://schemas.openxmlformats.org/markup-compatibility/2006">
          <mc:Choice Requires="x14">
            <control shapeId="28676" r:id="rId7" name="Case à cocher 5">
              <controlPr defaultSize="0" autoFill="0" autoLine="0" autoPict="0">
                <anchor moveWithCells="1">
                  <from>
                    <xdr:col>1</xdr:col>
                    <xdr:colOff>161925</xdr:colOff>
                    <xdr:row>7</xdr:row>
                    <xdr:rowOff>9525</xdr:rowOff>
                  </from>
                  <to>
                    <xdr:col>1</xdr:col>
                    <xdr:colOff>342900</xdr:colOff>
                    <xdr:row>8</xdr:row>
                    <xdr:rowOff>9525</xdr:rowOff>
                  </to>
                </anchor>
              </controlPr>
            </control>
          </mc:Choice>
        </mc:AlternateContent>
        <mc:AlternateContent xmlns:mc="http://schemas.openxmlformats.org/markup-compatibility/2006">
          <mc:Choice Requires="x14">
            <control shapeId="28677" r:id="rId8" name="Case à cocher 6">
              <controlPr defaultSize="0" autoFill="0" autoLine="0" autoPict="0">
                <anchor moveWithCells="1">
                  <from>
                    <xdr:col>1</xdr:col>
                    <xdr:colOff>161925</xdr:colOff>
                    <xdr:row>6</xdr:row>
                    <xdr:rowOff>19050</xdr:rowOff>
                  </from>
                  <to>
                    <xdr:col>1</xdr:col>
                    <xdr:colOff>342900</xdr:colOff>
                    <xdr:row>7</xdr:row>
                    <xdr:rowOff>19050</xdr:rowOff>
                  </to>
                </anchor>
              </controlPr>
            </control>
          </mc:Choice>
        </mc:AlternateContent>
        <mc:AlternateContent xmlns:mc="http://schemas.openxmlformats.org/markup-compatibility/2006">
          <mc:Choice Requires="x14">
            <control shapeId="28678" r:id="rId9" name="Case à cocher 7">
              <controlPr defaultSize="0" autoFill="0" autoLine="0" autoPict="0">
                <anchor moveWithCells="1">
                  <from>
                    <xdr:col>1</xdr:col>
                    <xdr:colOff>161925</xdr:colOff>
                    <xdr:row>8</xdr:row>
                    <xdr:rowOff>19050</xdr:rowOff>
                  </from>
                  <to>
                    <xdr:col>1</xdr:col>
                    <xdr:colOff>342900</xdr:colOff>
                    <xdr:row>9</xdr:row>
                    <xdr:rowOff>19050</xdr:rowOff>
                  </to>
                </anchor>
              </controlPr>
            </control>
          </mc:Choice>
        </mc:AlternateContent>
        <mc:AlternateContent xmlns:mc="http://schemas.openxmlformats.org/markup-compatibility/2006">
          <mc:Choice Requires="x14">
            <control shapeId="28679" r:id="rId10" name="Case à cocher 8">
              <controlPr defaultSize="0" autoFill="0" autoLine="0" autoPict="0">
                <anchor moveWithCells="1">
                  <from>
                    <xdr:col>1</xdr:col>
                    <xdr:colOff>161925</xdr:colOff>
                    <xdr:row>9</xdr:row>
                    <xdr:rowOff>9525</xdr:rowOff>
                  </from>
                  <to>
                    <xdr:col>1</xdr:col>
                    <xdr:colOff>342900</xdr:colOff>
                    <xdr:row>10</xdr:row>
                    <xdr:rowOff>9525</xdr:rowOff>
                  </to>
                </anchor>
              </controlPr>
            </control>
          </mc:Choice>
        </mc:AlternateContent>
        <mc:AlternateContent xmlns:mc="http://schemas.openxmlformats.org/markup-compatibility/2006">
          <mc:Choice Requires="x14">
            <control shapeId="28680" r:id="rId11" name="Case à cocher 9">
              <controlPr defaultSize="0" autoFill="0" autoLine="0" autoPict="0">
                <anchor moveWithCells="1">
                  <from>
                    <xdr:col>1</xdr:col>
                    <xdr:colOff>161925</xdr:colOff>
                    <xdr:row>10</xdr:row>
                    <xdr:rowOff>9525</xdr:rowOff>
                  </from>
                  <to>
                    <xdr:col>1</xdr:col>
                    <xdr:colOff>342900</xdr:colOff>
                    <xdr:row>11</xdr:row>
                    <xdr:rowOff>9525</xdr:rowOff>
                  </to>
                </anchor>
              </controlPr>
            </control>
          </mc:Choice>
        </mc:AlternateContent>
        <mc:AlternateContent xmlns:mc="http://schemas.openxmlformats.org/markup-compatibility/2006">
          <mc:Choice Requires="x14">
            <control shapeId="28681" r:id="rId12" name="Case à cocher 10">
              <controlPr defaultSize="0" autoFill="0" autoLine="0" autoPict="0">
                <anchor moveWithCells="1">
                  <from>
                    <xdr:col>1</xdr:col>
                    <xdr:colOff>161925</xdr:colOff>
                    <xdr:row>10</xdr:row>
                    <xdr:rowOff>171450</xdr:rowOff>
                  </from>
                  <to>
                    <xdr:col>1</xdr:col>
                    <xdr:colOff>342900</xdr:colOff>
                    <xdr:row>11</xdr:row>
                    <xdr:rowOff>171450</xdr:rowOff>
                  </to>
                </anchor>
              </controlPr>
            </control>
          </mc:Choice>
        </mc:AlternateContent>
        <mc:AlternateContent xmlns:mc="http://schemas.openxmlformats.org/markup-compatibility/2006">
          <mc:Choice Requires="x14">
            <control shapeId="28682" r:id="rId13" name="Case à cocher 11">
              <controlPr defaultSize="0" autoFill="0" autoLine="0" autoPict="0">
                <anchor moveWithCells="1">
                  <from>
                    <xdr:col>1</xdr:col>
                    <xdr:colOff>161925</xdr:colOff>
                    <xdr:row>11</xdr:row>
                    <xdr:rowOff>171450</xdr:rowOff>
                  </from>
                  <to>
                    <xdr:col>1</xdr:col>
                    <xdr:colOff>342900</xdr:colOff>
                    <xdr:row>12</xdr:row>
                    <xdr:rowOff>171450</xdr:rowOff>
                  </to>
                </anchor>
              </controlPr>
            </control>
          </mc:Choice>
        </mc:AlternateContent>
        <mc:AlternateContent xmlns:mc="http://schemas.openxmlformats.org/markup-compatibility/2006">
          <mc:Choice Requires="x14">
            <control shapeId="28683" r:id="rId14" name="Check Box 11">
              <controlPr defaultSize="0" autoFill="0" autoLine="0" autoPict="0">
                <anchor moveWithCells="1">
                  <from>
                    <xdr:col>1</xdr:col>
                    <xdr:colOff>161925</xdr:colOff>
                    <xdr:row>12</xdr:row>
                    <xdr:rowOff>171450</xdr:rowOff>
                  </from>
                  <to>
                    <xdr:col>1</xdr:col>
                    <xdr:colOff>342900</xdr:colOff>
                    <xdr:row>13</xdr:row>
                    <xdr:rowOff>171450</xdr:rowOff>
                  </to>
                </anchor>
              </controlPr>
            </control>
          </mc:Choice>
        </mc:AlternateContent>
        <mc:AlternateContent xmlns:mc="http://schemas.openxmlformats.org/markup-compatibility/2006">
          <mc:Choice Requires="x14">
            <control shapeId="28684" r:id="rId15" name="Check Box 13">
              <controlPr defaultSize="0" autoFill="0" autoLine="0" autoPict="0">
                <anchor moveWithCells="1">
                  <from>
                    <xdr:col>1</xdr:col>
                    <xdr:colOff>161925</xdr:colOff>
                    <xdr:row>13</xdr:row>
                    <xdr:rowOff>180975</xdr:rowOff>
                  </from>
                  <to>
                    <xdr:col>1</xdr:col>
                    <xdr:colOff>342900</xdr:colOff>
                    <xdr:row>15</xdr:row>
                    <xdr:rowOff>0</xdr:rowOff>
                  </to>
                </anchor>
              </controlPr>
            </control>
          </mc:Choice>
        </mc:AlternateContent>
        <mc:AlternateContent xmlns:mc="http://schemas.openxmlformats.org/markup-compatibility/2006">
          <mc:Choice Requires="x14">
            <control shapeId="28685" r:id="rId16" name="Check Box 14">
              <controlPr defaultSize="0" autoFill="0" autoLine="0" autoPict="0">
                <anchor moveWithCells="1">
                  <from>
                    <xdr:col>1</xdr:col>
                    <xdr:colOff>161925</xdr:colOff>
                    <xdr:row>14</xdr:row>
                    <xdr:rowOff>180975</xdr:rowOff>
                  </from>
                  <to>
                    <xdr:col>1</xdr:col>
                    <xdr:colOff>342900</xdr:colOff>
                    <xdr:row>16</xdr:row>
                    <xdr:rowOff>0</xdr:rowOff>
                  </to>
                </anchor>
              </controlPr>
            </control>
          </mc:Choice>
        </mc:AlternateContent>
        <mc:AlternateContent xmlns:mc="http://schemas.openxmlformats.org/markup-compatibility/2006">
          <mc:Choice Requires="x14">
            <control shapeId="28686" r:id="rId17" name="Check Box 15">
              <controlPr defaultSize="0" autoFill="0" autoLine="0" autoPict="0">
                <anchor moveWithCells="1">
                  <from>
                    <xdr:col>1</xdr:col>
                    <xdr:colOff>161925</xdr:colOff>
                    <xdr:row>16</xdr:row>
                    <xdr:rowOff>0</xdr:rowOff>
                  </from>
                  <to>
                    <xdr:col>1</xdr:col>
                    <xdr:colOff>342900</xdr:colOff>
                    <xdr:row>17</xdr:row>
                    <xdr:rowOff>0</xdr:rowOff>
                  </to>
                </anchor>
              </controlPr>
            </control>
          </mc:Choice>
        </mc:AlternateContent>
        <mc:AlternateContent xmlns:mc="http://schemas.openxmlformats.org/markup-compatibility/2006">
          <mc:Choice Requires="x14">
            <control shapeId="28687" r:id="rId18" name="Check Box 16">
              <controlPr defaultSize="0" autoFill="0" autoLine="0" autoPict="0">
                <anchor moveWithCells="1">
                  <from>
                    <xdr:col>1</xdr:col>
                    <xdr:colOff>161925</xdr:colOff>
                    <xdr:row>16</xdr:row>
                    <xdr:rowOff>180975</xdr:rowOff>
                  </from>
                  <to>
                    <xdr:col>1</xdr:col>
                    <xdr:colOff>342900</xdr:colOff>
                    <xdr:row>18</xdr:row>
                    <xdr:rowOff>0</xdr:rowOff>
                  </to>
                </anchor>
              </controlPr>
            </control>
          </mc:Choice>
        </mc:AlternateContent>
        <mc:AlternateContent xmlns:mc="http://schemas.openxmlformats.org/markup-compatibility/2006">
          <mc:Choice Requires="x14">
            <control shapeId="28688" r:id="rId19" name="Check Box 17">
              <controlPr defaultSize="0" autoFill="0" autoLine="0" autoPict="0">
                <anchor moveWithCells="1">
                  <from>
                    <xdr:col>1</xdr:col>
                    <xdr:colOff>161925</xdr:colOff>
                    <xdr:row>17</xdr:row>
                    <xdr:rowOff>180975</xdr:rowOff>
                  </from>
                  <to>
                    <xdr:col>1</xdr:col>
                    <xdr:colOff>342900</xdr:colOff>
                    <xdr:row>19</xdr:row>
                    <xdr:rowOff>0</xdr:rowOff>
                  </to>
                </anchor>
              </controlPr>
            </control>
          </mc:Choice>
        </mc:AlternateContent>
        <mc:AlternateContent xmlns:mc="http://schemas.openxmlformats.org/markup-compatibility/2006">
          <mc:Choice Requires="x14">
            <control shapeId="28689" r:id="rId20" name="Check Box 18">
              <controlPr defaultSize="0" autoFill="0" autoLine="0" autoPict="0">
                <anchor moveWithCells="1">
                  <from>
                    <xdr:col>1</xdr:col>
                    <xdr:colOff>161925</xdr:colOff>
                    <xdr:row>19</xdr:row>
                    <xdr:rowOff>0</xdr:rowOff>
                  </from>
                  <to>
                    <xdr:col>1</xdr:col>
                    <xdr:colOff>342900</xdr:colOff>
                    <xdr:row>20</xdr:row>
                    <xdr:rowOff>0</xdr:rowOff>
                  </to>
                </anchor>
              </controlPr>
            </control>
          </mc:Choice>
        </mc:AlternateContent>
        <mc:AlternateContent xmlns:mc="http://schemas.openxmlformats.org/markup-compatibility/2006">
          <mc:Choice Requires="x14">
            <control shapeId="28690" r:id="rId21" name="Check Box 19">
              <controlPr defaultSize="0" autoFill="0" autoLine="0" autoPict="0">
                <anchor moveWithCells="1">
                  <from>
                    <xdr:col>1</xdr:col>
                    <xdr:colOff>161925</xdr:colOff>
                    <xdr:row>20</xdr:row>
                    <xdr:rowOff>0</xdr:rowOff>
                  </from>
                  <to>
                    <xdr:col>1</xdr:col>
                    <xdr:colOff>342900</xdr:colOff>
                    <xdr:row>21</xdr:row>
                    <xdr:rowOff>0</xdr:rowOff>
                  </to>
                </anchor>
              </controlPr>
            </control>
          </mc:Choice>
        </mc:AlternateContent>
        <mc:AlternateContent xmlns:mc="http://schemas.openxmlformats.org/markup-compatibility/2006">
          <mc:Choice Requires="x14">
            <control shapeId="28691" r:id="rId22" name="Check Box 20">
              <controlPr defaultSize="0" autoFill="0" autoLine="0" autoPict="0">
                <anchor moveWithCells="1">
                  <from>
                    <xdr:col>1</xdr:col>
                    <xdr:colOff>161925</xdr:colOff>
                    <xdr:row>21</xdr:row>
                    <xdr:rowOff>9525</xdr:rowOff>
                  </from>
                  <to>
                    <xdr:col>1</xdr:col>
                    <xdr:colOff>342900</xdr:colOff>
                    <xdr:row>22</xdr:row>
                    <xdr:rowOff>9525</xdr:rowOff>
                  </to>
                </anchor>
              </controlPr>
            </control>
          </mc:Choice>
        </mc:AlternateContent>
        <mc:AlternateContent xmlns:mc="http://schemas.openxmlformats.org/markup-compatibility/2006">
          <mc:Choice Requires="x14">
            <control shapeId="28692" r:id="rId23" name="Check Box 21">
              <controlPr defaultSize="0" autoFill="0" autoLine="0" autoPict="0">
                <anchor moveWithCells="1">
                  <from>
                    <xdr:col>1</xdr:col>
                    <xdr:colOff>161925</xdr:colOff>
                    <xdr:row>22</xdr:row>
                    <xdr:rowOff>9525</xdr:rowOff>
                  </from>
                  <to>
                    <xdr:col>1</xdr:col>
                    <xdr:colOff>342900</xdr:colOff>
                    <xdr:row>23</xdr:row>
                    <xdr:rowOff>9525</xdr:rowOff>
                  </to>
                </anchor>
              </controlPr>
            </control>
          </mc:Choice>
        </mc:AlternateContent>
        <mc:AlternateContent xmlns:mc="http://schemas.openxmlformats.org/markup-compatibility/2006">
          <mc:Choice Requires="x14">
            <control shapeId="28693" r:id="rId24" name="Check Box 21">
              <controlPr defaultSize="0" autoFill="0" autoLine="0" autoPict="0">
                <anchor moveWithCells="1">
                  <from>
                    <xdr:col>1</xdr:col>
                    <xdr:colOff>161925</xdr:colOff>
                    <xdr:row>22</xdr:row>
                    <xdr:rowOff>180975</xdr:rowOff>
                  </from>
                  <to>
                    <xdr:col>1</xdr:col>
                    <xdr:colOff>342900</xdr:colOff>
                    <xdr:row>23</xdr:row>
                    <xdr:rowOff>180975</xdr:rowOff>
                  </to>
                </anchor>
              </controlPr>
            </control>
          </mc:Choice>
        </mc:AlternateContent>
        <mc:AlternateContent xmlns:mc="http://schemas.openxmlformats.org/markup-compatibility/2006">
          <mc:Choice Requires="x14">
            <control shapeId="28694" r:id="rId25" name="Check Box 22">
              <controlPr defaultSize="0" autoFill="0" autoLine="0" autoPict="0">
                <anchor moveWithCells="1">
                  <from>
                    <xdr:col>1</xdr:col>
                    <xdr:colOff>161925</xdr:colOff>
                    <xdr:row>24</xdr:row>
                    <xdr:rowOff>0</xdr:rowOff>
                  </from>
                  <to>
                    <xdr:col>1</xdr:col>
                    <xdr:colOff>342900</xdr:colOff>
                    <xdr:row>25</xdr:row>
                    <xdr:rowOff>0</xdr:rowOff>
                  </to>
                </anchor>
              </controlPr>
            </control>
          </mc:Choice>
        </mc:AlternateContent>
        <mc:AlternateContent xmlns:mc="http://schemas.openxmlformats.org/markup-compatibility/2006">
          <mc:Choice Requires="x14">
            <control shapeId="28695" r:id="rId26" name="Check Box 23">
              <controlPr defaultSize="0" autoFill="0" autoLine="0" autoPict="0">
                <anchor moveWithCells="1">
                  <from>
                    <xdr:col>1</xdr:col>
                    <xdr:colOff>161925</xdr:colOff>
                    <xdr:row>25</xdr:row>
                    <xdr:rowOff>171450</xdr:rowOff>
                  </from>
                  <to>
                    <xdr:col>1</xdr:col>
                    <xdr:colOff>342900</xdr:colOff>
                    <xdr:row>26</xdr:row>
                    <xdr:rowOff>171450</xdr:rowOff>
                  </to>
                </anchor>
              </controlPr>
            </control>
          </mc:Choice>
        </mc:AlternateContent>
        <mc:AlternateContent xmlns:mc="http://schemas.openxmlformats.org/markup-compatibility/2006">
          <mc:Choice Requires="x14">
            <control shapeId="28696" r:id="rId27" name="Check Box 24">
              <controlPr defaultSize="0" autoFill="0" autoLine="0" autoPict="0">
                <anchor moveWithCells="1">
                  <from>
                    <xdr:col>1</xdr:col>
                    <xdr:colOff>161925</xdr:colOff>
                    <xdr:row>26</xdr:row>
                    <xdr:rowOff>180975</xdr:rowOff>
                  </from>
                  <to>
                    <xdr:col>1</xdr:col>
                    <xdr:colOff>342900</xdr:colOff>
                    <xdr:row>27</xdr:row>
                    <xdr:rowOff>180975</xdr:rowOff>
                  </to>
                </anchor>
              </controlPr>
            </control>
          </mc:Choice>
        </mc:AlternateContent>
        <mc:AlternateContent xmlns:mc="http://schemas.openxmlformats.org/markup-compatibility/2006">
          <mc:Choice Requires="x14">
            <control shapeId="28697" r:id="rId28" name="Check Box 25">
              <controlPr defaultSize="0" autoFill="0" autoLine="0" autoPict="0">
                <anchor moveWithCells="1">
                  <from>
                    <xdr:col>1</xdr:col>
                    <xdr:colOff>161925</xdr:colOff>
                    <xdr:row>28</xdr:row>
                    <xdr:rowOff>9525</xdr:rowOff>
                  </from>
                  <to>
                    <xdr:col>1</xdr:col>
                    <xdr:colOff>342900</xdr:colOff>
                    <xdr:row>29</xdr:row>
                    <xdr:rowOff>9525</xdr:rowOff>
                  </to>
                </anchor>
              </controlPr>
            </control>
          </mc:Choice>
        </mc:AlternateContent>
        <mc:AlternateContent xmlns:mc="http://schemas.openxmlformats.org/markup-compatibility/2006">
          <mc:Choice Requires="x14">
            <control shapeId="28698" r:id="rId29" name="Check Box 26">
              <controlPr defaultSize="0" autoFill="0" autoLine="0" autoPict="0">
                <anchor moveWithCells="1">
                  <from>
                    <xdr:col>1</xdr:col>
                    <xdr:colOff>161925</xdr:colOff>
                    <xdr:row>29</xdr:row>
                    <xdr:rowOff>0</xdr:rowOff>
                  </from>
                  <to>
                    <xdr:col>1</xdr:col>
                    <xdr:colOff>342900</xdr:colOff>
                    <xdr:row>30</xdr:row>
                    <xdr:rowOff>0</xdr:rowOff>
                  </to>
                </anchor>
              </controlPr>
            </control>
          </mc:Choice>
        </mc:AlternateContent>
        <mc:AlternateContent xmlns:mc="http://schemas.openxmlformats.org/markup-compatibility/2006">
          <mc:Choice Requires="x14">
            <control shapeId="28699" r:id="rId30" name="Check Box 27">
              <controlPr defaultSize="0" autoFill="0" autoLine="0" autoPict="0">
                <anchor moveWithCells="1">
                  <from>
                    <xdr:col>1</xdr:col>
                    <xdr:colOff>161925</xdr:colOff>
                    <xdr:row>30</xdr:row>
                    <xdr:rowOff>0</xdr:rowOff>
                  </from>
                  <to>
                    <xdr:col>1</xdr:col>
                    <xdr:colOff>342900</xdr:colOff>
                    <xdr:row>31</xdr:row>
                    <xdr:rowOff>0</xdr:rowOff>
                  </to>
                </anchor>
              </controlPr>
            </control>
          </mc:Choice>
        </mc:AlternateContent>
        <mc:AlternateContent xmlns:mc="http://schemas.openxmlformats.org/markup-compatibility/2006">
          <mc:Choice Requires="x14">
            <control shapeId="28700" r:id="rId31" name="Check Box 28">
              <controlPr defaultSize="0" autoFill="0" autoLine="0" autoPict="0">
                <anchor moveWithCells="1">
                  <from>
                    <xdr:col>1</xdr:col>
                    <xdr:colOff>161925</xdr:colOff>
                    <xdr:row>31</xdr:row>
                    <xdr:rowOff>0</xdr:rowOff>
                  </from>
                  <to>
                    <xdr:col>1</xdr:col>
                    <xdr:colOff>342900</xdr:colOff>
                    <xdr:row>32</xdr:row>
                    <xdr:rowOff>0</xdr:rowOff>
                  </to>
                </anchor>
              </controlPr>
            </control>
          </mc:Choice>
        </mc:AlternateContent>
        <mc:AlternateContent xmlns:mc="http://schemas.openxmlformats.org/markup-compatibility/2006">
          <mc:Choice Requires="x14">
            <control shapeId="28701" r:id="rId32" name="Check Box 29">
              <controlPr defaultSize="0" autoFill="0" autoLine="0" autoPict="0">
                <anchor moveWithCells="1">
                  <from>
                    <xdr:col>1</xdr:col>
                    <xdr:colOff>152400</xdr:colOff>
                    <xdr:row>31</xdr:row>
                    <xdr:rowOff>171450</xdr:rowOff>
                  </from>
                  <to>
                    <xdr:col>1</xdr:col>
                    <xdr:colOff>333375</xdr:colOff>
                    <xdr:row>32</xdr:row>
                    <xdr:rowOff>171450</xdr:rowOff>
                  </to>
                </anchor>
              </controlPr>
            </control>
          </mc:Choice>
        </mc:AlternateContent>
        <mc:AlternateContent xmlns:mc="http://schemas.openxmlformats.org/markup-compatibility/2006">
          <mc:Choice Requires="x14">
            <control shapeId="28702" r:id="rId33" name="Check Box 30">
              <controlPr defaultSize="0" autoFill="0" autoLine="0" autoPict="0">
                <anchor moveWithCells="1">
                  <from>
                    <xdr:col>1</xdr:col>
                    <xdr:colOff>142875</xdr:colOff>
                    <xdr:row>33</xdr:row>
                    <xdr:rowOff>0</xdr:rowOff>
                  </from>
                  <to>
                    <xdr:col>1</xdr:col>
                    <xdr:colOff>323850</xdr:colOff>
                    <xdr:row>34</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dimension ref="A3:P40"/>
  <sheetViews>
    <sheetView zoomScale="85" zoomScaleNormal="85" workbookViewId="0">
      <selection activeCell="C26" sqref="C26"/>
    </sheetView>
  </sheetViews>
  <sheetFormatPr defaultColWidth="11.42578125" defaultRowHeight="15" x14ac:dyDescent="0.25"/>
  <cols>
    <col min="1" max="1" width="18.5703125" customWidth="1"/>
    <col min="2" max="2" width="5.85546875" customWidth="1"/>
    <col min="3" max="3" width="11.42578125" style="2"/>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3" x14ac:dyDescent="0.25">
      <c r="C3" s="3" t="s">
        <v>1</v>
      </c>
      <c r="D3" s="3" t="s">
        <v>24</v>
      </c>
      <c r="E3" s="19" t="s">
        <v>16</v>
      </c>
      <c r="F3" s="16" t="s">
        <v>15</v>
      </c>
      <c r="G3" s="21" t="s">
        <v>14</v>
      </c>
      <c r="H3" s="17" t="s">
        <v>0</v>
      </c>
      <c r="I3" s="19" t="s">
        <v>29</v>
      </c>
      <c r="J3" s="16" t="s">
        <v>30</v>
      </c>
      <c r="K3" s="21" t="s">
        <v>14</v>
      </c>
      <c r="L3" s="17" t="s">
        <v>31</v>
      </c>
    </row>
    <row r="4" spans="1:13" x14ac:dyDescent="0.25">
      <c r="A4" t="s">
        <v>2</v>
      </c>
      <c r="C4" s="28">
        <v>5</v>
      </c>
      <c r="E4" s="20">
        <f>10/100</f>
        <v>0.1</v>
      </c>
      <c r="F4" s="6">
        <f>1.6/100</f>
        <v>1.6E-2</v>
      </c>
      <c r="G4" s="22">
        <f>11/100</f>
        <v>0.11</v>
      </c>
      <c r="H4" s="18">
        <f>148/100</f>
        <v>1.48</v>
      </c>
      <c r="I4" s="20">
        <f t="shared" ref="I4:K33" si="0">IF($M4=TRUE,E4*$C4,0)</f>
        <v>0</v>
      </c>
      <c r="J4" s="6">
        <f t="shared" si="0"/>
        <v>0</v>
      </c>
      <c r="K4" s="22">
        <f t="shared" si="0"/>
        <v>0</v>
      </c>
      <c r="L4" s="18">
        <f t="shared" ref="L4:L34" si="1">IF($M4=TRUE, H4*C4,0)</f>
        <v>0</v>
      </c>
      <c r="M4" t="b">
        <v>0</v>
      </c>
    </row>
    <row r="5" spans="1:13" x14ac:dyDescent="0.25">
      <c r="A5" s="32" t="s">
        <v>3</v>
      </c>
      <c r="B5" s="32"/>
      <c r="C5" s="33">
        <v>55</v>
      </c>
      <c r="E5" s="20">
        <f>12/100</f>
        <v>0.12</v>
      </c>
      <c r="F5" s="6">
        <f>60/100</f>
        <v>0.6</v>
      </c>
      <c r="G5" s="22">
        <f>7.1/100</f>
        <v>7.0999999999999994E-2</v>
      </c>
      <c r="H5" s="18">
        <f>371/100</f>
        <v>3.71</v>
      </c>
      <c r="I5" s="20">
        <f t="shared" si="0"/>
        <v>6.6</v>
      </c>
      <c r="J5" s="6">
        <f t="shared" si="0"/>
        <v>33</v>
      </c>
      <c r="K5" s="22">
        <f t="shared" si="0"/>
        <v>3.9049999999999998</v>
      </c>
      <c r="L5" s="18">
        <f t="shared" si="1"/>
        <v>204.05</v>
      </c>
      <c r="M5" t="b">
        <v>1</v>
      </c>
    </row>
    <row r="6" spans="1:13" x14ac:dyDescent="0.25">
      <c r="A6" t="s">
        <v>4</v>
      </c>
      <c r="C6" s="28">
        <v>1</v>
      </c>
      <c r="E6" s="20">
        <v>10.1</v>
      </c>
      <c r="F6" s="6">
        <v>34.1</v>
      </c>
      <c r="G6" s="22">
        <v>10.1</v>
      </c>
      <c r="H6" s="18">
        <v>400</v>
      </c>
      <c r="I6" s="20">
        <f t="shared" si="0"/>
        <v>0</v>
      </c>
      <c r="J6" s="6">
        <f t="shared" si="0"/>
        <v>0</v>
      </c>
      <c r="K6" s="22">
        <f t="shared" si="0"/>
        <v>0</v>
      </c>
      <c r="L6" s="18">
        <f t="shared" si="1"/>
        <v>0</v>
      </c>
      <c r="M6" t="b">
        <v>0</v>
      </c>
    </row>
    <row r="7" spans="1:13" x14ac:dyDescent="0.25">
      <c r="A7" s="36" t="s">
        <v>5</v>
      </c>
      <c r="B7" s="36"/>
      <c r="C7" s="37">
        <f>298</f>
        <v>298</v>
      </c>
      <c r="E7" s="20">
        <f>20.7/100</f>
        <v>0.20699999999999999</v>
      </c>
      <c r="F7" s="6">
        <f>2.2/100</f>
        <v>2.2000000000000002E-2</v>
      </c>
      <c r="G7" s="22">
        <f>0.9/100</f>
        <v>9.0000000000000011E-3</v>
      </c>
      <c r="H7" s="18">
        <f>94/100</f>
        <v>0.94</v>
      </c>
      <c r="I7" s="20">
        <f t="shared" si="0"/>
        <v>61.686</v>
      </c>
      <c r="J7" s="6">
        <f t="shared" si="0"/>
        <v>6.5560000000000009</v>
      </c>
      <c r="K7" s="22">
        <f t="shared" si="0"/>
        <v>2.6820000000000004</v>
      </c>
      <c r="L7" s="18">
        <f t="shared" si="1"/>
        <v>280.12</v>
      </c>
      <c r="M7" t="b">
        <v>1</v>
      </c>
    </row>
    <row r="8" spans="1:13" x14ac:dyDescent="0.25">
      <c r="A8" s="36" t="s">
        <v>6</v>
      </c>
      <c r="B8" s="36"/>
      <c r="C8" s="38">
        <v>256</v>
      </c>
      <c r="E8" s="20">
        <f>20/100</f>
        <v>0.2</v>
      </c>
      <c r="F8" s="6">
        <f>0.2/100</f>
        <v>2E-3</v>
      </c>
      <c r="G8" s="22">
        <f>5/100</f>
        <v>0.05</v>
      </c>
      <c r="H8" s="18">
        <f>126/100</f>
        <v>1.26</v>
      </c>
      <c r="I8" s="20">
        <f t="shared" si="0"/>
        <v>0</v>
      </c>
      <c r="J8" s="6">
        <f t="shared" si="0"/>
        <v>0</v>
      </c>
      <c r="K8" s="22">
        <f t="shared" si="0"/>
        <v>0</v>
      </c>
      <c r="L8" s="18">
        <f t="shared" si="1"/>
        <v>0</v>
      </c>
      <c r="M8" t="b">
        <v>0</v>
      </c>
    </row>
    <row r="9" spans="1:13" x14ac:dyDescent="0.25">
      <c r="A9" t="s">
        <v>7</v>
      </c>
      <c r="C9" s="28">
        <v>50</v>
      </c>
      <c r="E9" s="20">
        <f>12.68/100</f>
        <v>0.1268</v>
      </c>
      <c r="F9" s="6">
        <f>72.83/100</f>
        <v>0.72829999999999995</v>
      </c>
      <c r="G9" s="22">
        <f>1.05/100</f>
        <v>1.0500000000000001E-2</v>
      </c>
      <c r="H9" s="18">
        <f>360/100</f>
        <v>3.6</v>
      </c>
      <c r="I9" s="20">
        <f t="shared" si="0"/>
        <v>0</v>
      </c>
      <c r="J9" s="6">
        <f t="shared" si="0"/>
        <v>0</v>
      </c>
      <c r="K9" s="22">
        <f t="shared" si="0"/>
        <v>0</v>
      </c>
      <c r="L9" s="18">
        <f t="shared" si="1"/>
        <v>0</v>
      </c>
      <c r="M9" t="b">
        <v>0</v>
      </c>
    </row>
    <row r="10" spans="1:13" x14ac:dyDescent="0.25">
      <c r="A10" t="s">
        <v>8</v>
      </c>
      <c r="C10" s="28">
        <v>39</v>
      </c>
      <c r="E10" s="20">
        <f>8.8/100</f>
        <v>8.8000000000000009E-2</v>
      </c>
      <c r="F10" s="6">
        <f>72/100</f>
        <v>0.72</v>
      </c>
      <c r="G10" s="22">
        <f>2.2/100</f>
        <v>2.2000000000000002E-2</v>
      </c>
      <c r="H10" s="18">
        <f>343/100</f>
        <v>3.43</v>
      </c>
      <c r="I10" s="20">
        <f t="shared" si="0"/>
        <v>0</v>
      </c>
      <c r="J10" s="6">
        <f t="shared" si="0"/>
        <v>0</v>
      </c>
      <c r="K10" s="22">
        <f t="shared" si="0"/>
        <v>0</v>
      </c>
      <c r="L10" s="18">
        <f t="shared" si="1"/>
        <v>0</v>
      </c>
      <c r="M10" t="b">
        <v>0</v>
      </c>
    </row>
    <row r="11" spans="1:13" x14ac:dyDescent="0.25">
      <c r="A11" s="35" t="s">
        <v>9</v>
      </c>
      <c r="B11" s="35"/>
      <c r="C11" s="42">
        <f>158</f>
        <v>158</v>
      </c>
      <c r="E11" s="20">
        <f>1.5/100</f>
        <v>1.4999999999999999E-2</v>
      </c>
      <c r="F11" s="6">
        <f>20/100</f>
        <v>0.2</v>
      </c>
      <c r="G11" s="22">
        <v>0</v>
      </c>
      <c r="H11" s="18">
        <f>90/100</f>
        <v>0.9</v>
      </c>
      <c r="I11" s="20">
        <f t="shared" si="0"/>
        <v>2.37</v>
      </c>
      <c r="J11" s="6">
        <f t="shared" si="0"/>
        <v>31.6</v>
      </c>
      <c r="K11" s="22">
        <f t="shared" si="0"/>
        <v>0</v>
      </c>
      <c r="L11" s="18">
        <f t="shared" si="1"/>
        <v>142.20000000000002</v>
      </c>
      <c r="M11" t="b">
        <v>1</v>
      </c>
    </row>
    <row r="12" spans="1:13" x14ac:dyDescent="0.25">
      <c r="A12" s="35" t="s">
        <v>10</v>
      </c>
      <c r="B12" s="35"/>
      <c r="C12" s="39">
        <v>69</v>
      </c>
      <c r="E12" s="20">
        <f>1.6/100</f>
        <v>1.6E-2</v>
      </c>
      <c r="F12" s="6">
        <f>11/100</f>
        <v>0.11</v>
      </c>
      <c r="G12" s="22">
        <f>0.3/100</f>
        <v>3.0000000000000001E-3</v>
      </c>
      <c r="H12" s="18">
        <f>53/100</f>
        <v>0.53</v>
      </c>
      <c r="I12" s="20">
        <f t="shared" si="0"/>
        <v>0</v>
      </c>
      <c r="J12" s="6">
        <f t="shared" si="0"/>
        <v>0</v>
      </c>
      <c r="K12" s="22">
        <f t="shared" si="0"/>
        <v>0</v>
      </c>
      <c r="L12" s="18">
        <f t="shared" si="1"/>
        <v>0</v>
      </c>
      <c r="M12" t="b">
        <v>0</v>
      </c>
    </row>
    <row r="13" spans="1:13" x14ac:dyDescent="0.25">
      <c r="A13" s="35" t="s">
        <v>11</v>
      </c>
      <c r="B13" s="35"/>
      <c r="C13" s="42">
        <f>234</f>
        <v>234</v>
      </c>
      <c r="E13" s="20">
        <f>1/100</f>
        <v>0.01</v>
      </c>
      <c r="F13" s="6">
        <f>9/100</f>
        <v>0.09</v>
      </c>
      <c r="G13" s="22">
        <f>0.2/100</f>
        <v>2E-3</v>
      </c>
      <c r="H13" s="18">
        <f>45/100</f>
        <v>0.45</v>
      </c>
      <c r="I13" s="20">
        <f t="shared" si="0"/>
        <v>2.34</v>
      </c>
      <c r="J13" s="6">
        <f t="shared" si="0"/>
        <v>21.06</v>
      </c>
      <c r="K13" s="22">
        <f t="shared" si="0"/>
        <v>0.46800000000000003</v>
      </c>
      <c r="L13" s="18">
        <f t="shared" si="1"/>
        <v>105.3</v>
      </c>
      <c r="M13" t="b">
        <v>1</v>
      </c>
    </row>
    <row r="14" spans="1:13" x14ac:dyDescent="0.25">
      <c r="A14" t="s">
        <v>12</v>
      </c>
      <c r="C14" s="28">
        <v>130</v>
      </c>
      <c r="E14" s="20">
        <f>11/100</f>
        <v>0.11</v>
      </c>
      <c r="F14" s="6">
        <f>54/100</f>
        <v>0.54</v>
      </c>
      <c r="G14" s="22">
        <f>3.3/100</f>
        <v>3.3000000000000002E-2</v>
      </c>
      <c r="H14" s="18">
        <f>293/100</f>
        <v>2.93</v>
      </c>
      <c r="I14" s="20">
        <f t="shared" si="0"/>
        <v>0</v>
      </c>
      <c r="J14" s="6">
        <f t="shared" si="0"/>
        <v>0</v>
      </c>
      <c r="K14" s="22">
        <f t="shared" si="0"/>
        <v>0</v>
      </c>
      <c r="L14" s="18">
        <f t="shared" si="1"/>
        <v>0</v>
      </c>
      <c r="M14" t="b">
        <v>0</v>
      </c>
    </row>
    <row r="15" spans="1:13" x14ac:dyDescent="0.25">
      <c r="A15" t="s">
        <v>13</v>
      </c>
      <c r="C15" s="29">
        <v>1</v>
      </c>
      <c r="E15" s="20">
        <v>20</v>
      </c>
      <c r="F15" s="6">
        <v>1</v>
      </c>
      <c r="G15" s="22">
        <v>1</v>
      </c>
      <c r="H15" s="18">
        <v>93</v>
      </c>
      <c r="I15" s="20">
        <f t="shared" si="0"/>
        <v>20</v>
      </c>
      <c r="J15" s="6">
        <f t="shared" si="0"/>
        <v>1</v>
      </c>
      <c r="K15" s="22">
        <f t="shared" si="0"/>
        <v>1</v>
      </c>
      <c r="L15" s="18">
        <f t="shared" si="1"/>
        <v>93</v>
      </c>
      <c r="M15" t="b">
        <v>1</v>
      </c>
    </row>
    <row r="16" spans="1:13" x14ac:dyDescent="0.25">
      <c r="A16" t="s">
        <v>17</v>
      </c>
      <c r="C16" s="28">
        <v>24</v>
      </c>
      <c r="D16" s="2" t="s">
        <v>23</v>
      </c>
      <c r="E16" s="20">
        <f>3/100</f>
        <v>0.03</v>
      </c>
      <c r="F16" s="6">
        <f>11/100</f>
        <v>0.11</v>
      </c>
      <c r="G16" s="22">
        <f>1.5/100</f>
        <v>1.4999999999999999E-2</v>
      </c>
      <c r="H16" s="18">
        <f>74/100</f>
        <v>0.74</v>
      </c>
      <c r="I16" s="20">
        <f t="shared" si="0"/>
        <v>0</v>
      </c>
      <c r="J16" s="6">
        <f t="shared" si="0"/>
        <v>0</v>
      </c>
      <c r="K16" s="22">
        <f t="shared" si="0"/>
        <v>0</v>
      </c>
      <c r="L16" s="18">
        <f t="shared" si="1"/>
        <v>0</v>
      </c>
      <c r="M16" t="b">
        <v>0</v>
      </c>
    </row>
    <row r="17" spans="1:13" x14ac:dyDescent="0.25">
      <c r="A17" s="32" t="s">
        <v>18</v>
      </c>
      <c r="B17" s="32"/>
      <c r="C17" s="40">
        <f>256</f>
        <v>256</v>
      </c>
      <c r="E17" s="20">
        <f>3.2/100</f>
        <v>3.2000000000000001E-2</v>
      </c>
      <c r="F17" s="6">
        <f>4.8/100</f>
        <v>4.8000000000000001E-2</v>
      </c>
      <c r="G17" s="22">
        <f>1.6/100</f>
        <v>1.6E-2</v>
      </c>
      <c r="H17" s="18">
        <f>46/100</f>
        <v>0.46</v>
      </c>
      <c r="I17" s="20">
        <f t="shared" si="0"/>
        <v>8.1920000000000002</v>
      </c>
      <c r="J17" s="6">
        <f t="shared" si="0"/>
        <v>12.288</v>
      </c>
      <c r="K17" s="22">
        <f t="shared" si="0"/>
        <v>4.0960000000000001</v>
      </c>
      <c r="L17" s="18">
        <f t="shared" si="1"/>
        <v>117.76</v>
      </c>
      <c r="M17" t="b">
        <v>1</v>
      </c>
    </row>
    <row r="18" spans="1:13" x14ac:dyDescent="0.25">
      <c r="A18" t="s">
        <v>19</v>
      </c>
      <c r="C18" s="28">
        <v>137</v>
      </c>
      <c r="D18" s="2" t="s">
        <v>25</v>
      </c>
      <c r="E18" s="20">
        <f>2/100</f>
        <v>0.02</v>
      </c>
      <c r="F18" s="6">
        <f>17/100</f>
        <v>0.17</v>
      </c>
      <c r="G18" s="22">
        <f>0.1/100</f>
        <v>1E-3</v>
      </c>
      <c r="H18" s="18">
        <f>77/100</f>
        <v>0.77</v>
      </c>
      <c r="I18" s="20">
        <f t="shared" si="0"/>
        <v>0</v>
      </c>
      <c r="J18" s="6">
        <f t="shared" si="0"/>
        <v>0</v>
      </c>
      <c r="K18" s="22">
        <f t="shared" si="0"/>
        <v>0</v>
      </c>
      <c r="L18" s="18">
        <f t="shared" si="1"/>
        <v>0</v>
      </c>
      <c r="M18" t="b">
        <v>0</v>
      </c>
    </row>
    <row r="19" spans="1:13" x14ac:dyDescent="0.25">
      <c r="A19" t="s">
        <v>20</v>
      </c>
      <c r="C19" s="28">
        <f>100</f>
        <v>100</v>
      </c>
      <c r="E19" s="20">
        <f>25/100</f>
        <v>0.25</v>
      </c>
      <c r="F19" s="6">
        <v>0</v>
      </c>
      <c r="G19" s="22">
        <f>1/100</f>
        <v>0.01</v>
      </c>
      <c r="H19" s="18">
        <f>109/100</f>
        <v>1.0900000000000001</v>
      </c>
      <c r="I19" s="20">
        <f t="shared" si="0"/>
        <v>0</v>
      </c>
      <c r="J19" s="6">
        <f t="shared" si="0"/>
        <v>0</v>
      </c>
      <c r="K19" s="22">
        <f t="shared" si="0"/>
        <v>0</v>
      </c>
      <c r="L19" s="18">
        <f t="shared" si="1"/>
        <v>0</v>
      </c>
      <c r="M19" t="b">
        <v>0</v>
      </c>
    </row>
    <row r="20" spans="1:13" x14ac:dyDescent="0.25">
      <c r="A20" s="35" t="s">
        <v>21</v>
      </c>
      <c r="B20" s="35"/>
      <c r="C20" s="39">
        <v>130</v>
      </c>
      <c r="D20" s="2" t="s">
        <v>22</v>
      </c>
      <c r="E20" s="20">
        <f>2.3/100</f>
        <v>2.3E-2</v>
      </c>
      <c r="F20" s="6">
        <f>7.2/100</f>
        <v>7.2000000000000008E-2</v>
      </c>
      <c r="G20" s="22">
        <f>0.5/100</f>
        <v>5.0000000000000001E-3</v>
      </c>
      <c r="H20" s="18">
        <f>44/100</f>
        <v>0.44</v>
      </c>
      <c r="I20" s="20">
        <f t="shared" si="0"/>
        <v>0</v>
      </c>
      <c r="J20" s="6">
        <f t="shared" si="0"/>
        <v>0</v>
      </c>
      <c r="K20" s="22">
        <f t="shared" si="0"/>
        <v>0</v>
      </c>
      <c r="L20" s="18">
        <f t="shared" si="1"/>
        <v>0</v>
      </c>
      <c r="M20" t="b">
        <v>0</v>
      </c>
    </row>
    <row r="21" spans="1:13" x14ac:dyDescent="0.25">
      <c r="A21" t="s">
        <v>26</v>
      </c>
      <c r="C21" s="28"/>
      <c r="E21" s="20">
        <v>0</v>
      </c>
      <c r="F21" s="6">
        <v>0</v>
      </c>
      <c r="G21" s="22">
        <v>0</v>
      </c>
      <c r="H21" s="18">
        <f>275/100</f>
        <v>2.75</v>
      </c>
      <c r="I21" s="20">
        <f t="shared" si="0"/>
        <v>0</v>
      </c>
      <c r="J21" s="6">
        <f t="shared" si="0"/>
        <v>0</v>
      </c>
      <c r="K21" s="22">
        <f t="shared" si="0"/>
        <v>0</v>
      </c>
      <c r="L21" s="18">
        <f t="shared" si="1"/>
        <v>0</v>
      </c>
      <c r="M21" t="b">
        <v>0</v>
      </c>
    </row>
    <row r="22" spans="1:13" x14ac:dyDescent="0.25">
      <c r="A22" t="s">
        <v>32</v>
      </c>
      <c r="C22" s="28">
        <v>6</v>
      </c>
      <c r="E22" s="20">
        <f>22/100</f>
        <v>0.22</v>
      </c>
      <c r="F22" s="6">
        <f>6.9/100</f>
        <v>6.9000000000000006E-2</v>
      </c>
      <c r="G22" s="22">
        <f>54/100</f>
        <v>0.54</v>
      </c>
      <c r="H22" s="18">
        <f>620/100</f>
        <v>6.2</v>
      </c>
      <c r="I22" s="20">
        <f t="shared" si="0"/>
        <v>0</v>
      </c>
      <c r="J22" s="6">
        <f t="shared" si="0"/>
        <v>0</v>
      </c>
      <c r="K22" s="22">
        <f t="shared" si="0"/>
        <v>0</v>
      </c>
      <c r="L22" s="18">
        <f t="shared" si="1"/>
        <v>0</v>
      </c>
      <c r="M22" t="b">
        <v>0</v>
      </c>
    </row>
    <row r="23" spans="1:13" x14ac:dyDescent="0.25">
      <c r="A23" t="s">
        <v>33</v>
      </c>
      <c r="C23" s="28">
        <v>143</v>
      </c>
      <c r="E23" s="20">
        <v>3.6</v>
      </c>
      <c r="F23" s="6">
        <v>0.2</v>
      </c>
      <c r="G23" s="22">
        <v>0.1</v>
      </c>
      <c r="H23" s="18">
        <f>17</f>
        <v>17</v>
      </c>
      <c r="I23" s="20">
        <f t="shared" si="0"/>
        <v>0</v>
      </c>
      <c r="J23" s="6">
        <f t="shared" si="0"/>
        <v>0</v>
      </c>
      <c r="K23" s="22">
        <f t="shared" si="0"/>
        <v>0</v>
      </c>
      <c r="L23" s="18">
        <f t="shared" si="1"/>
        <v>0</v>
      </c>
      <c r="M23" t="b">
        <v>0</v>
      </c>
    </row>
    <row r="24" spans="1:13" x14ac:dyDescent="0.25">
      <c r="A24" t="s">
        <v>34</v>
      </c>
      <c r="C24" s="28">
        <v>50</v>
      </c>
      <c r="E24" s="20">
        <f>7.4/100</f>
        <v>7.400000000000001E-2</v>
      </c>
      <c r="F24" s="6">
        <f>78.7/100</f>
        <v>0.78700000000000003</v>
      </c>
      <c r="G24" s="22">
        <f>0.7/100</f>
        <v>6.9999999999999993E-3</v>
      </c>
      <c r="H24" s="18">
        <f>351/100</f>
        <v>3.51</v>
      </c>
      <c r="I24" s="20">
        <f t="shared" si="0"/>
        <v>0</v>
      </c>
      <c r="J24" s="6">
        <f t="shared" si="0"/>
        <v>0</v>
      </c>
      <c r="K24" s="22">
        <f t="shared" si="0"/>
        <v>0</v>
      </c>
      <c r="L24" s="18">
        <f t="shared" si="1"/>
        <v>0</v>
      </c>
      <c r="M24" t="b">
        <v>0</v>
      </c>
    </row>
    <row r="25" spans="1:13" x14ac:dyDescent="0.25">
      <c r="A25" s="34" t="s">
        <v>33</v>
      </c>
      <c r="B25" s="32"/>
      <c r="C25" s="40">
        <f>159</f>
        <v>159</v>
      </c>
      <c r="E25" s="20">
        <f>11/100</f>
        <v>0.11</v>
      </c>
      <c r="F25" s="6">
        <f>0.7/100</f>
        <v>6.9999999999999993E-3</v>
      </c>
      <c r="G25" s="22">
        <f>0.2/100</f>
        <v>2E-3</v>
      </c>
      <c r="H25" s="18">
        <f>52/100</f>
        <v>0.52</v>
      </c>
      <c r="I25" s="20">
        <f t="shared" si="0"/>
        <v>17.489999999999998</v>
      </c>
      <c r="J25" s="6">
        <f t="shared" si="0"/>
        <v>1.113</v>
      </c>
      <c r="K25" s="22">
        <f t="shared" si="0"/>
        <v>0.318</v>
      </c>
      <c r="L25" s="18">
        <f t="shared" si="1"/>
        <v>82.68</v>
      </c>
      <c r="M25" t="b">
        <v>1</v>
      </c>
    </row>
    <row r="26" spans="1:13" x14ac:dyDescent="0.25">
      <c r="A26" t="s">
        <v>55</v>
      </c>
      <c r="C26" s="28"/>
      <c r="E26" s="20">
        <f>19/100</f>
        <v>0.19</v>
      </c>
      <c r="F26" s="6">
        <f>61/100</f>
        <v>0.61</v>
      </c>
      <c r="G26" s="22">
        <f>6/100</f>
        <v>0.06</v>
      </c>
      <c r="H26" s="18">
        <f>364/100</f>
        <v>3.64</v>
      </c>
      <c r="I26" s="20">
        <f t="shared" si="0"/>
        <v>0</v>
      </c>
      <c r="J26" s="6">
        <f t="shared" si="0"/>
        <v>0</v>
      </c>
      <c r="K26" s="22">
        <f t="shared" si="0"/>
        <v>0</v>
      </c>
      <c r="L26" s="18">
        <f t="shared" si="1"/>
        <v>0</v>
      </c>
      <c r="M26" t="b">
        <v>0</v>
      </c>
    </row>
    <row r="27" spans="1:13" x14ac:dyDescent="0.25">
      <c r="A27" s="36" t="s">
        <v>57</v>
      </c>
      <c r="B27" s="36"/>
      <c r="C27" s="41">
        <v>150</v>
      </c>
      <c r="E27" s="20">
        <f>19/100</f>
        <v>0.19</v>
      </c>
      <c r="F27" s="6">
        <v>0</v>
      </c>
      <c r="G27" s="22">
        <f>12/100</f>
        <v>0.12</v>
      </c>
      <c r="H27" s="18">
        <f>184/100</f>
        <v>1.84</v>
      </c>
      <c r="I27" s="20">
        <f t="shared" si="0"/>
        <v>0</v>
      </c>
      <c r="J27" s="6">
        <f t="shared" si="0"/>
        <v>0</v>
      </c>
      <c r="K27" s="22">
        <f t="shared" si="0"/>
        <v>0</v>
      </c>
      <c r="L27" s="18">
        <f t="shared" si="1"/>
        <v>0</v>
      </c>
      <c r="M27" t="b">
        <v>0</v>
      </c>
    </row>
    <row r="28" spans="1:13" x14ac:dyDescent="0.25">
      <c r="A28" t="s">
        <v>58</v>
      </c>
      <c r="C28" s="28">
        <v>180</v>
      </c>
      <c r="E28" s="20">
        <f>1.6/100</f>
        <v>1.6E-2</v>
      </c>
      <c r="F28" s="6">
        <f>20/100</f>
        <v>0.2</v>
      </c>
      <c r="G28" s="22">
        <f>0.1/100</f>
        <v>1E-3</v>
      </c>
      <c r="H28" s="18">
        <f>86/100</f>
        <v>0.86</v>
      </c>
      <c r="I28" s="20">
        <f t="shared" si="0"/>
        <v>2.88</v>
      </c>
      <c r="J28" s="6">
        <f t="shared" si="0"/>
        <v>36</v>
      </c>
      <c r="K28" s="22">
        <f t="shared" si="0"/>
        <v>0.18</v>
      </c>
      <c r="L28" s="18">
        <f t="shared" si="1"/>
        <v>154.80000000000001</v>
      </c>
      <c r="M28" t="b">
        <v>1</v>
      </c>
    </row>
    <row r="29" spans="1:13" x14ac:dyDescent="0.25">
      <c r="A29" s="36" t="s">
        <v>59</v>
      </c>
      <c r="B29" s="36"/>
      <c r="C29" s="38">
        <v>360</v>
      </c>
      <c r="E29" s="20">
        <f>20/100</f>
        <v>0.2</v>
      </c>
      <c r="F29" s="6">
        <v>0</v>
      </c>
      <c r="G29" s="22">
        <f>5/100</f>
        <v>0.05</v>
      </c>
      <c r="H29" s="18">
        <f>121/100</f>
        <v>1.21</v>
      </c>
      <c r="I29" s="20">
        <f t="shared" si="0"/>
        <v>72</v>
      </c>
      <c r="J29" s="6">
        <f t="shared" si="0"/>
        <v>0</v>
      </c>
      <c r="K29" s="22">
        <f t="shared" si="0"/>
        <v>18</v>
      </c>
      <c r="L29" s="18">
        <f t="shared" si="1"/>
        <v>435.59999999999997</v>
      </c>
      <c r="M29" t="b">
        <v>1</v>
      </c>
    </row>
    <row r="30" spans="1:13" x14ac:dyDescent="0.25">
      <c r="A30" t="s">
        <v>60</v>
      </c>
      <c r="C30" s="28">
        <v>66</v>
      </c>
      <c r="E30" s="20">
        <f>7.5/100</f>
        <v>7.4999999999999997E-2</v>
      </c>
      <c r="F30" s="6">
        <f>78/100</f>
        <v>0.78</v>
      </c>
      <c r="G30" s="22">
        <f>0.6/100</f>
        <v>6.0000000000000001E-3</v>
      </c>
      <c r="H30" s="18">
        <f>347/100</f>
        <v>3.47</v>
      </c>
      <c r="I30" s="20">
        <f t="shared" si="0"/>
        <v>0</v>
      </c>
      <c r="J30" s="6">
        <f t="shared" si="0"/>
        <v>0</v>
      </c>
      <c r="K30" s="22">
        <f t="shared" si="0"/>
        <v>0</v>
      </c>
      <c r="L30" s="18">
        <f t="shared" si="1"/>
        <v>0</v>
      </c>
      <c r="M30" t="b">
        <v>0</v>
      </c>
    </row>
    <row r="31" spans="1:13" x14ac:dyDescent="0.25">
      <c r="A31" t="s">
        <v>63</v>
      </c>
      <c r="C31" s="28">
        <v>39</v>
      </c>
      <c r="E31" s="20">
        <f>1.4/100</f>
        <v>1.3999999999999999E-2</v>
      </c>
      <c r="F31" s="6">
        <f>9/100</f>
        <v>0.09</v>
      </c>
      <c r="G31" s="22">
        <f>0.2/100</f>
        <v>2E-3</v>
      </c>
      <c r="H31" s="18">
        <f>43/100</f>
        <v>0.43</v>
      </c>
      <c r="I31" s="20">
        <f t="shared" si="0"/>
        <v>0</v>
      </c>
      <c r="J31" s="6">
        <f t="shared" si="0"/>
        <v>0</v>
      </c>
      <c r="K31" s="22">
        <f t="shared" si="0"/>
        <v>0</v>
      </c>
      <c r="L31" s="18">
        <f t="shared" si="1"/>
        <v>0</v>
      </c>
      <c r="M31" t="b">
        <v>0</v>
      </c>
    </row>
    <row r="32" spans="1:13" x14ac:dyDescent="0.25">
      <c r="A32" t="s">
        <v>64</v>
      </c>
      <c r="C32" s="28">
        <v>10</v>
      </c>
      <c r="E32" s="20">
        <f>4.1/100</f>
        <v>4.0999999999999995E-2</v>
      </c>
      <c r="F32" s="6">
        <f>6.6/100</f>
        <v>6.6000000000000003E-2</v>
      </c>
      <c r="G32" s="22">
        <f>5/100</f>
        <v>0.05</v>
      </c>
      <c r="H32" s="18">
        <f>84/100</f>
        <v>0.84</v>
      </c>
      <c r="I32" s="20">
        <f t="shared" si="0"/>
        <v>0</v>
      </c>
      <c r="J32" s="6">
        <f t="shared" si="0"/>
        <v>0</v>
      </c>
      <c r="K32" s="22">
        <f t="shared" si="0"/>
        <v>0</v>
      </c>
      <c r="L32" s="18">
        <f t="shared" si="1"/>
        <v>0</v>
      </c>
      <c r="M32" t="b">
        <v>0</v>
      </c>
    </row>
    <row r="33" spans="1:16" x14ac:dyDescent="0.25">
      <c r="A33" t="s">
        <v>66</v>
      </c>
      <c r="C33" s="28">
        <v>70</v>
      </c>
      <c r="E33" s="20">
        <f>14.1/100</f>
        <v>0.14099999999999999</v>
      </c>
      <c r="F33" s="6">
        <f>68.9/100</f>
        <v>0.68900000000000006</v>
      </c>
      <c r="G33" s="22">
        <f>5.8/100</f>
        <v>5.7999999999999996E-2</v>
      </c>
      <c r="H33" s="18">
        <f>380/100</f>
        <v>3.8</v>
      </c>
      <c r="I33" s="20">
        <f t="shared" si="0"/>
        <v>0</v>
      </c>
      <c r="J33" s="6">
        <f t="shared" si="0"/>
        <v>0</v>
      </c>
      <c r="K33" s="22">
        <f t="shared" si="0"/>
        <v>0</v>
      </c>
      <c r="L33" s="18">
        <f t="shared" si="1"/>
        <v>0</v>
      </c>
      <c r="M33" t="b">
        <v>0</v>
      </c>
      <c r="N33" s="2" t="s">
        <v>68</v>
      </c>
    </row>
    <row r="34" spans="1:16" x14ac:dyDescent="0.25">
      <c r="A34" s="34" t="s">
        <v>67</v>
      </c>
      <c r="B34" s="32"/>
      <c r="C34" s="40">
        <f>35</f>
        <v>35</v>
      </c>
      <c r="E34" s="20">
        <f>2.4/100</f>
        <v>2.4E-2</v>
      </c>
      <c r="F34" s="6">
        <v>0</v>
      </c>
      <c r="G34" s="22">
        <f>27/100</f>
        <v>0.27</v>
      </c>
      <c r="H34" s="18">
        <f>350/100</f>
        <v>3.5</v>
      </c>
      <c r="I34" s="20">
        <f>IF($M34=TRUE,E34*$C34,0)</f>
        <v>0.84</v>
      </c>
      <c r="J34" s="6">
        <f>IF($M34=TRUE,F34*$C34,0)</f>
        <v>0</v>
      </c>
      <c r="K34" s="22">
        <f>IF($M34=TRUE,G34*$C34,0)</f>
        <v>9.4500000000000011</v>
      </c>
      <c r="L34" s="18">
        <f t="shared" si="1"/>
        <v>122.5</v>
      </c>
      <c r="M34" t="b">
        <v>1</v>
      </c>
      <c r="N34" s="2">
        <v>68.5</v>
      </c>
      <c r="P34">
        <v>1</v>
      </c>
    </row>
    <row r="35" spans="1:16" x14ac:dyDescent="0.25">
      <c r="N35" s="2">
        <v>67</v>
      </c>
      <c r="P35">
        <v>2.2046199999999998</v>
      </c>
    </row>
    <row r="37" spans="1:16" x14ac:dyDescent="0.25">
      <c r="L37" t="s">
        <v>65</v>
      </c>
    </row>
    <row r="39" spans="1:16" x14ac:dyDescent="0.25">
      <c r="I39" s="23">
        <f>SUM(I4:I38)</f>
        <v>194.398</v>
      </c>
      <c r="J39" s="15">
        <f>SUM(J4:J38)</f>
        <v>142.61700000000002</v>
      </c>
      <c r="K39" s="24">
        <f>SUM(K4:K38)</f>
        <v>40.099000000000004</v>
      </c>
      <c r="L39" s="4">
        <f>SUM(L4:L33)</f>
        <v>1615.5099999999998</v>
      </c>
    </row>
    <row r="40" spans="1:16" x14ac:dyDescent="0.25">
      <c r="I40" s="25">
        <f>1.25 * $P35 * $N35</f>
        <v>184.63692499999999</v>
      </c>
      <c r="J40" s="26">
        <f>1 * $P35 * $N35</f>
        <v>147.70953999999998</v>
      </c>
      <c r="K40" s="27">
        <f>0.27 * $P35 * $N35</f>
        <v>39.8815758</v>
      </c>
      <c r="L40">
        <f>11.43*P35* N34</f>
        <v>1726.1182520999998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ase à cocher 1">
              <controlPr defaultSize="0" autoFill="0" autoLine="0" autoPict="0">
                <anchor moveWithCells="1">
                  <from>
                    <xdr:col>1</xdr:col>
                    <xdr:colOff>161925</xdr:colOff>
                    <xdr:row>3</xdr:row>
                    <xdr:rowOff>19050</xdr:rowOff>
                  </from>
                  <to>
                    <xdr:col>1</xdr:col>
                    <xdr:colOff>342900</xdr:colOff>
                    <xdr:row>4</xdr:row>
                    <xdr:rowOff>19050</xdr:rowOff>
                  </to>
                </anchor>
              </controlPr>
            </control>
          </mc:Choice>
        </mc:AlternateContent>
        <mc:AlternateContent xmlns:mc="http://schemas.openxmlformats.org/markup-compatibility/2006">
          <mc:Choice Requires="x14">
            <control shapeId="30722" r:id="rId5" name="Case à cocher 2">
              <controlPr defaultSize="0" autoFill="0" autoLine="0" autoPict="0">
                <anchor moveWithCells="1">
                  <from>
                    <xdr:col>1</xdr:col>
                    <xdr:colOff>161925</xdr:colOff>
                    <xdr:row>4</xdr:row>
                    <xdr:rowOff>9525</xdr:rowOff>
                  </from>
                  <to>
                    <xdr:col>1</xdr:col>
                    <xdr:colOff>342900</xdr:colOff>
                    <xdr:row>5</xdr:row>
                    <xdr:rowOff>9525</xdr:rowOff>
                  </to>
                </anchor>
              </controlPr>
            </control>
          </mc:Choice>
        </mc:AlternateContent>
        <mc:AlternateContent xmlns:mc="http://schemas.openxmlformats.org/markup-compatibility/2006">
          <mc:Choice Requires="x14">
            <control shapeId="30723" r:id="rId6" name="Case à cocher 4">
              <controlPr defaultSize="0" autoFill="0" autoLine="0" autoPict="0">
                <anchor moveWithCells="1">
                  <from>
                    <xdr:col>1</xdr:col>
                    <xdr:colOff>161925</xdr:colOff>
                    <xdr:row>5</xdr:row>
                    <xdr:rowOff>19050</xdr:rowOff>
                  </from>
                  <to>
                    <xdr:col>1</xdr:col>
                    <xdr:colOff>342900</xdr:colOff>
                    <xdr:row>6</xdr:row>
                    <xdr:rowOff>19050</xdr:rowOff>
                  </to>
                </anchor>
              </controlPr>
            </control>
          </mc:Choice>
        </mc:AlternateContent>
        <mc:AlternateContent xmlns:mc="http://schemas.openxmlformats.org/markup-compatibility/2006">
          <mc:Choice Requires="x14">
            <control shapeId="30724" r:id="rId7" name="Case à cocher 5">
              <controlPr defaultSize="0" autoFill="0" autoLine="0" autoPict="0">
                <anchor moveWithCells="1">
                  <from>
                    <xdr:col>1</xdr:col>
                    <xdr:colOff>161925</xdr:colOff>
                    <xdr:row>7</xdr:row>
                    <xdr:rowOff>9525</xdr:rowOff>
                  </from>
                  <to>
                    <xdr:col>1</xdr:col>
                    <xdr:colOff>342900</xdr:colOff>
                    <xdr:row>8</xdr:row>
                    <xdr:rowOff>9525</xdr:rowOff>
                  </to>
                </anchor>
              </controlPr>
            </control>
          </mc:Choice>
        </mc:AlternateContent>
        <mc:AlternateContent xmlns:mc="http://schemas.openxmlformats.org/markup-compatibility/2006">
          <mc:Choice Requires="x14">
            <control shapeId="30725" r:id="rId8" name="Case à cocher 6">
              <controlPr defaultSize="0" autoFill="0" autoLine="0" autoPict="0">
                <anchor moveWithCells="1">
                  <from>
                    <xdr:col>1</xdr:col>
                    <xdr:colOff>161925</xdr:colOff>
                    <xdr:row>6</xdr:row>
                    <xdr:rowOff>19050</xdr:rowOff>
                  </from>
                  <to>
                    <xdr:col>1</xdr:col>
                    <xdr:colOff>342900</xdr:colOff>
                    <xdr:row>7</xdr:row>
                    <xdr:rowOff>19050</xdr:rowOff>
                  </to>
                </anchor>
              </controlPr>
            </control>
          </mc:Choice>
        </mc:AlternateContent>
        <mc:AlternateContent xmlns:mc="http://schemas.openxmlformats.org/markup-compatibility/2006">
          <mc:Choice Requires="x14">
            <control shapeId="30726" r:id="rId9" name="Case à cocher 7">
              <controlPr defaultSize="0" autoFill="0" autoLine="0" autoPict="0">
                <anchor moveWithCells="1">
                  <from>
                    <xdr:col>1</xdr:col>
                    <xdr:colOff>161925</xdr:colOff>
                    <xdr:row>8</xdr:row>
                    <xdr:rowOff>19050</xdr:rowOff>
                  </from>
                  <to>
                    <xdr:col>1</xdr:col>
                    <xdr:colOff>342900</xdr:colOff>
                    <xdr:row>9</xdr:row>
                    <xdr:rowOff>19050</xdr:rowOff>
                  </to>
                </anchor>
              </controlPr>
            </control>
          </mc:Choice>
        </mc:AlternateContent>
        <mc:AlternateContent xmlns:mc="http://schemas.openxmlformats.org/markup-compatibility/2006">
          <mc:Choice Requires="x14">
            <control shapeId="30727" r:id="rId10" name="Case à cocher 8">
              <controlPr defaultSize="0" autoFill="0" autoLine="0" autoPict="0">
                <anchor moveWithCells="1">
                  <from>
                    <xdr:col>1</xdr:col>
                    <xdr:colOff>161925</xdr:colOff>
                    <xdr:row>9</xdr:row>
                    <xdr:rowOff>9525</xdr:rowOff>
                  </from>
                  <to>
                    <xdr:col>1</xdr:col>
                    <xdr:colOff>342900</xdr:colOff>
                    <xdr:row>10</xdr:row>
                    <xdr:rowOff>9525</xdr:rowOff>
                  </to>
                </anchor>
              </controlPr>
            </control>
          </mc:Choice>
        </mc:AlternateContent>
        <mc:AlternateContent xmlns:mc="http://schemas.openxmlformats.org/markup-compatibility/2006">
          <mc:Choice Requires="x14">
            <control shapeId="30728" r:id="rId11" name="Case à cocher 9">
              <controlPr defaultSize="0" autoFill="0" autoLine="0" autoPict="0">
                <anchor moveWithCells="1">
                  <from>
                    <xdr:col>1</xdr:col>
                    <xdr:colOff>161925</xdr:colOff>
                    <xdr:row>10</xdr:row>
                    <xdr:rowOff>9525</xdr:rowOff>
                  </from>
                  <to>
                    <xdr:col>1</xdr:col>
                    <xdr:colOff>342900</xdr:colOff>
                    <xdr:row>11</xdr:row>
                    <xdr:rowOff>9525</xdr:rowOff>
                  </to>
                </anchor>
              </controlPr>
            </control>
          </mc:Choice>
        </mc:AlternateContent>
        <mc:AlternateContent xmlns:mc="http://schemas.openxmlformats.org/markup-compatibility/2006">
          <mc:Choice Requires="x14">
            <control shapeId="30729" r:id="rId12" name="Case à cocher 10">
              <controlPr defaultSize="0" autoFill="0" autoLine="0" autoPict="0">
                <anchor moveWithCells="1">
                  <from>
                    <xdr:col>1</xdr:col>
                    <xdr:colOff>161925</xdr:colOff>
                    <xdr:row>10</xdr:row>
                    <xdr:rowOff>171450</xdr:rowOff>
                  </from>
                  <to>
                    <xdr:col>1</xdr:col>
                    <xdr:colOff>342900</xdr:colOff>
                    <xdr:row>11</xdr:row>
                    <xdr:rowOff>171450</xdr:rowOff>
                  </to>
                </anchor>
              </controlPr>
            </control>
          </mc:Choice>
        </mc:AlternateContent>
        <mc:AlternateContent xmlns:mc="http://schemas.openxmlformats.org/markup-compatibility/2006">
          <mc:Choice Requires="x14">
            <control shapeId="30730" r:id="rId13" name="Case à cocher 11">
              <controlPr defaultSize="0" autoFill="0" autoLine="0" autoPict="0">
                <anchor moveWithCells="1">
                  <from>
                    <xdr:col>1</xdr:col>
                    <xdr:colOff>161925</xdr:colOff>
                    <xdr:row>11</xdr:row>
                    <xdr:rowOff>171450</xdr:rowOff>
                  </from>
                  <to>
                    <xdr:col>1</xdr:col>
                    <xdr:colOff>342900</xdr:colOff>
                    <xdr:row>12</xdr:row>
                    <xdr:rowOff>171450</xdr:rowOff>
                  </to>
                </anchor>
              </controlPr>
            </control>
          </mc:Choice>
        </mc:AlternateContent>
        <mc:AlternateContent xmlns:mc="http://schemas.openxmlformats.org/markup-compatibility/2006">
          <mc:Choice Requires="x14">
            <control shapeId="30731" r:id="rId14" name="Check Box 11">
              <controlPr defaultSize="0" autoFill="0" autoLine="0" autoPict="0">
                <anchor moveWithCells="1">
                  <from>
                    <xdr:col>1</xdr:col>
                    <xdr:colOff>161925</xdr:colOff>
                    <xdr:row>12</xdr:row>
                    <xdr:rowOff>171450</xdr:rowOff>
                  </from>
                  <to>
                    <xdr:col>1</xdr:col>
                    <xdr:colOff>342900</xdr:colOff>
                    <xdr:row>13</xdr:row>
                    <xdr:rowOff>171450</xdr:rowOff>
                  </to>
                </anchor>
              </controlPr>
            </control>
          </mc:Choice>
        </mc:AlternateContent>
        <mc:AlternateContent xmlns:mc="http://schemas.openxmlformats.org/markup-compatibility/2006">
          <mc:Choice Requires="x14">
            <control shapeId="30732" r:id="rId15" name="Check Box 13">
              <controlPr defaultSize="0" autoFill="0" autoLine="0" autoPict="0">
                <anchor moveWithCells="1">
                  <from>
                    <xdr:col>1</xdr:col>
                    <xdr:colOff>161925</xdr:colOff>
                    <xdr:row>13</xdr:row>
                    <xdr:rowOff>180975</xdr:rowOff>
                  </from>
                  <to>
                    <xdr:col>1</xdr:col>
                    <xdr:colOff>342900</xdr:colOff>
                    <xdr:row>15</xdr:row>
                    <xdr:rowOff>0</xdr:rowOff>
                  </to>
                </anchor>
              </controlPr>
            </control>
          </mc:Choice>
        </mc:AlternateContent>
        <mc:AlternateContent xmlns:mc="http://schemas.openxmlformats.org/markup-compatibility/2006">
          <mc:Choice Requires="x14">
            <control shapeId="30733" r:id="rId16" name="Check Box 14">
              <controlPr defaultSize="0" autoFill="0" autoLine="0" autoPict="0">
                <anchor moveWithCells="1">
                  <from>
                    <xdr:col>1</xdr:col>
                    <xdr:colOff>161925</xdr:colOff>
                    <xdr:row>14</xdr:row>
                    <xdr:rowOff>180975</xdr:rowOff>
                  </from>
                  <to>
                    <xdr:col>1</xdr:col>
                    <xdr:colOff>342900</xdr:colOff>
                    <xdr:row>16</xdr:row>
                    <xdr:rowOff>0</xdr:rowOff>
                  </to>
                </anchor>
              </controlPr>
            </control>
          </mc:Choice>
        </mc:AlternateContent>
        <mc:AlternateContent xmlns:mc="http://schemas.openxmlformats.org/markup-compatibility/2006">
          <mc:Choice Requires="x14">
            <control shapeId="30734" r:id="rId17" name="Check Box 15">
              <controlPr defaultSize="0" autoFill="0" autoLine="0" autoPict="0">
                <anchor moveWithCells="1">
                  <from>
                    <xdr:col>1</xdr:col>
                    <xdr:colOff>161925</xdr:colOff>
                    <xdr:row>16</xdr:row>
                    <xdr:rowOff>0</xdr:rowOff>
                  </from>
                  <to>
                    <xdr:col>1</xdr:col>
                    <xdr:colOff>342900</xdr:colOff>
                    <xdr:row>17</xdr:row>
                    <xdr:rowOff>0</xdr:rowOff>
                  </to>
                </anchor>
              </controlPr>
            </control>
          </mc:Choice>
        </mc:AlternateContent>
        <mc:AlternateContent xmlns:mc="http://schemas.openxmlformats.org/markup-compatibility/2006">
          <mc:Choice Requires="x14">
            <control shapeId="30735" r:id="rId18" name="Check Box 16">
              <controlPr defaultSize="0" autoFill="0" autoLine="0" autoPict="0">
                <anchor moveWithCells="1">
                  <from>
                    <xdr:col>1</xdr:col>
                    <xdr:colOff>161925</xdr:colOff>
                    <xdr:row>16</xdr:row>
                    <xdr:rowOff>180975</xdr:rowOff>
                  </from>
                  <to>
                    <xdr:col>1</xdr:col>
                    <xdr:colOff>342900</xdr:colOff>
                    <xdr:row>18</xdr:row>
                    <xdr:rowOff>0</xdr:rowOff>
                  </to>
                </anchor>
              </controlPr>
            </control>
          </mc:Choice>
        </mc:AlternateContent>
        <mc:AlternateContent xmlns:mc="http://schemas.openxmlformats.org/markup-compatibility/2006">
          <mc:Choice Requires="x14">
            <control shapeId="30736" r:id="rId19" name="Check Box 17">
              <controlPr defaultSize="0" autoFill="0" autoLine="0" autoPict="0">
                <anchor moveWithCells="1">
                  <from>
                    <xdr:col>1</xdr:col>
                    <xdr:colOff>161925</xdr:colOff>
                    <xdr:row>17</xdr:row>
                    <xdr:rowOff>180975</xdr:rowOff>
                  </from>
                  <to>
                    <xdr:col>1</xdr:col>
                    <xdr:colOff>342900</xdr:colOff>
                    <xdr:row>19</xdr:row>
                    <xdr:rowOff>0</xdr:rowOff>
                  </to>
                </anchor>
              </controlPr>
            </control>
          </mc:Choice>
        </mc:AlternateContent>
        <mc:AlternateContent xmlns:mc="http://schemas.openxmlformats.org/markup-compatibility/2006">
          <mc:Choice Requires="x14">
            <control shapeId="30737" r:id="rId20" name="Check Box 18">
              <controlPr defaultSize="0" autoFill="0" autoLine="0" autoPict="0">
                <anchor moveWithCells="1">
                  <from>
                    <xdr:col>1</xdr:col>
                    <xdr:colOff>161925</xdr:colOff>
                    <xdr:row>19</xdr:row>
                    <xdr:rowOff>0</xdr:rowOff>
                  </from>
                  <to>
                    <xdr:col>1</xdr:col>
                    <xdr:colOff>342900</xdr:colOff>
                    <xdr:row>20</xdr:row>
                    <xdr:rowOff>0</xdr:rowOff>
                  </to>
                </anchor>
              </controlPr>
            </control>
          </mc:Choice>
        </mc:AlternateContent>
        <mc:AlternateContent xmlns:mc="http://schemas.openxmlformats.org/markup-compatibility/2006">
          <mc:Choice Requires="x14">
            <control shapeId="30738" r:id="rId21" name="Check Box 19">
              <controlPr defaultSize="0" autoFill="0" autoLine="0" autoPict="0">
                <anchor moveWithCells="1">
                  <from>
                    <xdr:col>1</xdr:col>
                    <xdr:colOff>161925</xdr:colOff>
                    <xdr:row>20</xdr:row>
                    <xdr:rowOff>0</xdr:rowOff>
                  </from>
                  <to>
                    <xdr:col>1</xdr:col>
                    <xdr:colOff>342900</xdr:colOff>
                    <xdr:row>21</xdr:row>
                    <xdr:rowOff>0</xdr:rowOff>
                  </to>
                </anchor>
              </controlPr>
            </control>
          </mc:Choice>
        </mc:AlternateContent>
        <mc:AlternateContent xmlns:mc="http://schemas.openxmlformats.org/markup-compatibility/2006">
          <mc:Choice Requires="x14">
            <control shapeId="30739" r:id="rId22" name="Check Box 20">
              <controlPr defaultSize="0" autoFill="0" autoLine="0" autoPict="0">
                <anchor moveWithCells="1">
                  <from>
                    <xdr:col>1</xdr:col>
                    <xdr:colOff>161925</xdr:colOff>
                    <xdr:row>21</xdr:row>
                    <xdr:rowOff>9525</xdr:rowOff>
                  </from>
                  <to>
                    <xdr:col>1</xdr:col>
                    <xdr:colOff>342900</xdr:colOff>
                    <xdr:row>22</xdr:row>
                    <xdr:rowOff>9525</xdr:rowOff>
                  </to>
                </anchor>
              </controlPr>
            </control>
          </mc:Choice>
        </mc:AlternateContent>
        <mc:AlternateContent xmlns:mc="http://schemas.openxmlformats.org/markup-compatibility/2006">
          <mc:Choice Requires="x14">
            <control shapeId="30740" r:id="rId23" name="Check Box 21">
              <controlPr defaultSize="0" autoFill="0" autoLine="0" autoPict="0">
                <anchor moveWithCells="1">
                  <from>
                    <xdr:col>1</xdr:col>
                    <xdr:colOff>161925</xdr:colOff>
                    <xdr:row>22</xdr:row>
                    <xdr:rowOff>9525</xdr:rowOff>
                  </from>
                  <to>
                    <xdr:col>1</xdr:col>
                    <xdr:colOff>342900</xdr:colOff>
                    <xdr:row>23</xdr:row>
                    <xdr:rowOff>9525</xdr:rowOff>
                  </to>
                </anchor>
              </controlPr>
            </control>
          </mc:Choice>
        </mc:AlternateContent>
        <mc:AlternateContent xmlns:mc="http://schemas.openxmlformats.org/markup-compatibility/2006">
          <mc:Choice Requires="x14">
            <control shapeId="30741" r:id="rId24" name="Check Box 21">
              <controlPr defaultSize="0" autoFill="0" autoLine="0" autoPict="0">
                <anchor moveWithCells="1">
                  <from>
                    <xdr:col>1</xdr:col>
                    <xdr:colOff>161925</xdr:colOff>
                    <xdr:row>22</xdr:row>
                    <xdr:rowOff>180975</xdr:rowOff>
                  </from>
                  <to>
                    <xdr:col>1</xdr:col>
                    <xdr:colOff>342900</xdr:colOff>
                    <xdr:row>23</xdr:row>
                    <xdr:rowOff>180975</xdr:rowOff>
                  </to>
                </anchor>
              </controlPr>
            </control>
          </mc:Choice>
        </mc:AlternateContent>
        <mc:AlternateContent xmlns:mc="http://schemas.openxmlformats.org/markup-compatibility/2006">
          <mc:Choice Requires="x14">
            <control shapeId="30742" r:id="rId25" name="Check Box 22">
              <controlPr defaultSize="0" autoFill="0" autoLine="0" autoPict="0">
                <anchor moveWithCells="1">
                  <from>
                    <xdr:col>1</xdr:col>
                    <xdr:colOff>161925</xdr:colOff>
                    <xdr:row>24</xdr:row>
                    <xdr:rowOff>0</xdr:rowOff>
                  </from>
                  <to>
                    <xdr:col>1</xdr:col>
                    <xdr:colOff>342900</xdr:colOff>
                    <xdr:row>25</xdr:row>
                    <xdr:rowOff>0</xdr:rowOff>
                  </to>
                </anchor>
              </controlPr>
            </control>
          </mc:Choice>
        </mc:AlternateContent>
        <mc:AlternateContent xmlns:mc="http://schemas.openxmlformats.org/markup-compatibility/2006">
          <mc:Choice Requires="x14">
            <control shapeId="30743" r:id="rId26" name="Check Box 23">
              <controlPr defaultSize="0" autoFill="0" autoLine="0" autoPict="0">
                <anchor moveWithCells="1">
                  <from>
                    <xdr:col>1</xdr:col>
                    <xdr:colOff>161925</xdr:colOff>
                    <xdr:row>25</xdr:row>
                    <xdr:rowOff>171450</xdr:rowOff>
                  </from>
                  <to>
                    <xdr:col>1</xdr:col>
                    <xdr:colOff>342900</xdr:colOff>
                    <xdr:row>26</xdr:row>
                    <xdr:rowOff>171450</xdr:rowOff>
                  </to>
                </anchor>
              </controlPr>
            </control>
          </mc:Choice>
        </mc:AlternateContent>
        <mc:AlternateContent xmlns:mc="http://schemas.openxmlformats.org/markup-compatibility/2006">
          <mc:Choice Requires="x14">
            <control shapeId="30744" r:id="rId27" name="Check Box 24">
              <controlPr defaultSize="0" autoFill="0" autoLine="0" autoPict="0">
                <anchor moveWithCells="1">
                  <from>
                    <xdr:col>1</xdr:col>
                    <xdr:colOff>161925</xdr:colOff>
                    <xdr:row>26</xdr:row>
                    <xdr:rowOff>180975</xdr:rowOff>
                  </from>
                  <to>
                    <xdr:col>1</xdr:col>
                    <xdr:colOff>342900</xdr:colOff>
                    <xdr:row>27</xdr:row>
                    <xdr:rowOff>180975</xdr:rowOff>
                  </to>
                </anchor>
              </controlPr>
            </control>
          </mc:Choice>
        </mc:AlternateContent>
        <mc:AlternateContent xmlns:mc="http://schemas.openxmlformats.org/markup-compatibility/2006">
          <mc:Choice Requires="x14">
            <control shapeId="30745" r:id="rId28" name="Check Box 25">
              <controlPr defaultSize="0" autoFill="0" autoLine="0" autoPict="0">
                <anchor moveWithCells="1">
                  <from>
                    <xdr:col>1</xdr:col>
                    <xdr:colOff>161925</xdr:colOff>
                    <xdr:row>28</xdr:row>
                    <xdr:rowOff>9525</xdr:rowOff>
                  </from>
                  <to>
                    <xdr:col>1</xdr:col>
                    <xdr:colOff>342900</xdr:colOff>
                    <xdr:row>29</xdr:row>
                    <xdr:rowOff>9525</xdr:rowOff>
                  </to>
                </anchor>
              </controlPr>
            </control>
          </mc:Choice>
        </mc:AlternateContent>
        <mc:AlternateContent xmlns:mc="http://schemas.openxmlformats.org/markup-compatibility/2006">
          <mc:Choice Requires="x14">
            <control shapeId="30746" r:id="rId29" name="Check Box 26">
              <controlPr defaultSize="0" autoFill="0" autoLine="0" autoPict="0">
                <anchor moveWithCells="1">
                  <from>
                    <xdr:col>1</xdr:col>
                    <xdr:colOff>161925</xdr:colOff>
                    <xdr:row>29</xdr:row>
                    <xdr:rowOff>0</xdr:rowOff>
                  </from>
                  <to>
                    <xdr:col>1</xdr:col>
                    <xdr:colOff>342900</xdr:colOff>
                    <xdr:row>30</xdr:row>
                    <xdr:rowOff>0</xdr:rowOff>
                  </to>
                </anchor>
              </controlPr>
            </control>
          </mc:Choice>
        </mc:AlternateContent>
        <mc:AlternateContent xmlns:mc="http://schemas.openxmlformats.org/markup-compatibility/2006">
          <mc:Choice Requires="x14">
            <control shapeId="30747" r:id="rId30" name="Check Box 27">
              <controlPr defaultSize="0" autoFill="0" autoLine="0" autoPict="0">
                <anchor moveWithCells="1">
                  <from>
                    <xdr:col>1</xdr:col>
                    <xdr:colOff>161925</xdr:colOff>
                    <xdr:row>30</xdr:row>
                    <xdr:rowOff>0</xdr:rowOff>
                  </from>
                  <to>
                    <xdr:col>1</xdr:col>
                    <xdr:colOff>342900</xdr:colOff>
                    <xdr:row>31</xdr:row>
                    <xdr:rowOff>0</xdr:rowOff>
                  </to>
                </anchor>
              </controlPr>
            </control>
          </mc:Choice>
        </mc:AlternateContent>
        <mc:AlternateContent xmlns:mc="http://schemas.openxmlformats.org/markup-compatibility/2006">
          <mc:Choice Requires="x14">
            <control shapeId="30748" r:id="rId31" name="Check Box 28">
              <controlPr defaultSize="0" autoFill="0" autoLine="0" autoPict="0">
                <anchor moveWithCells="1">
                  <from>
                    <xdr:col>1</xdr:col>
                    <xdr:colOff>161925</xdr:colOff>
                    <xdr:row>31</xdr:row>
                    <xdr:rowOff>0</xdr:rowOff>
                  </from>
                  <to>
                    <xdr:col>1</xdr:col>
                    <xdr:colOff>342900</xdr:colOff>
                    <xdr:row>32</xdr:row>
                    <xdr:rowOff>0</xdr:rowOff>
                  </to>
                </anchor>
              </controlPr>
            </control>
          </mc:Choice>
        </mc:AlternateContent>
        <mc:AlternateContent xmlns:mc="http://schemas.openxmlformats.org/markup-compatibility/2006">
          <mc:Choice Requires="x14">
            <control shapeId="30749" r:id="rId32" name="Check Box 29">
              <controlPr defaultSize="0" autoFill="0" autoLine="0" autoPict="0">
                <anchor moveWithCells="1">
                  <from>
                    <xdr:col>1</xdr:col>
                    <xdr:colOff>152400</xdr:colOff>
                    <xdr:row>31</xdr:row>
                    <xdr:rowOff>171450</xdr:rowOff>
                  </from>
                  <to>
                    <xdr:col>1</xdr:col>
                    <xdr:colOff>333375</xdr:colOff>
                    <xdr:row>32</xdr:row>
                    <xdr:rowOff>171450</xdr:rowOff>
                  </to>
                </anchor>
              </controlPr>
            </control>
          </mc:Choice>
        </mc:AlternateContent>
        <mc:AlternateContent xmlns:mc="http://schemas.openxmlformats.org/markup-compatibility/2006">
          <mc:Choice Requires="x14">
            <control shapeId="30750" r:id="rId33" name="Check Box 30">
              <controlPr defaultSize="0" autoFill="0" autoLine="0" autoPict="0">
                <anchor moveWithCells="1">
                  <from>
                    <xdr:col>1</xdr:col>
                    <xdr:colOff>142875</xdr:colOff>
                    <xdr:row>33</xdr:row>
                    <xdr:rowOff>0</xdr:rowOff>
                  </from>
                  <to>
                    <xdr:col>1</xdr:col>
                    <xdr:colOff>323850</xdr:colOff>
                    <xdr:row>34</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dimension ref="A3:P41"/>
  <sheetViews>
    <sheetView zoomScale="85" zoomScaleNormal="85" workbookViewId="0">
      <selection activeCell="C26" sqref="C26"/>
    </sheetView>
  </sheetViews>
  <sheetFormatPr defaultColWidth="11.42578125" defaultRowHeight="15" x14ac:dyDescent="0.25"/>
  <cols>
    <col min="1" max="1" width="18.5703125" customWidth="1"/>
    <col min="2" max="2" width="5.85546875" customWidth="1"/>
    <col min="3" max="3" width="11.42578125" style="2"/>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6" x14ac:dyDescent="0.25">
      <c r="C3" s="3" t="s">
        <v>1</v>
      </c>
      <c r="D3" s="3" t="s">
        <v>24</v>
      </c>
      <c r="E3" s="19" t="s">
        <v>16</v>
      </c>
      <c r="F3" s="16" t="s">
        <v>15</v>
      </c>
      <c r="G3" s="21" t="s">
        <v>14</v>
      </c>
      <c r="H3" s="17" t="s">
        <v>0</v>
      </c>
      <c r="I3" s="19" t="s">
        <v>29</v>
      </c>
      <c r="J3" s="16" t="s">
        <v>30</v>
      </c>
      <c r="K3" s="21" t="s">
        <v>14</v>
      </c>
      <c r="L3" s="17" t="s">
        <v>31</v>
      </c>
    </row>
    <row r="4" spans="1:16" x14ac:dyDescent="0.25">
      <c r="A4" s="32" t="s">
        <v>3</v>
      </c>
      <c r="B4" s="32"/>
      <c r="C4" s="33">
        <f>50+50</f>
        <v>100</v>
      </c>
      <c r="E4" s="20">
        <f>12/100</f>
        <v>0.12</v>
      </c>
      <c r="F4" s="6">
        <f>60/100</f>
        <v>0.6</v>
      </c>
      <c r="G4" s="22">
        <f>7.1/100</f>
        <v>7.0999999999999994E-2</v>
      </c>
      <c r="H4" s="18">
        <f>371/100</f>
        <v>3.71</v>
      </c>
      <c r="I4" s="20">
        <f t="shared" ref="I4:K33" si="0">IF($M4=TRUE,E4*$C4,0)</f>
        <v>12</v>
      </c>
      <c r="J4" s="6">
        <f t="shared" si="0"/>
        <v>60</v>
      </c>
      <c r="K4" s="22">
        <f t="shared" si="0"/>
        <v>7.1</v>
      </c>
      <c r="L4" s="18">
        <f t="shared" ref="L4:L33" si="1">IF($M4=TRUE, H4*C4,0)</f>
        <v>371</v>
      </c>
      <c r="M4" t="b">
        <v>1</v>
      </c>
    </row>
    <row r="5" spans="1:16" x14ac:dyDescent="0.25">
      <c r="A5" s="34" t="s">
        <v>33</v>
      </c>
      <c r="B5" s="32"/>
      <c r="C5" s="40">
        <f>146</f>
        <v>146</v>
      </c>
      <c r="E5" s="20">
        <f>11/100</f>
        <v>0.11</v>
      </c>
      <c r="F5" s="6">
        <f>0.7/100</f>
        <v>6.9999999999999993E-3</v>
      </c>
      <c r="G5" s="22">
        <f>0.2/100</f>
        <v>2E-3</v>
      </c>
      <c r="H5" s="18">
        <f>52/100</f>
        <v>0.52</v>
      </c>
      <c r="I5" s="20">
        <f t="shared" ref="I5:K7" si="2">IF($M5=TRUE,E5*$C5,0)</f>
        <v>16.059999999999999</v>
      </c>
      <c r="J5" s="6">
        <f t="shared" si="2"/>
        <v>1.0219999999999998</v>
      </c>
      <c r="K5" s="22">
        <f t="shared" si="2"/>
        <v>0.29199999999999998</v>
      </c>
      <c r="L5" s="18">
        <f>IF($M5=TRUE, H5*C5,0)</f>
        <v>75.92</v>
      </c>
      <c r="M5" t="b">
        <v>1</v>
      </c>
    </row>
    <row r="6" spans="1:16" x14ac:dyDescent="0.25">
      <c r="A6" s="34" t="s">
        <v>67</v>
      </c>
      <c r="B6" s="32"/>
      <c r="C6" s="40">
        <f>38</f>
        <v>38</v>
      </c>
      <c r="E6" s="20">
        <f>2.4/100</f>
        <v>2.4E-2</v>
      </c>
      <c r="F6" s="6">
        <v>0</v>
      </c>
      <c r="G6" s="22">
        <f>27/100</f>
        <v>0.27</v>
      </c>
      <c r="H6" s="18">
        <f>350/100</f>
        <v>3.5</v>
      </c>
      <c r="I6" s="20">
        <f t="shared" si="2"/>
        <v>0.91200000000000003</v>
      </c>
      <c r="J6" s="6">
        <f t="shared" si="2"/>
        <v>0</v>
      </c>
      <c r="K6" s="22">
        <f t="shared" si="2"/>
        <v>10.260000000000002</v>
      </c>
      <c r="L6" s="18">
        <f>IF($M6=TRUE, H6*C6,0)</f>
        <v>133</v>
      </c>
      <c r="M6" t="b">
        <v>1</v>
      </c>
      <c r="P6">
        <v>1</v>
      </c>
    </row>
    <row r="7" spans="1:16" x14ac:dyDescent="0.25">
      <c r="A7" s="32" t="s">
        <v>18</v>
      </c>
      <c r="B7" s="32"/>
      <c r="C7" s="40">
        <f>260+100</f>
        <v>360</v>
      </c>
      <c r="E7" s="20">
        <f>3.2/100</f>
        <v>3.2000000000000001E-2</v>
      </c>
      <c r="F7" s="6">
        <f>4.8/100</f>
        <v>4.8000000000000001E-2</v>
      </c>
      <c r="G7" s="22">
        <f>1.6/100</f>
        <v>1.6E-2</v>
      </c>
      <c r="H7" s="18">
        <f>46/100</f>
        <v>0.46</v>
      </c>
      <c r="I7" s="20">
        <f t="shared" si="2"/>
        <v>11.52</v>
      </c>
      <c r="J7" s="6">
        <f t="shared" si="2"/>
        <v>17.28</v>
      </c>
      <c r="K7" s="22">
        <f t="shared" si="2"/>
        <v>5.76</v>
      </c>
      <c r="L7" s="18">
        <f>IF($M7=TRUE, H7*C7,0)</f>
        <v>165.6</v>
      </c>
      <c r="M7" t="b">
        <v>1</v>
      </c>
    </row>
    <row r="8" spans="1:16" x14ac:dyDescent="0.25">
      <c r="A8" s="36" t="s">
        <v>5</v>
      </c>
      <c r="B8" s="36"/>
      <c r="C8" s="37">
        <f>264+156</f>
        <v>420</v>
      </c>
      <c r="E8" s="20">
        <f>20.7/100</f>
        <v>0.20699999999999999</v>
      </c>
      <c r="F8" s="6">
        <f>2.2/100</f>
        <v>2.2000000000000002E-2</v>
      </c>
      <c r="G8" s="22">
        <f>0.9/100</f>
        <v>9.0000000000000011E-3</v>
      </c>
      <c r="H8" s="18">
        <f>94/100</f>
        <v>0.94</v>
      </c>
      <c r="I8" s="20">
        <f t="shared" si="0"/>
        <v>86.94</v>
      </c>
      <c r="J8" s="6">
        <f t="shared" si="0"/>
        <v>9.24</v>
      </c>
      <c r="K8" s="22">
        <f t="shared" si="0"/>
        <v>3.7800000000000002</v>
      </c>
      <c r="L8" s="18">
        <f t="shared" si="1"/>
        <v>394.79999999999995</v>
      </c>
      <c r="M8" t="b">
        <v>1</v>
      </c>
    </row>
    <row r="9" spans="1:16" x14ac:dyDescent="0.25">
      <c r="A9" s="36" t="s">
        <v>6</v>
      </c>
      <c r="B9" s="36"/>
      <c r="C9" s="38">
        <f>256/2</f>
        <v>128</v>
      </c>
      <c r="E9" s="20">
        <f>20/100</f>
        <v>0.2</v>
      </c>
      <c r="F9" s="6">
        <f>0.2/100</f>
        <v>2E-3</v>
      </c>
      <c r="G9" s="22">
        <f>5/100</f>
        <v>0.05</v>
      </c>
      <c r="H9" s="18">
        <f>126/100</f>
        <v>1.26</v>
      </c>
      <c r="I9" s="20">
        <f t="shared" si="0"/>
        <v>0</v>
      </c>
      <c r="J9" s="6">
        <f t="shared" si="0"/>
        <v>0</v>
      </c>
      <c r="K9" s="22">
        <f t="shared" si="0"/>
        <v>0</v>
      </c>
      <c r="L9" s="18">
        <f t="shared" si="1"/>
        <v>0</v>
      </c>
      <c r="M9" t="b">
        <v>0</v>
      </c>
    </row>
    <row r="10" spans="1:16" x14ac:dyDescent="0.25">
      <c r="A10" s="36" t="s">
        <v>57</v>
      </c>
      <c r="B10" s="36"/>
      <c r="C10" s="41">
        <v>150</v>
      </c>
      <c r="E10" s="20">
        <f>19/100</f>
        <v>0.19</v>
      </c>
      <c r="F10" s="6">
        <v>0</v>
      </c>
      <c r="G10" s="22">
        <f>12/100</f>
        <v>0.12</v>
      </c>
      <c r="H10" s="18">
        <f>184/100</f>
        <v>1.84</v>
      </c>
      <c r="I10" s="20">
        <f t="shared" ref="I10:K13" si="3">IF($M10=TRUE,E10*$C10,0)</f>
        <v>0</v>
      </c>
      <c r="J10" s="6">
        <f t="shared" si="3"/>
        <v>0</v>
      </c>
      <c r="K10" s="22">
        <f t="shared" si="3"/>
        <v>0</v>
      </c>
      <c r="L10" s="18">
        <f>IF($M10=TRUE, H10*C10,0)</f>
        <v>0</v>
      </c>
      <c r="M10" t="b">
        <v>0</v>
      </c>
    </row>
    <row r="11" spans="1:16" x14ac:dyDescent="0.25">
      <c r="A11" s="36" t="s">
        <v>59</v>
      </c>
      <c r="B11" s="36"/>
      <c r="C11" s="38">
        <v>360</v>
      </c>
      <c r="E11" s="20">
        <f>20/100</f>
        <v>0.2</v>
      </c>
      <c r="F11" s="6">
        <v>0</v>
      </c>
      <c r="G11" s="22">
        <f>5/100</f>
        <v>0.05</v>
      </c>
      <c r="H11" s="18">
        <f>121/100</f>
        <v>1.21</v>
      </c>
      <c r="I11" s="20">
        <f t="shared" si="3"/>
        <v>0</v>
      </c>
      <c r="J11" s="6">
        <f t="shared" si="3"/>
        <v>0</v>
      </c>
      <c r="K11" s="22">
        <f t="shared" si="3"/>
        <v>0</v>
      </c>
      <c r="L11" s="18">
        <f>IF($M11=TRUE, H11*C11,0)</f>
        <v>0</v>
      </c>
      <c r="M11" t="b">
        <v>0</v>
      </c>
    </row>
    <row r="12" spans="1:16" x14ac:dyDescent="0.25">
      <c r="A12" s="36" t="s">
        <v>13</v>
      </c>
      <c r="B12" s="36"/>
      <c r="C12" s="38">
        <v>1</v>
      </c>
      <c r="E12" s="20">
        <v>20</v>
      </c>
      <c r="F12" s="6">
        <v>1</v>
      </c>
      <c r="G12" s="22">
        <v>1</v>
      </c>
      <c r="H12" s="18">
        <v>93</v>
      </c>
      <c r="I12" s="20">
        <f t="shared" si="3"/>
        <v>20</v>
      </c>
      <c r="J12" s="6">
        <f t="shared" si="3"/>
        <v>1</v>
      </c>
      <c r="K12" s="22">
        <f t="shared" si="3"/>
        <v>1</v>
      </c>
      <c r="L12" s="18">
        <f>IF($M12=TRUE, H12*C12,0)</f>
        <v>93</v>
      </c>
      <c r="M12" t="b">
        <v>1</v>
      </c>
    </row>
    <row r="13" spans="1:16" x14ac:dyDescent="0.25">
      <c r="A13" s="36" t="s">
        <v>80</v>
      </c>
      <c r="B13" s="36"/>
      <c r="C13" s="38">
        <v>126</v>
      </c>
      <c r="E13" s="20">
        <f>24/100</f>
        <v>0.24</v>
      </c>
      <c r="F13" s="6">
        <f>1/100</f>
        <v>0.01</v>
      </c>
      <c r="G13" s="22">
        <f>1/100</f>
        <v>0.01</v>
      </c>
      <c r="H13" s="18">
        <f>105/100</f>
        <v>1.05</v>
      </c>
      <c r="I13" s="20">
        <f t="shared" si="3"/>
        <v>30.24</v>
      </c>
      <c r="J13" s="6">
        <f t="shared" si="3"/>
        <v>1.26</v>
      </c>
      <c r="K13" s="22">
        <f t="shared" si="3"/>
        <v>1.26</v>
      </c>
      <c r="L13" s="18">
        <f>IF($M13=TRUE, H13*C13,0)</f>
        <v>132.30000000000001</v>
      </c>
      <c r="M13" t="b">
        <v>1</v>
      </c>
    </row>
    <row r="14" spans="1:16" x14ac:dyDescent="0.25">
      <c r="A14" t="s">
        <v>7</v>
      </c>
      <c r="C14" s="28">
        <v>50</v>
      </c>
      <c r="E14" s="20">
        <f>12.68/100</f>
        <v>0.1268</v>
      </c>
      <c r="F14" s="6">
        <f>72.83/100</f>
        <v>0.72829999999999995</v>
      </c>
      <c r="G14" s="22">
        <f>1.05/100</f>
        <v>1.0500000000000001E-2</v>
      </c>
      <c r="H14" s="18">
        <f>360/100</f>
        <v>3.6</v>
      </c>
      <c r="I14" s="20">
        <f t="shared" si="0"/>
        <v>0</v>
      </c>
      <c r="J14" s="6">
        <f t="shared" si="0"/>
        <v>0</v>
      </c>
      <c r="K14" s="22">
        <f t="shared" si="0"/>
        <v>0</v>
      </c>
      <c r="L14" s="18">
        <f t="shared" si="1"/>
        <v>0</v>
      </c>
      <c r="M14" t="b">
        <v>0</v>
      </c>
    </row>
    <row r="15" spans="1:16" x14ac:dyDescent="0.25">
      <c r="A15" t="s">
        <v>8</v>
      </c>
      <c r="C15" s="28">
        <v>39</v>
      </c>
      <c r="E15" s="20">
        <f>8.8/100</f>
        <v>8.8000000000000009E-2</v>
      </c>
      <c r="F15" s="6">
        <f>72/100</f>
        <v>0.72</v>
      </c>
      <c r="G15" s="22">
        <f>2.2/100</f>
        <v>2.2000000000000002E-2</v>
      </c>
      <c r="H15" s="18">
        <f>343/100</f>
        <v>3.43</v>
      </c>
      <c r="I15" s="20">
        <f t="shared" si="0"/>
        <v>0</v>
      </c>
      <c r="J15" s="6">
        <f t="shared" si="0"/>
        <v>0</v>
      </c>
      <c r="K15" s="22">
        <f t="shared" si="0"/>
        <v>0</v>
      </c>
      <c r="L15" s="18">
        <f t="shared" si="1"/>
        <v>0</v>
      </c>
      <c r="M15" t="b">
        <v>0</v>
      </c>
    </row>
    <row r="16" spans="1:16" x14ac:dyDescent="0.25">
      <c r="A16" s="35" t="s">
        <v>9</v>
      </c>
      <c r="B16" s="35"/>
      <c r="C16" s="42">
        <f>148+111</f>
        <v>259</v>
      </c>
      <c r="E16" s="20">
        <f>1.5/100</f>
        <v>1.4999999999999999E-2</v>
      </c>
      <c r="F16" s="6">
        <f>20/100</f>
        <v>0.2</v>
      </c>
      <c r="G16" s="22">
        <v>0</v>
      </c>
      <c r="H16" s="18">
        <f>90/100</f>
        <v>0.9</v>
      </c>
      <c r="I16" s="20">
        <f t="shared" si="0"/>
        <v>3.8849999999999998</v>
      </c>
      <c r="J16" s="6">
        <f t="shared" si="0"/>
        <v>51.800000000000004</v>
      </c>
      <c r="K16" s="22">
        <f t="shared" si="0"/>
        <v>0</v>
      </c>
      <c r="L16" s="18">
        <f t="shared" si="1"/>
        <v>233.1</v>
      </c>
      <c r="M16" t="b">
        <v>1</v>
      </c>
    </row>
    <row r="17" spans="1:13" x14ac:dyDescent="0.25">
      <c r="A17" s="35" t="s">
        <v>10</v>
      </c>
      <c r="B17" s="35"/>
      <c r="C17" s="39">
        <v>69</v>
      </c>
      <c r="E17" s="20">
        <f>1.6/100</f>
        <v>1.6E-2</v>
      </c>
      <c r="F17" s="6">
        <f>11/100</f>
        <v>0.11</v>
      </c>
      <c r="G17" s="22">
        <f>0.3/100</f>
        <v>3.0000000000000001E-3</v>
      </c>
      <c r="H17" s="18">
        <f>53/100</f>
        <v>0.53</v>
      </c>
      <c r="I17" s="20">
        <f t="shared" si="0"/>
        <v>0</v>
      </c>
      <c r="J17" s="6">
        <f t="shared" si="0"/>
        <v>0</v>
      </c>
      <c r="K17" s="22">
        <f t="shared" si="0"/>
        <v>0</v>
      </c>
      <c r="L17" s="18">
        <f t="shared" si="1"/>
        <v>0</v>
      </c>
      <c r="M17" t="b">
        <v>0</v>
      </c>
    </row>
    <row r="18" spans="1:13" x14ac:dyDescent="0.25">
      <c r="A18" s="35" t="s">
        <v>11</v>
      </c>
      <c r="B18" s="35"/>
      <c r="C18" s="42">
        <f>273</f>
        <v>273</v>
      </c>
      <c r="E18" s="20">
        <f>1/100</f>
        <v>0.01</v>
      </c>
      <c r="F18" s="6">
        <f>9/100</f>
        <v>0.09</v>
      </c>
      <c r="G18" s="22">
        <f>0.2/100</f>
        <v>2E-3</v>
      </c>
      <c r="H18" s="18">
        <f>45/100</f>
        <v>0.45</v>
      </c>
      <c r="I18" s="20">
        <f t="shared" si="0"/>
        <v>2.73</v>
      </c>
      <c r="J18" s="6">
        <f t="shared" si="0"/>
        <v>24.57</v>
      </c>
      <c r="K18" s="22">
        <f t="shared" si="0"/>
        <v>0.54600000000000004</v>
      </c>
      <c r="L18" s="18">
        <f t="shared" si="1"/>
        <v>122.85000000000001</v>
      </c>
      <c r="M18" t="b">
        <v>1</v>
      </c>
    </row>
    <row r="19" spans="1:13" x14ac:dyDescent="0.25">
      <c r="A19" t="s">
        <v>58</v>
      </c>
      <c r="C19" s="28">
        <v>180</v>
      </c>
      <c r="E19" s="20">
        <f>1.6/100</f>
        <v>1.6E-2</v>
      </c>
      <c r="F19" s="6">
        <f>20/100</f>
        <v>0.2</v>
      </c>
      <c r="G19" s="22">
        <f>0.1/100</f>
        <v>1E-3</v>
      </c>
      <c r="H19" s="18">
        <f>86/100</f>
        <v>0.86</v>
      </c>
      <c r="I19" s="20">
        <f>IF($M19=TRUE,E19*$C19,0)</f>
        <v>0</v>
      </c>
      <c r="J19" s="6">
        <f>IF($M19=TRUE,F19*$C19,0)</f>
        <v>0</v>
      </c>
      <c r="K19" s="22">
        <f>IF($M19=TRUE,G19*$C19,0)</f>
        <v>0</v>
      </c>
      <c r="L19" s="18">
        <f>IF($M19=TRUE, H19*C19,0)</f>
        <v>0</v>
      </c>
      <c r="M19" t="b">
        <v>0</v>
      </c>
    </row>
    <row r="20" spans="1:13" x14ac:dyDescent="0.25">
      <c r="A20" t="s">
        <v>12</v>
      </c>
      <c r="C20" s="28">
        <v>130</v>
      </c>
      <c r="E20" s="20">
        <f>11/100</f>
        <v>0.11</v>
      </c>
      <c r="F20" s="6">
        <f>54/100</f>
        <v>0.54</v>
      </c>
      <c r="G20" s="22">
        <f>3.3/100</f>
        <v>3.3000000000000002E-2</v>
      </c>
      <c r="H20" s="18">
        <f>293/100</f>
        <v>2.93</v>
      </c>
      <c r="I20" s="20">
        <f t="shared" si="0"/>
        <v>0</v>
      </c>
      <c r="J20" s="6">
        <f t="shared" si="0"/>
        <v>0</v>
      </c>
      <c r="K20" s="22">
        <f t="shared" si="0"/>
        <v>0</v>
      </c>
      <c r="L20" s="18">
        <f t="shared" si="1"/>
        <v>0</v>
      </c>
      <c r="M20" t="b">
        <v>0</v>
      </c>
    </row>
    <row r="21" spans="1:13" x14ac:dyDescent="0.25">
      <c r="A21" t="s">
        <v>17</v>
      </c>
      <c r="C21" s="28">
        <v>24</v>
      </c>
      <c r="D21" s="2" t="s">
        <v>23</v>
      </c>
      <c r="E21" s="20">
        <f>3/100</f>
        <v>0.03</v>
      </c>
      <c r="F21" s="6">
        <f>11/100</f>
        <v>0.11</v>
      </c>
      <c r="G21" s="22">
        <f>1.5/100</f>
        <v>1.4999999999999999E-2</v>
      </c>
      <c r="H21" s="18">
        <f>74/100</f>
        <v>0.74</v>
      </c>
      <c r="I21" s="20">
        <f t="shared" si="0"/>
        <v>0</v>
      </c>
      <c r="J21" s="6">
        <f t="shared" si="0"/>
        <v>0</v>
      </c>
      <c r="K21" s="22">
        <f t="shared" si="0"/>
        <v>0</v>
      </c>
      <c r="L21" s="18">
        <f t="shared" si="1"/>
        <v>0</v>
      </c>
      <c r="M21" t="b">
        <v>0</v>
      </c>
    </row>
    <row r="22" spans="1:13" x14ac:dyDescent="0.25">
      <c r="A22" t="s">
        <v>19</v>
      </c>
      <c r="C22" s="28">
        <v>137</v>
      </c>
      <c r="D22" s="2" t="s">
        <v>25</v>
      </c>
      <c r="E22" s="20">
        <f>2/100</f>
        <v>0.02</v>
      </c>
      <c r="F22" s="6">
        <f>17/100</f>
        <v>0.17</v>
      </c>
      <c r="G22" s="22">
        <f>0.1/100</f>
        <v>1E-3</v>
      </c>
      <c r="H22" s="18">
        <f>77/100</f>
        <v>0.77</v>
      </c>
      <c r="I22" s="20">
        <f t="shared" si="0"/>
        <v>0</v>
      </c>
      <c r="J22" s="6">
        <f t="shared" si="0"/>
        <v>0</v>
      </c>
      <c r="K22" s="22">
        <f t="shared" si="0"/>
        <v>0</v>
      </c>
      <c r="L22" s="18">
        <f t="shared" si="1"/>
        <v>0</v>
      </c>
      <c r="M22" t="b">
        <v>0</v>
      </c>
    </row>
    <row r="23" spans="1:13" x14ac:dyDescent="0.25">
      <c r="A23" t="s">
        <v>20</v>
      </c>
      <c r="C23" s="28">
        <f>110</f>
        <v>110</v>
      </c>
      <c r="E23" s="20">
        <f>25/100</f>
        <v>0.25</v>
      </c>
      <c r="F23" s="6">
        <v>0</v>
      </c>
      <c r="G23" s="22">
        <f>1/100</f>
        <v>0.01</v>
      </c>
      <c r="H23" s="18">
        <f>109/100</f>
        <v>1.0900000000000001</v>
      </c>
      <c r="I23" s="20">
        <f t="shared" si="0"/>
        <v>0</v>
      </c>
      <c r="J23" s="6">
        <f t="shared" si="0"/>
        <v>0</v>
      </c>
      <c r="K23" s="22">
        <f t="shared" si="0"/>
        <v>0</v>
      </c>
      <c r="L23" s="18">
        <f t="shared" si="1"/>
        <v>0</v>
      </c>
      <c r="M23" t="b">
        <v>0</v>
      </c>
    </row>
    <row r="24" spans="1:13" x14ac:dyDescent="0.25">
      <c r="A24" s="35" t="s">
        <v>21</v>
      </c>
      <c r="B24" s="35"/>
      <c r="C24" s="39">
        <v>130</v>
      </c>
      <c r="D24" s="2" t="s">
        <v>22</v>
      </c>
      <c r="E24" s="20">
        <f>2.3/100</f>
        <v>2.3E-2</v>
      </c>
      <c r="F24" s="6">
        <f>7.2/100</f>
        <v>7.2000000000000008E-2</v>
      </c>
      <c r="G24" s="22">
        <f>0.5/100</f>
        <v>5.0000000000000001E-3</v>
      </c>
      <c r="H24" s="18">
        <f>44/100</f>
        <v>0.44</v>
      </c>
      <c r="I24" s="20">
        <f t="shared" si="0"/>
        <v>0</v>
      </c>
      <c r="J24" s="6">
        <f t="shared" si="0"/>
        <v>0</v>
      </c>
      <c r="K24" s="22">
        <f t="shared" si="0"/>
        <v>0</v>
      </c>
      <c r="L24" s="18">
        <f t="shared" si="1"/>
        <v>0</v>
      </c>
      <c r="M24" t="b">
        <v>0</v>
      </c>
    </row>
    <row r="25" spans="1:13" x14ac:dyDescent="0.25">
      <c r="A25" t="s">
        <v>26</v>
      </c>
      <c r="C25" s="28"/>
      <c r="E25" s="20">
        <v>0</v>
      </c>
      <c r="F25" s="6">
        <v>0</v>
      </c>
      <c r="G25" s="22">
        <v>0</v>
      </c>
      <c r="H25" s="18">
        <f>275/100</f>
        <v>2.75</v>
      </c>
      <c r="I25" s="20">
        <f t="shared" si="0"/>
        <v>0</v>
      </c>
      <c r="J25" s="6">
        <f t="shared" si="0"/>
        <v>0</v>
      </c>
      <c r="K25" s="22">
        <f t="shared" si="0"/>
        <v>0</v>
      </c>
      <c r="L25" s="18">
        <f t="shared" si="1"/>
        <v>0</v>
      </c>
      <c r="M25" t="b">
        <v>0</v>
      </c>
    </row>
    <row r="26" spans="1:13" x14ac:dyDescent="0.25">
      <c r="A26" t="s">
        <v>32</v>
      </c>
      <c r="C26" s="28">
        <v>20</v>
      </c>
      <c r="E26" s="20">
        <f>22/100</f>
        <v>0.22</v>
      </c>
      <c r="F26" s="6">
        <f>6.9/100</f>
        <v>6.9000000000000006E-2</v>
      </c>
      <c r="G26" s="22">
        <f>54/100</f>
        <v>0.54</v>
      </c>
      <c r="H26" s="18">
        <f>620/100</f>
        <v>6.2</v>
      </c>
      <c r="I26" s="20">
        <f t="shared" si="0"/>
        <v>4.4000000000000004</v>
      </c>
      <c r="J26" s="6">
        <f t="shared" si="0"/>
        <v>1.3800000000000001</v>
      </c>
      <c r="K26" s="22">
        <f t="shared" si="0"/>
        <v>10.8</v>
      </c>
      <c r="L26" s="18">
        <f t="shared" si="1"/>
        <v>124</v>
      </c>
      <c r="M26" t="b">
        <v>1</v>
      </c>
    </row>
    <row r="27" spans="1:13" x14ac:dyDescent="0.25">
      <c r="A27" t="s">
        <v>33</v>
      </c>
      <c r="C27" s="28">
        <v>143</v>
      </c>
      <c r="E27" s="20">
        <v>3.6</v>
      </c>
      <c r="F27" s="6">
        <v>0.2</v>
      </c>
      <c r="G27" s="22">
        <v>0.1</v>
      </c>
      <c r="H27" s="18">
        <f>17</f>
        <v>17</v>
      </c>
      <c r="I27" s="20">
        <f t="shared" si="0"/>
        <v>0</v>
      </c>
      <c r="J27" s="6">
        <f t="shared" si="0"/>
        <v>0</v>
      </c>
      <c r="K27" s="22">
        <f t="shared" si="0"/>
        <v>0</v>
      </c>
      <c r="L27" s="18">
        <f t="shared" si="1"/>
        <v>0</v>
      </c>
      <c r="M27" t="b">
        <v>0</v>
      </c>
    </row>
    <row r="28" spans="1:13" x14ac:dyDescent="0.25">
      <c r="A28" t="s">
        <v>34</v>
      </c>
      <c r="C28" s="28">
        <v>50</v>
      </c>
      <c r="E28" s="20">
        <f>7.4/100</f>
        <v>7.400000000000001E-2</v>
      </c>
      <c r="F28" s="6">
        <f>78.7/100</f>
        <v>0.78700000000000003</v>
      </c>
      <c r="G28" s="22">
        <f>0.7/100</f>
        <v>6.9999999999999993E-3</v>
      </c>
      <c r="H28" s="18">
        <f>351/100</f>
        <v>3.51</v>
      </c>
      <c r="I28" s="20">
        <f t="shared" si="0"/>
        <v>0</v>
      </c>
      <c r="J28" s="6">
        <f t="shared" si="0"/>
        <v>0</v>
      </c>
      <c r="K28" s="22">
        <f t="shared" si="0"/>
        <v>0</v>
      </c>
      <c r="L28" s="18">
        <f t="shared" si="1"/>
        <v>0</v>
      </c>
      <c r="M28" t="b">
        <v>0</v>
      </c>
    </row>
    <row r="29" spans="1:13" x14ac:dyDescent="0.25">
      <c r="A29" t="s">
        <v>55</v>
      </c>
      <c r="C29" s="28"/>
      <c r="E29" s="20">
        <f>19/100</f>
        <v>0.19</v>
      </c>
      <c r="F29" s="6">
        <f>61/100</f>
        <v>0.61</v>
      </c>
      <c r="G29" s="22">
        <f>6/100</f>
        <v>0.06</v>
      </c>
      <c r="H29" s="18">
        <f>364/100</f>
        <v>3.64</v>
      </c>
      <c r="I29" s="20">
        <f t="shared" si="0"/>
        <v>0</v>
      </c>
      <c r="J29" s="6">
        <f t="shared" si="0"/>
        <v>0</v>
      </c>
      <c r="K29" s="22">
        <f t="shared" si="0"/>
        <v>0</v>
      </c>
      <c r="L29" s="18">
        <f t="shared" si="1"/>
        <v>0</v>
      </c>
      <c r="M29" t="b">
        <v>0</v>
      </c>
    </row>
    <row r="30" spans="1:13" x14ac:dyDescent="0.25">
      <c r="A30" t="s">
        <v>60</v>
      </c>
      <c r="C30" s="28">
        <v>66</v>
      </c>
      <c r="E30" s="20">
        <f>7.5/100</f>
        <v>7.4999999999999997E-2</v>
      </c>
      <c r="F30" s="6">
        <f>78/100</f>
        <v>0.78</v>
      </c>
      <c r="G30" s="22">
        <f>0.6/100</f>
        <v>6.0000000000000001E-3</v>
      </c>
      <c r="H30" s="18">
        <f>347/100</f>
        <v>3.47</v>
      </c>
      <c r="I30" s="20">
        <f t="shared" si="0"/>
        <v>0</v>
      </c>
      <c r="J30" s="6">
        <f t="shared" si="0"/>
        <v>0</v>
      </c>
      <c r="K30" s="22">
        <f t="shared" si="0"/>
        <v>0</v>
      </c>
      <c r="L30" s="18">
        <f t="shared" si="1"/>
        <v>0</v>
      </c>
      <c r="M30" t="b">
        <v>0</v>
      </c>
    </row>
    <row r="31" spans="1:13" x14ac:dyDescent="0.25">
      <c r="A31" t="s">
        <v>63</v>
      </c>
      <c r="C31" s="28">
        <v>39</v>
      </c>
      <c r="E31" s="20">
        <f>1.4/100</f>
        <v>1.3999999999999999E-2</v>
      </c>
      <c r="F31" s="6">
        <f>9/100</f>
        <v>0.09</v>
      </c>
      <c r="G31" s="22">
        <f>0.2/100</f>
        <v>2E-3</v>
      </c>
      <c r="H31" s="18">
        <f>43/100</f>
        <v>0.43</v>
      </c>
      <c r="I31" s="20">
        <f t="shared" si="0"/>
        <v>0</v>
      </c>
      <c r="J31" s="6">
        <f t="shared" si="0"/>
        <v>0</v>
      </c>
      <c r="K31" s="22">
        <f t="shared" si="0"/>
        <v>0</v>
      </c>
      <c r="L31" s="18">
        <f t="shared" si="1"/>
        <v>0</v>
      </c>
      <c r="M31" t="b">
        <v>0</v>
      </c>
    </row>
    <row r="32" spans="1:13" x14ac:dyDescent="0.25">
      <c r="A32" t="s">
        <v>64</v>
      </c>
      <c r="C32" s="28">
        <v>10</v>
      </c>
      <c r="E32" s="20">
        <f>4.1/100</f>
        <v>4.0999999999999995E-2</v>
      </c>
      <c r="F32" s="6">
        <f>6.6/100</f>
        <v>6.6000000000000003E-2</v>
      </c>
      <c r="G32" s="22">
        <f>5/100</f>
        <v>0.05</v>
      </c>
      <c r="H32" s="18">
        <f>84/100</f>
        <v>0.84</v>
      </c>
      <c r="I32" s="20">
        <f t="shared" si="0"/>
        <v>0</v>
      </c>
      <c r="J32" s="6">
        <f t="shared" si="0"/>
        <v>0</v>
      </c>
      <c r="K32" s="22">
        <f t="shared" si="0"/>
        <v>0</v>
      </c>
      <c r="L32" s="18">
        <f t="shared" si="1"/>
        <v>0</v>
      </c>
      <c r="M32" t="b">
        <v>0</v>
      </c>
    </row>
    <row r="33" spans="1:16" x14ac:dyDescent="0.25">
      <c r="A33" t="s">
        <v>66</v>
      </c>
      <c r="C33" s="28">
        <v>70</v>
      </c>
      <c r="E33" s="20">
        <f>14.1/100</f>
        <v>0.14099999999999999</v>
      </c>
      <c r="F33" s="6">
        <f>68.9/100</f>
        <v>0.68900000000000006</v>
      </c>
      <c r="G33" s="22">
        <f>5.8/100</f>
        <v>5.7999999999999996E-2</v>
      </c>
      <c r="H33" s="18">
        <f>380/100</f>
        <v>3.8</v>
      </c>
      <c r="I33" s="20">
        <f t="shared" si="0"/>
        <v>0</v>
      </c>
      <c r="J33" s="6">
        <f t="shared" si="0"/>
        <v>0</v>
      </c>
      <c r="K33" s="22">
        <f t="shared" si="0"/>
        <v>0</v>
      </c>
      <c r="L33" s="18">
        <f t="shared" si="1"/>
        <v>0</v>
      </c>
      <c r="M33" t="b">
        <v>0</v>
      </c>
    </row>
    <row r="34" spans="1:16" x14ac:dyDescent="0.25">
      <c r="A34" t="s">
        <v>79</v>
      </c>
      <c r="P34">
        <v>2.2046199999999998</v>
      </c>
    </row>
    <row r="35" spans="1:16" x14ac:dyDescent="0.25">
      <c r="A35" t="s">
        <v>77</v>
      </c>
      <c r="B35" t="s">
        <v>78</v>
      </c>
      <c r="N35" s="2" t="s">
        <v>68</v>
      </c>
    </row>
    <row r="36" spans="1:16" x14ac:dyDescent="0.25">
      <c r="A36" t="s">
        <v>75</v>
      </c>
      <c r="H36" t="s">
        <v>73</v>
      </c>
      <c r="I36" s="46">
        <f>SUM(I4:I35)</f>
        <v>188.68699999999998</v>
      </c>
      <c r="J36" s="47">
        <f>SUM(J4:J35)</f>
        <v>167.55199999999999</v>
      </c>
      <c r="K36" s="48">
        <f>SUM(K4:K35)</f>
        <v>40.798000000000002</v>
      </c>
      <c r="L36" t="s">
        <v>65</v>
      </c>
      <c r="N36" s="2">
        <v>67</v>
      </c>
    </row>
    <row r="37" spans="1:16" x14ac:dyDescent="0.25">
      <c r="A37" t="s">
        <v>74</v>
      </c>
      <c r="I37" s="49">
        <f>I36-I39</f>
        <v>4.0500749999999925</v>
      </c>
      <c r="J37" s="49">
        <f>J36-J39</f>
        <v>19.842460000000017</v>
      </c>
      <c r="K37" s="49">
        <f>K36-K39</f>
        <v>0.91642420000000158</v>
      </c>
    </row>
    <row r="38" spans="1:16" x14ac:dyDescent="0.25">
      <c r="A38">
        <f>0.25*J39</f>
        <v>36.927384999999994</v>
      </c>
      <c r="L38" s="4">
        <f>SUM(L4:L33)</f>
        <v>1845.57</v>
      </c>
    </row>
    <row r="39" spans="1:16" x14ac:dyDescent="0.25">
      <c r="A39">
        <f>0.35*J39</f>
        <v>51.69833899999999</v>
      </c>
      <c r="H39" t="s">
        <v>70</v>
      </c>
      <c r="I39" s="43">
        <f>1.25 * $P$34 * $N$36</f>
        <v>184.63692499999999</v>
      </c>
      <c r="J39" s="44">
        <f>1 * $P$34 * $N$36</f>
        <v>147.70953999999998</v>
      </c>
      <c r="K39" s="45">
        <f>0.27 * $P$34 * $N$36</f>
        <v>39.8815758</v>
      </c>
      <c r="L39">
        <f>11.43*P34* N36</f>
        <v>1688.3200421999998</v>
      </c>
    </row>
    <row r="40" spans="1:16" x14ac:dyDescent="0.25">
      <c r="A40" t="s">
        <v>76</v>
      </c>
      <c r="H40" t="s">
        <v>71</v>
      </c>
      <c r="I40" s="43">
        <f>1.15 * $P$34 * $N$36</f>
        <v>169.86597099999997</v>
      </c>
      <c r="J40" s="44">
        <f>1.25 * $P$34 * $N$36</f>
        <v>184.63692499999999</v>
      </c>
      <c r="K40" s="45">
        <f>0.35 * $P$34 * $N$36</f>
        <v>51.69833899999999</v>
      </c>
      <c r="L40">
        <f>11.43*P34* N36</f>
        <v>1688.3200421999998</v>
      </c>
    </row>
    <row r="41" spans="1:16" x14ac:dyDescent="0.25">
      <c r="H41" t="s">
        <v>72</v>
      </c>
      <c r="I41" s="43">
        <f>1.1 * $P$34 * $N$36</f>
        <v>162.48049400000002</v>
      </c>
      <c r="J41" s="44">
        <f>2 * $P$34 * $N$36</f>
        <v>295.41907999999995</v>
      </c>
      <c r="K41" s="45">
        <f>0.5* $P$34 * $N$36</f>
        <v>73.854769999999988</v>
      </c>
      <c r="L41">
        <f>11.43*P34* N36</f>
        <v>1688.3200421999998</v>
      </c>
    </row>
  </sheetData>
  <conditionalFormatting sqref="I37">
    <cfRule type="colorScale" priority="3">
      <colorScale>
        <cfvo type="formula" val="-$I$39"/>
        <cfvo type="num" val="0"/>
        <cfvo type="num" val="20"/>
        <color rgb="FFFF8B8B"/>
        <color rgb="FF00B050"/>
        <color rgb="FFFF8B8B"/>
      </colorScale>
    </cfRule>
  </conditionalFormatting>
  <conditionalFormatting sqref="J37">
    <cfRule type="colorScale" priority="2">
      <colorScale>
        <cfvo type="formula" val="-$J$39"/>
        <cfvo type="percentile" val="0"/>
        <cfvo type="num" val="20"/>
        <color rgb="FFFF8B8B"/>
        <color rgb="FF00B050"/>
        <color rgb="FFFF8B8B"/>
      </colorScale>
    </cfRule>
  </conditionalFormatting>
  <conditionalFormatting sqref="K37">
    <cfRule type="colorScale" priority="1">
      <colorScale>
        <cfvo type="formula" val="-$K$39"/>
        <cfvo type="percentile" val="0"/>
        <cfvo type="num" val="20"/>
        <color rgb="FFFF8B8B"/>
        <color rgb="FF00B050"/>
        <color rgb="FFFF8B8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Case à cocher 1">
              <controlPr defaultSize="0" autoFill="0" autoLine="0" autoPict="0">
                <anchor moveWithCells="1">
                  <from>
                    <xdr:col>1</xdr:col>
                    <xdr:colOff>161925</xdr:colOff>
                    <xdr:row>3</xdr:row>
                    <xdr:rowOff>0</xdr:rowOff>
                  </from>
                  <to>
                    <xdr:col>1</xdr:col>
                    <xdr:colOff>342900</xdr:colOff>
                    <xdr:row>4</xdr:row>
                    <xdr:rowOff>0</xdr:rowOff>
                  </to>
                </anchor>
              </controlPr>
            </control>
          </mc:Choice>
        </mc:AlternateContent>
        <mc:AlternateContent xmlns:mc="http://schemas.openxmlformats.org/markup-compatibility/2006">
          <mc:Choice Requires="x14">
            <control shapeId="32770" r:id="rId5" name="Case à cocher 2">
              <controlPr defaultSize="0" autoFill="0" autoLine="0" autoPict="0">
                <anchor moveWithCells="1">
                  <from>
                    <xdr:col>1</xdr:col>
                    <xdr:colOff>152400</xdr:colOff>
                    <xdr:row>3</xdr:row>
                    <xdr:rowOff>9525</xdr:rowOff>
                  </from>
                  <to>
                    <xdr:col>1</xdr:col>
                    <xdr:colOff>333375</xdr:colOff>
                    <xdr:row>4</xdr:row>
                    <xdr:rowOff>9525</xdr:rowOff>
                  </to>
                </anchor>
              </controlPr>
            </control>
          </mc:Choice>
        </mc:AlternateContent>
        <mc:AlternateContent xmlns:mc="http://schemas.openxmlformats.org/markup-compatibility/2006">
          <mc:Choice Requires="x14">
            <control shapeId="32771" r:id="rId6" name="Case à cocher 4">
              <controlPr defaultSize="0" autoFill="0" autoLine="0" autoPict="0">
                <anchor moveWithCells="1">
                  <from>
                    <xdr:col>1</xdr:col>
                    <xdr:colOff>152400</xdr:colOff>
                    <xdr:row>7</xdr:row>
                    <xdr:rowOff>0</xdr:rowOff>
                  </from>
                  <to>
                    <xdr:col>1</xdr:col>
                    <xdr:colOff>333375</xdr:colOff>
                    <xdr:row>8</xdr:row>
                    <xdr:rowOff>0</xdr:rowOff>
                  </to>
                </anchor>
              </controlPr>
            </control>
          </mc:Choice>
        </mc:AlternateContent>
        <mc:AlternateContent xmlns:mc="http://schemas.openxmlformats.org/markup-compatibility/2006">
          <mc:Choice Requires="x14">
            <control shapeId="32772" r:id="rId7" name="Case à cocher 5">
              <controlPr defaultSize="0" autoFill="0" autoLine="0" autoPict="0">
                <anchor moveWithCells="1">
                  <from>
                    <xdr:col>1</xdr:col>
                    <xdr:colOff>152400</xdr:colOff>
                    <xdr:row>8</xdr:row>
                    <xdr:rowOff>9525</xdr:rowOff>
                  </from>
                  <to>
                    <xdr:col>1</xdr:col>
                    <xdr:colOff>333375</xdr:colOff>
                    <xdr:row>9</xdr:row>
                    <xdr:rowOff>9525</xdr:rowOff>
                  </to>
                </anchor>
              </controlPr>
            </control>
          </mc:Choice>
        </mc:AlternateContent>
        <mc:AlternateContent xmlns:mc="http://schemas.openxmlformats.org/markup-compatibility/2006">
          <mc:Choice Requires="x14">
            <control shapeId="32773" r:id="rId8" name="Case à cocher 6">
              <controlPr defaultSize="0" autoFill="0" autoLine="0" autoPict="0">
                <anchor moveWithCells="1">
                  <from>
                    <xdr:col>1</xdr:col>
                    <xdr:colOff>152400</xdr:colOff>
                    <xdr:row>27</xdr:row>
                    <xdr:rowOff>190500</xdr:rowOff>
                  </from>
                  <to>
                    <xdr:col>1</xdr:col>
                    <xdr:colOff>333375</xdr:colOff>
                    <xdr:row>28</xdr:row>
                    <xdr:rowOff>190500</xdr:rowOff>
                  </to>
                </anchor>
              </controlPr>
            </control>
          </mc:Choice>
        </mc:AlternateContent>
        <mc:AlternateContent xmlns:mc="http://schemas.openxmlformats.org/markup-compatibility/2006">
          <mc:Choice Requires="x14">
            <control shapeId="32774" r:id="rId9" name="Case à cocher 7">
              <controlPr defaultSize="0" autoFill="0" autoLine="0" autoPict="0">
                <anchor moveWithCells="1">
                  <from>
                    <xdr:col>1</xdr:col>
                    <xdr:colOff>152400</xdr:colOff>
                    <xdr:row>13</xdr:row>
                    <xdr:rowOff>19050</xdr:rowOff>
                  </from>
                  <to>
                    <xdr:col>1</xdr:col>
                    <xdr:colOff>333375</xdr:colOff>
                    <xdr:row>14</xdr:row>
                    <xdr:rowOff>19050</xdr:rowOff>
                  </to>
                </anchor>
              </controlPr>
            </control>
          </mc:Choice>
        </mc:AlternateContent>
        <mc:AlternateContent xmlns:mc="http://schemas.openxmlformats.org/markup-compatibility/2006">
          <mc:Choice Requires="x14">
            <control shapeId="32775" r:id="rId10" name="Case à cocher 8">
              <controlPr defaultSize="0" autoFill="0" autoLine="0" autoPict="0">
                <anchor moveWithCells="1">
                  <from>
                    <xdr:col>1</xdr:col>
                    <xdr:colOff>152400</xdr:colOff>
                    <xdr:row>14</xdr:row>
                    <xdr:rowOff>9525</xdr:rowOff>
                  </from>
                  <to>
                    <xdr:col>1</xdr:col>
                    <xdr:colOff>333375</xdr:colOff>
                    <xdr:row>15</xdr:row>
                    <xdr:rowOff>9525</xdr:rowOff>
                  </to>
                </anchor>
              </controlPr>
            </control>
          </mc:Choice>
        </mc:AlternateContent>
        <mc:AlternateContent xmlns:mc="http://schemas.openxmlformats.org/markup-compatibility/2006">
          <mc:Choice Requires="x14">
            <control shapeId="32776" r:id="rId11" name="Case à cocher 9">
              <controlPr defaultSize="0" autoFill="0" autoLine="0" autoPict="0">
                <anchor moveWithCells="1">
                  <from>
                    <xdr:col>1</xdr:col>
                    <xdr:colOff>152400</xdr:colOff>
                    <xdr:row>15</xdr:row>
                    <xdr:rowOff>9525</xdr:rowOff>
                  </from>
                  <to>
                    <xdr:col>1</xdr:col>
                    <xdr:colOff>333375</xdr:colOff>
                    <xdr:row>16</xdr:row>
                    <xdr:rowOff>9525</xdr:rowOff>
                  </to>
                </anchor>
              </controlPr>
            </control>
          </mc:Choice>
        </mc:AlternateContent>
        <mc:AlternateContent xmlns:mc="http://schemas.openxmlformats.org/markup-compatibility/2006">
          <mc:Choice Requires="x14">
            <control shapeId="32777" r:id="rId12" name="Case à cocher 10">
              <controlPr defaultSize="0" autoFill="0" autoLine="0" autoPict="0">
                <anchor moveWithCells="1">
                  <from>
                    <xdr:col>1</xdr:col>
                    <xdr:colOff>152400</xdr:colOff>
                    <xdr:row>15</xdr:row>
                    <xdr:rowOff>171450</xdr:rowOff>
                  </from>
                  <to>
                    <xdr:col>1</xdr:col>
                    <xdr:colOff>333375</xdr:colOff>
                    <xdr:row>16</xdr:row>
                    <xdr:rowOff>171450</xdr:rowOff>
                  </to>
                </anchor>
              </controlPr>
            </control>
          </mc:Choice>
        </mc:AlternateContent>
        <mc:AlternateContent xmlns:mc="http://schemas.openxmlformats.org/markup-compatibility/2006">
          <mc:Choice Requires="x14">
            <control shapeId="32778" r:id="rId13" name="Case à cocher 11">
              <controlPr defaultSize="0" autoFill="0" autoLine="0" autoPict="0">
                <anchor moveWithCells="1">
                  <from>
                    <xdr:col>1</xdr:col>
                    <xdr:colOff>152400</xdr:colOff>
                    <xdr:row>16</xdr:row>
                    <xdr:rowOff>171450</xdr:rowOff>
                  </from>
                  <to>
                    <xdr:col>1</xdr:col>
                    <xdr:colOff>333375</xdr:colOff>
                    <xdr:row>17</xdr:row>
                    <xdr:rowOff>171450</xdr:rowOff>
                  </to>
                </anchor>
              </controlPr>
            </control>
          </mc:Choice>
        </mc:AlternateContent>
        <mc:AlternateContent xmlns:mc="http://schemas.openxmlformats.org/markup-compatibility/2006">
          <mc:Choice Requires="x14">
            <control shapeId="32779" r:id="rId14" name="Check Box 11">
              <controlPr defaultSize="0" autoFill="0" autoLine="0" autoPict="0">
                <anchor moveWithCells="1">
                  <from>
                    <xdr:col>1</xdr:col>
                    <xdr:colOff>152400</xdr:colOff>
                    <xdr:row>18</xdr:row>
                    <xdr:rowOff>180975</xdr:rowOff>
                  </from>
                  <to>
                    <xdr:col>1</xdr:col>
                    <xdr:colOff>333375</xdr:colOff>
                    <xdr:row>19</xdr:row>
                    <xdr:rowOff>180975</xdr:rowOff>
                  </to>
                </anchor>
              </controlPr>
            </control>
          </mc:Choice>
        </mc:AlternateContent>
        <mc:AlternateContent xmlns:mc="http://schemas.openxmlformats.org/markup-compatibility/2006">
          <mc:Choice Requires="x14">
            <control shapeId="32780" r:id="rId15" name="Check Box 13">
              <controlPr defaultSize="0" autoFill="0" autoLine="0" autoPict="0">
                <anchor moveWithCells="1">
                  <from>
                    <xdr:col>1</xdr:col>
                    <xdr:colOff>152400</xdr:colOff>
                    <xdr:row>10</xdr:row>
                    <xdr:rowOff>180975</xdr:rowOff>
                  </from>
                  <to>
                    <xdr:col>1</xdr:col>
                    <xdr:colOff>333375</xdr:colOff>
                    <xdr:row>12</xdr:row>
                    <xdr:rowOff>0</xdr:rowOff>
                  </to>
                </anchor>
              </controlPr>
            </control>
          </mc:Choice>
        </mc:AlternateContent>
        <mc:AlternateContent xmlns:mc="http://schemas.openxmlformats.org/markup-compatibility/2006">
          <mc:Choice Requires="x14">
            <control shapeId="32781" r:id="rId16" name="Check Box 14">
              <controlPr defaultSize="0" autoFill="0" autoLine="0" autoPict="0">
                <anchor moveWithCells="1">
                  <from>
                    <xdr:col>1</xdr:col>
                    <xdr:colOff>152400</xdr:colOff>
                    <xdr:row>19</xdr:row>
                    <xdr:rowOff>180975</xdr:rowOff>
                  </from>
                  <to>
                    <xdr:col>1</xdr:col>
                    <xdr:colOff>333375</xdr:colOff>
                    <xdr:row>21</xdr:row>
                    <xdr:rowOff>0</xdr:rowOff>
                  </to>
                </anchor>
              </controlPr>
            </control>
          </mc:Choice>
        </mc:AlternateContent>
        <mc:AlternateContent xmlns:mc="http://schemas.openxmlformats.org/markup-compatibility/2006">
          <mc:Choice Requires="x14">
            <control shapeId="32782" r:id="rId17" name="Check Box 15">
              <controlPr defaultSize="0" autoFill="0" autoLine="0" autoPict="0">
                <anchor moveWithCells="1">
                  <from>
                    <xdr:col>1</xdr:col>
                    <xdr:colOff>152400</xdr:colOff>
                    <xdr:row>6</xdr:row>
                    <xdr:rowOff>0</xdr:rowOff>
                  </from>
                  <to>
                    <xdr:col>1</xdr:col>
                    <xdr:colOff>333375</xdr:colOff>
                    <xdr:row>7</xdr:row>
                    <xdr:rowOff>0</xdr:rowOff>
                  </to>
                </anchor>
              </controlPr>
            </control>
          </mc:Choice>
        </mc:AlternateContent>
        <mc:AlternateContent xmlns:mc="http://schemas.openxmlformats.org/markup-compatibility/2006">
          <mc:Choice Requires="x14">
            <control shapeId="32783" r:id="rId18" name="Check Box 16">
              <controlPr defaultSize="0" autoFill="0" autoLine="0" autoPict="0">
                <anchor moveWithCells="1">
                  <from>
                    <xdr:col>1</xdr:col>
                    <xdr:colOff>152400</xdr:colOff>
                    <xdr:row>21</xdr:row>
                    <xdr:rowOff>0</xdr:rowOff>
                  </from>
                  <to>
                    <xdr:col>1</xdr:col>
                    <xdr:colOff>333375</xdr:colOff>
                    <xdr:row>22</xdr:row>
                    <xdr:rowOff>9525</xdr:rowOff>
                  </to>
                </anchor>
              </controlPr>
            </control>
          </mc:Choice>
        </mc:AlternateContent>
        <mc:AlternateContent xmlns:mc="http://schemas.openxmlformats.org/markup-compatibility/2006">
          <mc:Choice Requires="x14">
            <control shapeId="32784" r:id="rId19" name="Check Box 17">
              <controlPr defaultSize="0" autoFill="0" autoLine="0" autoPict="0">
                <anchor moveWithCells="1">
                  <from>
                    <xdr:col>1</xdr:col>
                    <xdr:colOff>152400</xdr:colOff>
                    <xdr:row>21</xdr:row>
                    <xdr:rowOff>180975</xdr:rowOff>
                  </from>
                  <to>
                    <xdr:col>1</xdr:col>
                    <xdr:colOff>333375</xdr:colOff>
                    <xdr:row>23</xdr:row>
                    <xdr:rowOff>0</xdr:rowOff>
                  </to>
                </anchor>
              </controlPr>
            </control>
          </mc:Choice>
        </mc:AlternateContent>
        <mc:AlternateContent xmlns:mc="http://schemas.openxmlformats.org/markup-compatibility/2006">
          <mc:Choice Requires="x14">
            <control shapeId="32785" r:id="rId20" name="Check Box 18">
              <controlPr defaultSize="0" autoFill="0" autoLine="0" autoPict="0">
                <anchor moveWithCells="1">
                  <from>
                    <xdr:col>1</xdr:col>
                    <xdr:colOff>152400</xdr:colOff>
                    <xdr:row>23</xdr:row>
                    <xdr:rowOff>0</xdr:rowOff>
                  </from>
                  <to>
                    <xdr:col>1</xdr:col>
                    <xdr:colOff>333375</xdr:colOff>
                    <xdr:row>24</xdr:row>
                    <xdr:rowOff>0</xdr:rowOff>
                  </to>
                </anchor>
              </controlPr>
            </control>
          </mc:Choice>
        </mc:AlternateContent>
        <mc:AlternateContent xmlns:mc="http://schemas.openxmlformats.org/markup-compatibility/2006">
          <mc:Choice Requires="x14">
            <control shapeId="32786" r:id="rId21" name="Check Box 19">
              <controlPr defaultSize="0" autoFill="0" autoLine="0" autoPict="0">
                <anchor moveWithCells="1">
                  <from>
                    <xdr:col>1</xdr:col>
                    <xdr:colOff>152400</xdr:colOff>
                    <xdr:row>24</xdr:row>
                    <xdr:rowOff>0</xdr:rowOff>
                  </from>
                  <to>
                    <xdr:col>1</xdr:col>
                    <xdr:colOff>333375</xdr:colOff>
                    <xdr:row>25</xdr:row>
                    <xdr:rowOff>0</xdr:rowOff>
                  </to>
                </anchor>
              </controlPr>
            </control>
          </mc:Choice>
        </mc:AlternateContent>
        <mc:AlternateContent xmlns:mc="http://schemas.openxmlformats.org/markup-compatibility/2006">
          <mc:Choice Requires="x14">
            <control shapeId="32787" r:id="rId22" name="Check Box 20">
              <controlPr defaultSize="0" autoFill="0" autoLine="0" autoPict="0">
                <anchor moveWithCells="1">
                  <from>
                    <xdr:col>1</xdr:col>
                    <xdr:colOff>152400</xdr:colOff>
                    <xdr:row>25</xdr:row>
                    <xdr:rowOff>9525</xdr:rowOff>
                  </from>
                  <to>
                    <xdr:col>1</xdr:col>
                    <xdr:colOff>333375</xdr:colOff>
                    <xdr:row>26</xdr:row>
                    <xdr:rowOff>9525</xdr:rowOff>
                  </to>
                </anchor>
              </controlPr>
            </control>
          </mc:Choice>
        </mc:AlternateContent>
        <mc:AlternateContent xmlns:mc="http://schemas.openxmlformats.org/markup-compatibility/2006">
          <mc:Choice Requires="x14">
            <control shapeId="32788" r:id="rId23" name="Check Box 21">
              <controlPr defaultSize="0" autoFill="0" autoLine="0" autoPict="0">
                <anchor moveWithCells="1">
                  <from>
                    <xdr:col>1</xdr:col>
                    <xdr:colOff>152400</xdr:colOff>
                    <xdr:row>26</xdr:row>
                    <xdr:rowOff>9525</xdr:rowOff>
                  </from>
                  <to>
                    <xdr:col>1</xdr:col>
                    <xdr:colOff>333375</xdr:colOff>
                    <xdr:row>27</xdr:row>
                    <xdr:rowOff>9525</xdr:rowOff>
                  </to>
                </anchor>
              </controlPr>
            </control>
          </mc:Choice>
        </mc:AlternateContent>
        <mc:AlternateContent xmlns:mc="http://schemas.openxmlformats.org/markup-compatibility/2006">
          <mc:Choice Requires="x14">
            <control shapeId="32789" r:id="rId24" name="Check Box 21">
              <controlPr defaultSize="0" autoFill="0" autoLine="0" autoPict="0">
                <anchor moveWithCells="1">
                  <from>
                    <xdr:col>1</xdr:col>
                    <xdr:colOff>152400</xdr:colOff>
                    <xdr:row>26</xdr:row>
                    <xdr:rowOff>180975</xdr:rowOff>
                  </from>
                  <to>
                    <xdr:col>1</xdr:col>
                    <xdr:colOff>333375</xdr:colOff>
                    <xdr:row>27</xdr:row>
                    <xdr:rowOff>180975</xdr:rowOff>
                  </to>
                </anchor>
              </controlPr>
            </control>
          </mc:Choice>
        </mc:AlternateContent>
        <mc:AlternateContent xmlns:mc="http://schemas.openxmlformats.org/markup-compatibility/2006">
          <mc:Choice Requires="x14">
            <control shapeId="32790" r:id="rId25" name="Check Box 22">
              <controlPr defaultSize="0" autoFill="0" autoLine="0" autoPict="0">
                <anchor moveWithCells="1">
                  <from>
                    <xdr:col>1</xdr:col>
                    <xdr:colOff>152400</xdr:colOff>
                    <xdr:row>4</xdr:row>
                    <xdr:rowOff>0</xdr:rowOff>
                  </from>
                  <to>
                    <xdr:col>1</xdr:col>
                    <xdr:colOff>333375</xdr:colOff>
                    <xdr:row>5</xdr:row>
                    <xdr:rowOff>0</xdr:rowOff>
                  </to>
                </anchor>
              </controlPr>
            </control>
          </mc:Choice>
        </mc:AlternateContent>
        <mc:AlternateContent xmlns:mc="http://schemas.openxmlformats.org/markup-compatibility/2006">
          <mc:Choice Requires="x14">
            <control shapeId="32792" r:id="rId26" name="Check Box 24">
              <controlPr defaultSize="0" autoFill="0" autoLine="0" autoPict="0">
                <anchor moveWithCells="1">
                  <from>
                    <xdr:col>1</xdr:col>
                    <xdr:colOff>152400</xdr:colOff>
                    <xdr:row>17</xdr:row>
                    <xdr:rowOff>180975</xdr:rowOff>
                  </from>
                  <to>
                    <xdr:col>1</xdr:col>
                    <xdr:colOff>333375</xdr:colOff>
                    <xdr:row>18</xdr:row>
                    <xdr:rowOff>180975</xdr:rowOff>
                  </to>
                </anchor>
              </controlPr>
            </control>
          </mc:Choice>
        </mc:AlternateContent>
        <mc:AlternateContent xmlns:mc="http://schemas.openxmlformats.org/markup-compatibility/2006">
          <mc:Choice Requires="x14">
            <control shapeId="32793" r:id="rId27" name="Check Box 25">
              <controlPr defaultSize="0" autoFill="0" autoLine="0" autoPict="0">
                <anchor moveWithCells="1">
                  <from>
                    <xdr:col>1</xdr:col>
                    <xdr:colOff>152400</xdr:colOff>
                    <xdr:row>9</xdr:row>
                    <xdr:rowOff>152400</xdr:rowOff>
                  </from>
                  <to>
                    <xdr:col>1</xdr:col>
                    <xdr:colOff>333375</xdr:colOff>
                    <xdr:row>10</xdr:row>
                    <xdr:rowOff>152400</xdr:rowOff>
                  </to>
                </anchor>
              </controlPr>
            </control>
          </mc:Choice>
        </mc:AlternateContent>
        <mc:AlternateContent xmlns:mc="http://schemas.openxmlformats.org/markup-compatibility/2006">
          <mc:Choice Requires="x14">
            <control shapeId="32794" r:id="rId28" name="Check Box 26">
              <controlPr defaultSize="0" autoFill="0" autoLine="0" autoPict="0">
                <anchor moveWithCells="1">
                  <from>
                    <xdr:col>1</xdr:col>
                    <xdr:colOff>152400</xdr:colOff>
                    <xdr:row>29</xdr:row>
                    <xdr:rowOff>0</xdr:rowOff>
                  </from>
                  <to>
                    <xdr:col>1</xdr:col>
                    <xdr:colOff>333375</xdr:colOff>
                    <xdr:row>30</xdr:row>
                    <xdr:rowOff>0</xdr:rowOff>
                  </to>
                </anchor>
              </controlPr>
            </control>
          </mc:Choice>
        </mc:AlternateContent>
        <mc:AlternateContent xmlns:mc="http://schemas.openxmlformats.org/markup-compatibility/2006">
          <mc:Choice Requires="x14">
            <control shapeId="32795" r:id="rId29" name="Check Box 27">
              <controlPr defaultSize="0" autoFill="0" autoLine="0" autoPict="0">
                <anchor moveWithCells="1">
                  <from>
                    <xdr:col>1</xdr:col>
                    <xdr:colOff>152400</xdr:colOff>
                    <xdr:row>30</xdr:row>
                    <xdr:rowOff>0</xdr:rowOff>
                  </from>
                  <to>
                    <xdr:col>1</xdr:col>
                    <xdr:colOff>333375</xdr:colOff>
                    <xdr:row>31</xdr:row>
                    <xdr:rowOff>0</xdr:rowOff>
                  </to>
                </anchor>
              </controlPr>
            </control>
          </mc:Choice>
        </mc:AlternateContent>
        <mc:AlternateContent xmlns:mc="http://schemas.openxmlformats.org/markup-compatibility/2006">
          <mc:Choice Requires="x14">
            <control shapeId="32796" r:id="rId30" name="Check Box 28">
              <controlPr defaultSize="0" autoFill="0" autoLine="0" autoPict="0">
                <anchor moveWithCells="1">
                  <from>
                    <xdr:col>1</xdr:col>
                    <xdr:colOff>152400</xdr:colOff>
                    <xdr:row>31</xdr:row>
                    <xdr:rowOff>0</xdr:rowOff>
                  </from>
                  <to>
                    <xdr:col>1</xdr:col>
                    <xdr:colOff>333375</xdr:colOff>
                    <xdr:row>32</xdr:row>
                    <xdr:rowOff>0</xdr:rowOff>
                  </to>
                </anchor>
              </controlPr>
            </control>
          </mc:Choice>
        </mc:AlternateContent>
        <mc:AlternateContent xmlns:mc="http://schemas.openxmlformats.org/markup-compatibility/2006">
          <mc:Choice Requires="x14">
            <control shapeId="32797" r:id="rId31" name="Check Box 29">
              <controlPr defaultSize="0" autoFill="0" autoLine="0" autoPict="0">
                <anchor moveWithCells="1">
                  <from>
                    <xdr:col>1</xdr:col>
                    <xdr:colOff>152400</xdr:colOff>
                    <xdr:row>31</xdr:row>
                    <xdr:rowOff>171450</xdr:rowOff>
                  </from>
                  <to>
                    <xdr:col>1</xdr:col>
                    <xdr:colOff>333375</xdr:colOff>
                    <xdr:row>32</xdr:row>
                    <xdr:rowOff>171450</xdr:rowOff>
                  </to>
                </anchor>
              </controlPr>
            </control>
          </mc:Choice>
        </mc:AlternateContent>
        <mc:AlternateContent xmlns:mc="http://schemas.openxmlformats.org/markup-compatibility/2006">
          <mc:Choice Requires="x14">
            <control shapeId="32798" r:id="rId32" name="Check Box 30">
              <controlPr defaultSize="0" autoFill="0" autoLine="0" autoPict="0">
                <anchor moveWithCells="1">
                  <from>
                    <xdr:col>1</xdr:col>
                    <xdr:colOff>152400</xdr:colOff>
                    <xdr:row>5</xdr:row>
                    <xdr:rowOff>0</xdr:rowOff>
                  </from>
                  <to>
                    <xdr:col>1</xdr:col>
                    <xdr:colOff>333375</xdr:colOff>
                    <xdr:row>6</xdr:row>
                    <xdr:rowOff>0</xdr:rowOff>
                  </to>
                </anchor>
              </controlPr>
            </control>
          </mc:Choice>
        </mc:AlternateContent>
        <mc:AlternateContent xmlns:mc="http://schemas.openxmlformats.org/markup-compatibility/2006">
          <mc:Choice Requires="x14">
            <control shapeId="32878" r:id="rId33" name="Case à cocher 5">
              <controlPr defaultSize="0" autoFill="0" autoLine="0" autoPict="0">
                <anchor moveWithCells="1">
                  <from>
                    <xdr:col>1</xdr:col>
                    <xdr:colOff>152400</xdr:colOff>
                    <xdr:row>8</xdr:row>
                    <xdr:rowOff>180975</xdr:rowOff>
                  </from>
                  <to>
                    <xdr:col>1</xdr:col>
                    <xdr:colOff>333375</xdr:colOff>
                    <xdr:row>9</xdr:row>
                    <xdr:rowOff>180975</xdr:rowOff>
                  </to>
                </anchor>
              </controlPr>
            </control>
          </mc:Choice>
        </mc:AlternateContent>
        <mc:AlternateContent xmlns:mc="http://schemas.openxmlformats.org/markup-compatibility/2006">
          <mc:Choice Requires="x14">
            <control shapeId="32995" r:id="rId34" name="Check Box 13">
              <controlPr defaultSize="0" autoFill="0" autoLine="0" autoPict="0">
                <anchor moveWithCells="1">
                  <from>
                    <xdr:col>1</xdr:col>
                    <xdr:colOff>152400</xdr:colOff>
                    <xdr:row>11</xdr:row>
                    <xdr:rowOff>171450</xdr:rowOff>
                  </from>
                  <to>
                    <xdr:col>1</xdr:col>
                    <xdr:colOff>333375</xdr:colOff>
                    <xdr:row>12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6"/>
  <dimension ref="A3:P48"/>
  <sheetViews>
    <sheetView zoomScale="85" zoomScaleNormal="85" workbookViewId="0">
      <selection activeCell="C26" sqref="C26"/>
    </sheetView>
  </sheetViews>
  <sheetFormatPr defaultColWidth="11.42578125" defaultRowHeight="15" x14ac:dyDescent="0.25"/>
  <cols>
    <col min="1" max="1" width="18.5703125" customWidth="1"/>
    <col min="2" max="2" width="5.85546875" customWidth="1"/>
    <col min="3" max="3" width="11.42578125" style="2"/>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6" x14ac:dyDescent="0.25">
      <c r="C3" s="3" t="s">
        <v>1</v>
      </c>
      <c r="D3" s="3" t="s">
        <v>24</v>
      </c>
      <c r="E3" s="19" t="s">
        <v>16</v>
      </c>
      <c r="F3" s="16" t="s">
        <v>15</v>
      </c>
      <c r="G3" s="21" t="s">
        <v>14</v>
      </c>
      <c r="H3" s="17" t="s">
        <v>0</v>
      </c>
      <c r="I3" s="19" t="s">
        <v>29</v>
      </c>
      <c r="J3" s="16" t="s">
        <v>30</v>
      </c>
      <c r="K3" s="21" t="s">
        <v>14</v>
      </c>
      <c r="L3" s="17" t="s">
        <v>31</v>
      </c>
    </row>
    <row r="4" spans="1:16" x14ac:dyDescent="0.25">
      <c r="A4" s="32" t="s">
        <v>3</v>
      </c>
      <c r="B4" s="32"/>
      <c r="C4" s="33">
        <f>70+40</f>
        <v>110</v>
      </c>
      <c r="E4" s="20">
        <f>12/100</f>
        <v>0.12</v>
      </c>
      <c r="F4" s="6">
        <f>60/100</f>
        <v>0.6</v>
      </c>
      <c r="G4" s="22">
        <f>7.1/100</f>
        <v>7.0999999999999994E-2</v>
      </c>
      <c r="H4" s="18">
        <f>371/100</f>
        <v>3.71</v>
      </c>
      <c r="I4" s="20">
        <f t="shared" ref="I4:K33" si="0">IF($M4=TRUE,E4*$C4,0)</f>
        <v>13.2</v>
      </c>
      <c r="J4" s="6">
        <f t="shared" si="0"/>
        <v>66</v>
      </c>
      <c r="K4" s="22">
        <f t="shared" si="0"/>
        <v>7.81</v>
      </c>
      <c r="L4" s="18">
        <f t="shared" ref="L4:L33" si="1">IF($M4=TRUE, H4*C4,0)</f>
        <v>408.1</v>
      </c>
      <c r="M4" t="b">
        <v>1</v>
      </c>
    </row>
    <row r="5" spans="1:16" x14ac:dyDescent="0.25">
      <c r="A5" s="34" t="s">
        <v>33</v>
      </c>
      <c r="B5" s="32"/>
      <c r="C5" s="40">
        <f>150+50</f>
        <v>200</v>
      </c>
      <c r="E5" s="20">
        <f>11/100</f>
        <v>0.11</v>
      </c>
      <c r="F5" s="6">
        <f>0.7/100</f>
        <v>6.9999999999999993E-3</v>
      </c>
      <c r="G5" s="22">
        <f>0.2/100</f>
        <v>2E-3</v>
      </c>
      <c r="H5" s="18">
        <f>52/100</f>
        <v>0.52</v>
      </c>
      <c r="I5" s="20">
        <f t="shared" ref="I5:K7" si="2">IF($M5=TRUE,E5*$C5,0)</f>
        <v>22</v>
      </c>
      <c r="J5" s="6">
        <f t="shared" si="2"/>
        <v>1.4</v>
      </c>
      <c r="K5" s="22">
        <f t="shared" si="2"/>
        <v>0.4</v>
      </c>
      <c r="L5" s="18">
        <f>IF($M5=TRUE, H5*C5,0)</f>
        <v>104</v>
      </c>
      <c r="M5" t="b">
        <v>1</v>
      </c>
    </row>
    <row r="6" spans="1:16" x14ac:dyDescent="0.25">
      <c r="A6" s="34" t="s">
        <v>67</v>
      </c>
      <c r="B6" s="32"/>
      <c r="C6" s="40">
        <f>35</f>
        <v>35</v>
      </c>
      <c r="E6" s="20">
        <f>2.4/100</f>
        <v>2.4E-2</v>
      </c>
      <c r="F6" s="6">
        <v>0</v>
      </c>
      <c r="G6" s="22">
        <f>27/100</f>
        <v>0.27</v>
      </c>
      <c r="H6" s="18">
        <f>350/100</f>
        <v>3.5</v>
      </c>
      <c r="I6" s="20">
        <f t="shared" si="2"/>
        <v>0.84</v>
      </c>
      <c r="J6" s="6">
        <f t="shared" si="2"/>
        <v>0</v>
      </c>
      <c r="K6" s="22">
        <f t="shared" si="2"/>
        <v>9.4500000000000011</v>
      </c>
      <c r="L6" s="18">
        <f>IF($M6=TRUE, H6*C6,0)</f>
        <v>122.5</v>
      </c>
      <c r="M6" t="b">
        <v>1</v>
      </c>
      <c r="P6">
        <v>1</v>
      </c>
    </row>
    <row r="7" spans="1:16" x14ac:dyDescent="0.25">
      <c r="A7" s="32" t="s">
        <v>18</v>
      </c>
      <c r="B7" s="32"/>
      <c r="C7" s="40">
        <f>270+50</f>
        <v>320</v>
      </c>
      <c r="E7" s="20">
        <f>3.2/100</f>
        <v>3.2000000000000001E-2</v>
      </c>
      <c r="F7" s="6">
        <f>4.8/100</f>
        <v>4.8000000000000001E-2</v>
      </c>
      <c r="G7" s="22">
        <f>1.6/100</f>
        <v>1.6E-2</v>
      </c>
      <c r="H7" s="18">
        <f>46/100</f>
        <v>0.46</v>
      </c>
      <c r="I7" s="20">
        <f t="shared" si="2"/>
        <v>10.24</v>
      </c>
      <c r="J7" s="6">
        <f t="shared" si="2"/>
        <v>15.36</v>
      </c>
      <c r="K7" s="22">
        <f t="shared" si="2"/>
        <v>5.12</v>
      </c>
      <c r="L7" s="18">
        <f>IF($M7=TRUE, H7*C7,0)</f>
        <v>147.20000000000002</v>
      </c>
      <c r="M7" t="b">
        <v>1</v>
      </c>
    </row>
    <row r="8" spans="1:16" x14ac:dyDescent="0.25">
      <c r="A8" s="36" t="s">
        <v>5</v>
      </c>
      <c r="B8" s="36"/>
      <c r="C8" s="37">
        <f>130+270</f>
        <v>400</v>
      </c>
      <c r="E8" s="20">
        <f>20.7/100</f>
        <v>0.20699999999999999</v>
      </c>
      <c r="F8" s="6">
        <f>2.2/100</f>
        <v>2.2000000000000002E-2</v>
      </c>
      <c r="G8" s="22">
        <f>0.9/100</f>
        <v>9.0000000000000011E-3</v>
      </c>
      <c r="H8" s="18">
        <f>94/100</f>
        <v>0.94</v>
      </c>
      <c r="I8" s="20">
        <f t="shared" si="0"/>
        <v>82.8</v>
      </c>
      <c r="J8" s="6">
        <f t="shared" si="0"/>
        <v>8.8000000000000007</v>
      </c>
      <c r="K8" s="22">
        <f t="shared" si="0"/>
        <v>3.6000000000000005</v>
      </c>
      <c r="L8" s="18">
        <f t="shared" si="1"/>
        <v>376</v>
      </c>
      <c r="M8" t="b">
        <v>1</v>
      </c>
    </row>
    <row r="9" spans="1:16" x14ac:dyDescent="0.25">
      <c r="A9" s="36" t="s">
        <v>6</v>
      </c>
      <c r="B9" s="36"/>
      <c r="C9" s="38">
        <f>256/2</f>
        <v>128</v>
      </c>
      <c r="E9" s="20">
        <f>20/100</f>
        <v>0.2</v>
      </c>
      <c r="F9" s="6">
        <f>0.2/100</f>
        <v>2E-3</v>
      </c>
      <c r="G9" s="22">
        <f>5/100</f>
        <v>0.05</v>
      </c>
      <c r="H9" s="18">
        <f>126/100</f>
        <v>1.26</v>
      </c>
      <c r="I9" s="20">
        <f t="shared" si="0"/>
        <v>0</v>
      </c>
      <c r="J9" s="6">
        <f t="shared" si="0"/>
        <v>0</v>
      </c>
      <c r="K9" s="22">
        <f t="shared" si="0"/>
        <v>0</v>
      </c>
      <c r="L9" s="18">
        <f t="shared" si="1"/>
        <v>0</v>
      </c>
      <c r="M9" t="b">
        <v>0</v>
      </c>
    </row>
    <row r="10" spans="1:16" x14ac:dyDescent="0.25">
      <c r="A10" s="36" t="s">
        <v>57</v>
      </c>
      <c r="B10" s="36"/>
      <c r="C10" s="41">
        <v>155</v>
      </c>
      <c r="E10" s="20">
        <f>19/100</f>
        <v>0.19</v>
      </c>
      <c r="F10" s="6">
        <v>0</v>
      </c>
      <c r="G10" s="22">
        <f>12/100</f>
        <v>0.12</v>
      </c>
      <c r="H10" s="18">
        <f>184/100</f>
        <v>1.84</v>
      </c>
      <c r="I10" s="20">
        <f t="shared" ref="I10:K13" si="3">IF($M10=TRUE,E10*$C10,0)</f>
        <v>29.45</v>
      </c>
      <c r="J10" s="6">
        <f t="shared" si="3"/>
        <v>0</v>
      </c>
      <c r="K10" s="22">
        <f t="shared" si="3"/>
        <v>18.599999999999998</v>
      </c>
      <c r="L10" s="18">
        <f>IF($M10=TRUE, H10*C10,0)</f>
        <v>285.2</v>
      </c>
      <c r="M10" t="b">
        <v>1</v>
      </c>
    </row>
    <row r="11" spans="1:16" x14ac:dyDescent="0.25">
      <c r="A11" s="36" t="s">
        <v>59</v>
      </c>
      <c r="B11" s="36"/>
      <c r="C11" s="38">
        <v>360</v>
      </c>
      <c r="E11" s="20">
        <f>20/100</f>
        <v>0.2</v>
      </c>
      <c r="F11" s="6">
        <v>0</v>
      </c>
      <c r="G11" s="22">
        <f>5/100</f>
        <v>0.05</v>
      </c>
      <c r="H11" s="18">
        <f>121/100</f>
        <v>1.21</v>
      </c>
      <c r="I11" s="20">
        <f t="shared" si="3"/>
        <v>0</v>
      </c>
      <c r="J11" s="6">
        <f t="shared" si="3"/>
        <v>0</v>
      </c>
      <c r="K11" s="22">
        <f t="shared" si="3"/>
        <v>0</v>
      </c>
      <c r="L11" s="18">
        <f>IF($M11=TRUE, H11*C11,0)</f>
        <v>0</v>
      </c>
      <c r="M11" t="b">
        <v>0</v>
      </c>
    </row>
    <row r="12" spans="1:16" x14ac:dyDescent="0.25">
      <c r="A12" s="36" t="s">
        <v>13</v>
      </c>
      <c r="B12" s="36"/>
      <c r="C12" s="38">
        <v>1</v>
      </c>
      <c r="E12" s="20">
        <v>20</v>
      </c>
      <c r="F12" s="6">
        <v>1</v>
      </c>
      <c r="G12" s="22">
        <v>1</v>
      </c>
      <c r="H12" s="18">
        <v>93</v>
      </c>
      <c r="I12" s="20">
        <f t="shared" si="3"/>
        <v>20</v>
      </c>
      <c r="J12" s="6">
        <f t="shared" si="3"/>
        <v>1</v>
      </c>
      <c r="K12" s="22">
        <f t="shared" si="3"/>
        <v>1</v>
      </c>
      <c r="L12" s="18">
        <f>IF($M12=TRUE, H12*C12,0)</f>
        <v>93</v>
      </c>
      <c r="M12" t="b">
        <v>1</v>
      </c>
    </row>
    <row r="13" spans="1:16" x14ac:dyDescent="0.25">
      <c r="A13" s="36" t="s">
        <v>80</v>
      </c>
      <c r="B13" s="36"/>
      <c r="C13" s="38">
        <v>126</v>
      </c>
      <c r="E13" s="20">
        <f>24/100</f>
        <v>0.24</v>
      </c>
      <c r="F13" s="6">
        <f>1/100</f>
        <v>0.01</v>
      </c>
      <c r="G13" s="22">
        <f>1/100</f>
        <v>0.01</v>
      </c>
      <c r="H13" s="18">
        <f>105/100</f>
        <v>1.05</v>
      </c>
      <c r="I13" s="20">
        <f t="shared" si="3"/>
        <v>0</v>
      </c>
      <c r="J13" s="6">
        <f t="shared" si="3"/>
        <v>0</v>
      </c>
      <c r="K13" s="22">
        <f t="shared" si="3"/>
        <v>0</v>
      </c>
      <c r="L13" s="18">
        <f>IF($M13=TRUE, H13*C13,0)</f>
        <v>0</v>
      </c>
      <c r="M13" t="b">
        <v>0</v>
      </c>
    </row>
    <row r="14" spans="1:16" x14ac:dyDescent="0.25">
      <c r="A14" t="s">
        <v>7</v>
      </c>
      <c r="C14" s="28">
        <v>50</v>
      </c>
      <c r="E14" s="20">
        <f>12.68/100</f>
        <v>0.1268</v>
      </c>
      <c r="F14" s="6">
        <f>72.83/100</f>
        <v>0.72829999999999995</v>
      </c>
      <c r="G14" s="22">
        <f>1.05/100</f>
        <v>1.0500000000000001E-2</v>
      </c>
      <c r="H14" s="18">
        <f>360/100</f>
        <v>3.6</v>
      </c>
      <c r="I14" s="20">
        <f t="shared" si="0"/>
        <v>0</v>
      </c>
      <c r="J14" s="6">
        <f t="shared" si="0"/>
        <v>0</v>
      </c>
      <c r="K14" s="22">
        <f t="shared" si="0"/>
        <v>0</v>
      </c>
      <c r="L14" s="18">
        <f t="shared" si="1"/>
        <v>0</v>
      </c>
      <c r="M14" t="b">
        <v>0</v>
      </c>
    </row>
    <row r="15" spans="1:16" x14ac:dyDescent="0.25">
      <c r="A15" t="s">
        <v>8</v>
      </c>
      <c r="C15" s="28">
        <v>39</v>
      </c>
      <c r="E15" s="20">
        <f>8.8/100</f>
        <v>8.8000000000000009E-2</v>
      </c>
      <c r="F15" s="6">
        <f>72/100</f>
        <v>0.72</v>
      </c>
      <c r="G15" s="22">
        <f>2.2/100</f>
        <v>2.2000000000000002E-2</v>
      </c>
      <c r="H15" s="18">
        <f>343/100</f>
        <v>3.43</v>
      </c>
      <c r="I15" s="20">
        <f t="shared" si="0"/>
        <v>0</v>
      </c>
      <c r="J15" s="6">
        <f t="shared" si="0"/>
        <v>0</v>
      </c>
      <c r="K15" s="22">
        <f t="shared" si="0"/>
        <v>0</v>
      </c>
      <c r="L15" s="18">
        <f t="shared" si="1"/>
        <v>0</v>
      </c>
      <c r="M15" t="b">
        <v>0</v>
      </c>
    </row>
    <row r="16" spans="1:16" x14ac:dyDescent="0.25">
      <c r="A16" s="35" t="s">
        <v>9</v>
      </c>
      <c r="B16" s="35"/>
      <c r="C16" s="42">
        <f>117</f>
        <v>117</v>
      </c>
      <c r="E16" s="20">
        <f>1.5/100</f>
        <v>1.4999999999999999E-2</v>
      </c>
      <c r="F16" s="6">
        <f>20/100</f>
        <v>0.2</v>
      </c>
      <c r="G16" s="22">
        <v>0</v>
      </c>
      <c r="H16" s="18">
        <f>90/100</f>
        <v>0.9</v>
      </c>
      <c r="I16" s="20">
        <f t="shared" si="0"/>
        <v>1.7549999999999999</v>
      </c>
      <c r="J16" s="6">
        <f t="shared" si="0"/>
        <v>23.400000000000002</v>
      </c>
      <c r="K16" s="22">
        <f t="shared" si="0"/>
        <v>0</v>
      </c>
      <c r="L16" s="18">
        <f t="shared" si="1"/>
        <v>105.3</v>
      </c>
      <c r="M16" t="b">
        <v>1</v>
      </c>
    </row>
    <row r="17" spans="1:13" x14ac:dyDescent="0.25">
      <c r="A17" s="35" t="s">
        <v>10</v>
      </c>
      <c r="B17" s="35"/>
      <c r="C17" s="39">
        <v>69</v>
      </c>
      <c r="E17" s="20">
        <f>1.6/100</f>
        <v>1.6E-2</v>
      </c>
      <c r="F17" s="6">
        <f>11/100</f>
        <v>0.11</v>
      </c>
      <c r="G17" s="22">
        <f>0.3/100</f>
        <v>3.0000000000000001E-3</v>
      </c>
      <c r="H17" s="18">
        <f>53/100</f>
        <v>0.53</v>
      </c>
      <c r="I17" s="20">
        <f t="shared" si="0"/>
        <v>0</v>
      </c>
      <c r="J17" s="6">
        <f t="shared" si="0"/>
        <v>0</v>
      </c>
      <c r="K17" s="22">
        <f t="shared" si="0"/>
        <v>0</v>
      </c>
      <c r="L17" s="18">
        <f t="shared" si="1"/>
        <v>0</v>
      </c>
      <c r="M17" t="b">
        <v>0</v>
      </c>
    </row>
    <row r="18" spans="1:13" x14ac:dyDescent="0.25">
      <c r="A18" s="35" t="s">
        <v>11</v>
      </c>
      <c r="B18" s="35"/>
      <c r="C18" s="42">
        <f>230</f>
        <v>230</v>
      </c>
      <c r="E18" s="20">
        <f>1/100</f>
        <v>0.01</v>
      </c>
      <c r="F18" s="6">
        <f>9/100</f>
        <v>0.09</v>
      </c>
      <c r="G18" s="22">
        <f>0.2/100</f>
        <v>2E-3</v>
      </c>
      <c r="H18" s="18">
        <f>45/100</f>
        <v>0.45</v>
      </c>
      <c r="I18" s="20">
        <f t="shared" si="0"/>
        <v>2.3000000000000003</v>
      </c>
      <c r="J18" s="6">
        <f t="shared" si="0"/>
        <v>20.7</v>
      </c>
      <c r="K18" s="22">
        <f t="shared" si="0"/>
        <v>0.46</v>
      </c>
      <c r="L18" s="18">
        <f t="shared" si="1"/>
        <v>103.5</v>
      </c>
      <c r="M18" t="b">
        <v>1</v>
      </c>
    </row>
    <row r="19" spans="1:13" x14ac:dyDescent="0.25">
      <c r="A19" t="s">
        <v>58</v>
      </c>
      <c r="C19" s="28">
        <v>180</v>
      </c>
      <c r="E19" s="20">
        <f>1.6/100</f>
        <v>1.6E-2</v>
      </c>
      <c r="F19" s="6">
        <f>20/100</f>
        <v>0.2</v>
      </c>
      <c r="G19" s="22">
        <f>0.1/100</f>
        <v>1E-3</v>
      </c>
      <c r="H19" s="18">
        <f>86/100</f>
        <v>0.86</v>
      </c>
      <c r="I19" s="20">
        <f>IF($M19=TRUE,E19*$C19,0)</f>
        <v>0</v>
      </c>
      <c r="J19" s="6">
        <f>IF($M19=TRUE,F19*$C19,0)</f>
        <v>0</v>
      </c>
      <c r="K19" s="22">
        <f>IF($M19=TRUE,G19*$C19,0)</f>
        <v>0</v>
      </c>
      <c r="L19" s="18">
        <f>IF($M19=TRUE, H19*C19,0)</f>
        <v>0</v>
      </c>
      <c r="M19" t="b">
        <v>0</v>
      </c>
    </row>
    <row r="20" spans="1:13" x14ac:dyDescent="0.25">
      <c r="A20" t="s">
        <v>12</v>
      </c>
      <c r="C20" s="28">
        <v>130</v>
      </c>
      <c r="E20" s="20">
        <f>11/100</f>
        <v>0.11</v>
      </c>
      <c r="F20" s="6">
        <f>54/100</f>
        <v>0.54</v>
      </c>
      <c r="G20" s="22">
        <f>3.3/100</f>
        <v>3.3000000000000002E-2</v>
      </c>
      <c r="H20" s="18">
        <f>293/100</f>
        <v>2.93</v>
      </c>
      <c r="I20" s="20">
        <f t="shared" si="0"/>
        <v>0</v>
      </c>
      <c r="J20" s="6">
        <f t="shared" si="0"/>
        <v>0</v>
      </c>
      <c r="K20" s="22">
        <f t="shared" si="0"/>
        <v>0</v>
      </c>
      <c r="L20" s="18">
        <f t="shared" si="1"/>
        <v>0</v>
      </c>
      <c r="M20" t="b">
        <v>0</v>
      </c>
    </row>
    <row r="21" spans="1:13" x14ac:dyDescent="0.25">
      <c r="A21" t="s">
        <v>17</v>
      </c>
      <c r="C21" s="28">
        <v>24</v>
      </c>
      <c r="D21" s="2" t="s">
        <v>23</v>
      </c>
      <c r="E21" s="20">
        <f>3/100</f>
        <v>0.03</v>
      </c>
      <c r="F21" s="6">
        <f>11/100</f>
        <v>0.11</v>
      </c>
      <c r="G21" s="22">
        <f>1.5/100</f>
        <v>1.4999999999999999E-2</v>
      </c>
      <c r="H21" s="18">
        <f>74/100</f>
        <v>0.74</v>
      </c>
      <c r="I21" s="20">
        <f t="shared" si="0"/>
        <v>0</v>
      </c>
      <c r="J21" s="6">
        <f t="shared" si="0"/>
        <v>0</v>
      </c>
      <c r="K21" s="22">
        <f t="shared" si="0"/>
        <v>0</v>
      </c>
      <c r="L21" s="18">
        <f t="shared" si="1"/>
        <v>0</v>
      </c>
      <c r="M21" t="b">
        <v>0</v>
      </c>
    </row>
    <row r="22" spans="1:13" x14ac:dyDescent="0.25">
      <c r="A22" t="s">
        <v>19</v>
      </c>
      <c r="C22" s="28">
        <v>137</v>
      </c>
      <c r="D22" s="2" t="s">
        <v>25</v>
      </c>
      <c r="E22" s="20">
        <f>2/100</f>
        <v>0.02</v>
      </c>
      <c r="F22" s="6">
        <f>17/100</f>
        <v>0.17</v>
      </c>
      <c r="G22" s="22">
        <f>0.1/100</f>
        <v>1E-3</v>
      </c>
      <c r="H22" s="18">
        <f>77/100</f>
        <v>0.77</v>
      </c>
      <c r="I22" s="20">
        <f t="shared" si="0"/>
        <v>0</v>
      </c>
      <c r="J22" s="6">
        <f t="shared" si="0"/>
        <v>0</v>
      </c>
      <c r="K22" s="22">
        <f t="shared" si="0"/>
        <v>0</v>
      </c>
      <c r="L22" s="18">
        <f t="shared" si="1"/>
        <v>0</v>
      </c>
      <c r="M22" t="b">
        <v>0</v>
      </c>
    </row>
    <row r="23" spans="1:13" x14ac:dyDescent="0.25">
      <c r="A23" t="s">
        <v>20</v>
      </c>
      <c r="C23" s="28">
        <f>110</f>
        <v>110</v>
      </c>
      <c r="E23" s="20">
        <f>25/100</f>
        <v>0.25</v>
      </c>
      <c r="F23" s="6">
        <v>0</v>
      </c>
      <c r="G23" s="22">
        <f>1/100</f>
        <v>0.01</v>
      </c>
      <c r="H23" s="18">
        <f>109/100</f>
        <v>1.0900000000000001</v>
      </c>
      <c r="I23" s="20">
        <f t="shared" si="0"/>
        <v>0</v>
      </c>
      <c r="J23" s="6">
        <f t="shared" si="0"/>
        <v>0</v>
      </c>
      <c r="K23" s="22">
        <f t="shared" si="0"/>
        <v>0</v>
      </c>
      <c r="L23" s="18">
        <f t="shared" si="1"/>
        <v>0</v>
      </c>
      <c r="M23" t="b">
        <v>0</v>
      </c>
    </row>
    <row r="24" spans="1:13" x14ac:dyDescent="0.25">
      <c r="A24" s="35" t="s">
        <v>21</v>
      </c>
      <c r="B24" s="35"/>
      <c r="C24" s="39">
        <v>130</v>
      </c>
      <c r="D24" s="2" t="s">
        <v>22</v>
      </c>
      <c r="E24" s="20">
        <f>2.3/100</f>
        <v>2.3E-2</v>
      </c>
      <c r="F24" s="6">
        <f>7.2/100</f>
        <v>7.2000000000000008E-2</v>
      </c>
      <c r="G24" s="22">
        <f>0.5/100</f>
        <v>5.0000000000000001E-3</v>
      </c>
      <c r="H24" s="18">
        <f>44/100</f>
        <v>0.44</v>
      </c>
      <c r="I24" s="20">
        <f t="shared" si="0"/>
        <v>0</v>
      </c>
      <c r="J24" s="6">
        <f t="shared" si="0"/>
        <v>0</v>
      </c>
      <c r="K24" s="22">
        <f t="shared" si="0"/>
        <v>0</v>
      </c>
      <c r="L24" s="18">
        <f t="shared" si="1"/>
        <v>0</v>
      </c>
      <c r="M24" t="b">
        <v>0</v>
      </c>
    </row>
    <row r="25" spans="1:13" x14ac:dyDescent="0.25">
      <c r="A25" t="s">
        <v>26</v>
      </c>
      <c r="C25" s="28"/>
      <c r="E25" s="20">
        <v>0</v>
      </c>
      <c r="F25" s="6">
        <v>0</v>
      </c>
      <c r="G25" s="22">
        <v>0</v>
      </c>
      <c r="H25" s="18">
        <f>275/100</f>
        <v>2.75</v>
      </c>
      <c r="I25" s="20">
        <f t="shared" si="0"/>
        <v>0</v>
      </c>
      <c r="J25" s="6">
        <f t="shared" si="0"/>
        <v>0</v>
      </c>
      <c r="K25" s="22">
        <f t="shared" si="0"/>
        <v>0</v>
      </c>
      <c r="L25" s="18">
        <f t="shared" si="1"/>
        <v>0</v>
      </c>
      <c r="M25" t="b">
        <v>0</v>
      </c>
    </row>
    <row r="26" spans="1:13" x14ac:dyDescent="0.25">
      <c r="A26" t="s">
        <v>32</v>
      </c>
      <c r="C26" s="28">
        <v>20</v>
      </c>
      <c r="E26" s="20">
        <f>22/100</f>
        <v>0.22</v>
      </c>
      <c r="F26" s="6">
        <f>6.9/100</f>
        <v>6.9000000000000006E-2</v>
      </c>
      <c r="G26" s="22">
        <f>54/100</f>
        <v>0.54</v>
      </c>
      <c r="H26" s="18">
        <f>620/100</f>
        <v>6.2</v>
      </c>
      <c r="I26" s="20">
        <f t="shared" si="0"/>
        <v>0</v>
      </c>
      <c r="J26" s="6">
        <f t="shared" si="0"/>
        <v>0</v>
      </c>
      <c r="K26" s="22">
        <f t="shared" si="0"/>
        <v>0</v>
      </c>
      <c r="L26" s="18">
        <f t="shared" si="1"/>
        <v>0</v>
      </c>
      <c r="M26" t="b">
        <v>0</v>
      </c>
    </row>
    <row r="27" spans="1:13" x14ac:dyDescent="0.25">
      <c r="A27" t="s">
        <v>33</v>
      </c>
      <c r="C27" s="28">
        <v>143</v>
      </c>
      <c r="E27" s="20">
        <v>3.6</v>
      </c>
      <c r="F27" s="6">
        <v>0.2</v>
      </c>
      <c r="G27" s="22">
        <v>0.1</v>
      </c>
      <c r="H27" s="18">
        <f>17</f>
        <v>17</v>
      </c>
      <c r="I27" s="20">
        <f t="shared" si="0"/>
        <v>0</v>
      </c>
      <c r="J27" s="6">
        <f t="shared" si="0"/>
        <v>0</v>
      </c>
      <c r="K27" s="22">
        <f t="shared" si="0"/>
        <v>0</v>
      </c>
      <c r="L27" s="18">
        <f t="shared" si="1"/>
        <v>0</v>
      </c>
      <c r="M27" t="b">
        <v>0</v>
      </c>
    </row>
    <row r="28" spans="1:13" x14ac:dyDescent="0.25">
      <c r="A28" t="s">
        <v>34</v>
      </c>
      <c r="C28" s="28">
        <v>50</v>
      </c>
      <c r="E28" s="20">
        <f>7.4/100</f>
        <v>7.400000000000001E-2</v>
      </c>
      <c r="F28" s="6">
        <f>78.7/100</f>
        <v>0.78700000000000003</v>
      </c>
      <c r="G28" s="22">
        <f>0.7/100</f>
        <v>6.9999999999999993E-3</v>
      </c>
      <c r="H28" s="18">
        <f>351/100</f>
        <v>3.51</v>
      </c>
      <c r="I28" s="20">
        <f t="shared" si="0"/>
        <v>0</v>
      </c>
      <c r="J28" s="6">
        <f t="shared" si="0"/>
        <v>0</v>
      </c>
      <c r="K28" s="22">
        <f t="shared" si="0"/>
        <v>0</v>
      </c>
      <c r="L28" s="18">
        <f t="shared" si="1"/>
        <v>0</v>
      </c>
      <c r="M28" t="b">
        <v>0</v>
      </c>
    </row>
    <row r="29" spans="1:13" x14ac:dyDescent="0.25">
      <c r="A29" t="s">
        <v>55</v>
      </c>
      <c r="C29" s="28"/>
      <c r="E29" s="20">
        <f>19/100</f>
        <v>0.19</v>
      </c>
      <c r="F29" s="6">
        <f>61/100</f>
        <v>0.61</v>
      </c>
      <c r="G29" s="22">
        <f>6/100</f>
        <v>0.06</v>
      </c>
      <c r="H29" s="18">
        <f>364/100</f>
        <v>3.64</v>
      </c>
      <c r="I29" s="20">
        <f t="shared" si="0"/>
        <v>0</v>
      </c>
      <c r="J29" s="6">
        <f t="shared" si="0"/>
        <v>0</v>
      </c>
      <c r="K29" s="22">
        <f t="shared" si="0"/>
        <v>0</v>
      </c>
      <c r="L29" s="18">
        <f t="shared" si="1"/>
        <v>0</v>
      </c>
      <c r="M29" t="b">
        <v>0</v>
      </c>
    </row>
    <row r="30" spans="1:13" x14ac:dyDescent="0.25">
      <c r="A30" t="s">
        <v>60</v>
      </c>
      <c r="C30" s="28">
        <v>66</v>
      </c>
      <c r="E30" s="20">
        <f>7.5/100</f>
        <v>7.4999999999999997E-2</v>
      </c>
      <c r="F30" s="6">
        <f>78/100</f>
        <v>0.78</v>
      </c>
      <c r="G30" s="22">
        <f>0.6/100</f>
        <v>6.0000000000000001E-3</v>
      </c>
      <c r="H30" s="18">
        <f>347/100</f>
        <v>3.47</v>
      </c>
      <c r="I30" s="20">
        <f t="shared" si="0"/>
        <v>0</v>
      </c>
      <c r="J30" s="6">
        <f t="shared" si="0"/>
        <v>0</v>
      </c>
      <c r="K30" s="22">
        <f t="shared" si="0"/>
        <v>0</v>
      </c>
      <c r="L30" s="18">
        <f t="shared" si="1"/>
        <v>0</v>
      </c>
      <c r="M30" t="b">
        <v>0</v>
      </c>
    </row>
    <row r="31" spans="1:13" x14ac:dyDescent="0.25">
      <c r="A31" t="s">
        <v>63</v>
      </c>
      <c r="C31" s="28">
        <v>39</v>
      </c>
      <c r="E31" s="20">
        <f>1.4/100</f>
        <v>1.3999999999999999E-2</v>
      </c>
      <c r="F31" s="6">
        <f>9/100</f>
        <v>0.09</v>
      </c>
      <c r="G31" s="22">
        <f>0.2/100</f>
        <v>2E-3</v>
      </c>
      <c r="H31" s="18">
        <f>43/100</f>
        <v>0.43</v>
      </c>
      <c r="I31" s="20">
        <f t="shared" si="0"/>
        <v>0</v>
      </c>
      <c r="J31" s="6">
        <f t="shared" si="0"/>
        <v>0</v>
      </c>
      <c r="K31" s="22">
        <f t="shared" si="0"/>
        <v>0</v>
      </c>
      <c r="L31" s="18">
        <f t="shared" si="1"/>
        <v>0</v>
      </c>
      <c r="M31" t="b">
        <v>0</v>
      </c>
    </row>
    <row r="32" spans="1:13" x14ac:dyDescent="0.25">
      <c r="A32" t="s">
        <v>64</v>
      </c>
      <c r="C32" s="28">
        <v>10</v>
      </c>
      <c r="E32" s="20">
        <f>4.1/100</f>
        <v>4.0999999999999995E-2</v>
      </c>
      <c r="F32" s="6">
        <f>6.6/100</f>
        <v>6.6000000000000003E-2</v>
      </c>
      <c r="G32" s="22">
        <f>5/100</f>
        <v>0.05</v>
      </c>
      <c r="H32" s="18">
        <f>84/100</f>
        <v>0.84</v>
      </c>
      <c r="I32" s="20">
        <f t="shared" si="0"/>
        <v>0</v>
      </c>
      <c r="J32" s="6">
        <f t="shared" si="0"/>
        <v>0</v>
      </c>
      <c r="K32" s="22">
        <f t="shared" si="0"/>
        <v>0</v>
      </c>
      <c r="L32" s="18">
        <f t="shared" si="1"/>
        <v>0</v>
      </c>
      <c r="M32" t="b">
        <v>0</v>
      </c>
    </row>
    <row r="33" spans="1:16" x14ac:dyDescent="0.25">
      <c r="A33" t="s">
        <v>66</v>
      </c>
      <c r="C33" s="28">
        <v>70</v>
      </c>
      <c r="E33" s="20">
        <f>14.1/100</f>
        <v>0.14099999999999999</v>
      </c>
      <c r="F33" s="6">
        <f>68.9/100</f>
        <v>0.68900000000000006</v>
      </c>
      <c r="G33" s="22">
        <f>5.8/100</f>
        <v>5.7999999999999996E-2</v>
      </c>
      <c r="H33" s="18">
        <f>380/100</f>
        <v>3.8</v>
      </c>
      <c r="I33" s="20">
        <f t="shared" si="0"/>
        <v>0</v>
      </c>
      <c r="J33" s="6">
        <f t="shared" si="0"/>
        <v>0</v>
      </c>
      <c r="K33" s="22">
        <f t="shared" si="0"/>
        <v>0</v>
      </c>
      <c r="L33" s="18">
        <f t="shared" si="1"/>
        <v>0</v>
      </c>
      <c r="M33" t="b">
        <v>0</v>
      </c>
    </row>
    <row r="34" spans="1:16" x14ac:dyDescent="0.25">
      <c r="A34" t="s">
        <v>79</v>
      </c>
      <c r="E34" s="20"/>
      <c r="F34" s="6"/>
      <c r="G34" s="22"/>
      <c r="H34" s="18"/>
      <c r="I34" s="20">
        <f t="shared" ref="I34:K35" si="4">IF($M34=TRUE,E34*$C34,0)</f>
        <v>0</v>
      </c>
      <c r="J34" s="6">
        <f t="shared" si="4"/>
        <v>0</v>
      </c>
      <c r="K34" s="22">
        <f t="shared" si="4"/>
        <v>0</v>
      </c>
      <c r="L34" s="18">
        <f>IF($M34=TRUE, H34*C34,0)</f>
        <v>0</v>
      </c>
      <c r="M34" t="b">
        <v>0</v>
      </c>
      <c r="P34">
        <v>2.2046199999999998</v>
      </c>
    </row>
    <row r="35" spans="1:16" x14ac:dyDescent="0.25">
      <c r="A35" t="s">
        <v>81</v>
      </c>
      <c r="C35" s="2">
        <v>86</v>
      </c>
      <c r="E35" s="20">
        <f>1.4/100</f>
        <v>1.3999999999999999E-2</v>
      </c>
      <c r="F35" s="6">
        <f>7/100</f>
        <v>7.0000000000000007E-2</v>
      </c>
      <c r="G35" s="22">
        <f>0.2/100</f>
        <v>2E-3</v>
      </c>
      <c r="H35" s="18"/>
      <c r="I35" s="20">
        <f t="shared" si="4"/>
        <v>1.204</v>
      </c>
      <c r="J35" s="6">
        <f t="shared" si="4"/>
        <v>6.0200000000000005</v>
      </c>
      <c r="K35" s="22">
        <f t="shared" si="4"/>
        <v>0.17200000000000001</v>
      </c>
      <c r="L35" s="18">
        <f>IF($M35=TRUE, H35*C35,0)</f>
        <v>0</v>
      </c>
      <c r="M35" t="b">
        <v>1</v>
      </c>
    </row>
    <row r="36" spans="1:16" x14ac:dyDescent="0.25">
      <c r="N36" s="2" t="s">
        <v>68</v>
      </c>
    </row>
    <row r="37" spans="1:16" x14ac:dyDescent="0.25">
      <c r="H37" t="s">
        <v>73</v>
      </c>
      <c r="I37" s="46">
        <f>SUM(I4:I36)</f>
        <v>183.78900000000002</v>
      </c>
      <c r="J37" s="47">
        <f>SUM(J4:J36)</f>
        <v>142.68</v>
      </c>
      <c r="K37" s="48">
        <f>SUM(K4:K36)</f>
        <v>46.612000000000002</v>
      </c>
      <c r="L37" t="s">
        <v>65</v>
      </c>
      <c r="N37" s="2">
        <v>67</v>
      </c>
    </row>
    <row r="38" spans="1:16" x14ac:dyDescent="0.25">
      <c r="I38" s="49">
        <f>I37-I40</f>
        <v>-0.84792499999997517</v>
      </c>
      <c r="J38" s="49">
        <f>J37-J40</f>
        <v>-5.0295399999999688</v>
      </c>
      <c r="K38" s="49">
        <f>K37-K40</f>
        <v>6.7304242000000016</v>
      </c>
    </row>
    <row r="39" spans="1:16" x14ac:dyDescent="0.25">
      <c r="L39" s="4">
        <f>SUM(L4:L33)</f>
        <v>1744.8000000000002</v>
      </c>
    </row>
    <row r="40" spans="1:16" x14ac:dyDescent="0.25">
      <c r="H40" t="s">
        <v>70</v>
      </c>
      <c r="I40" s="43">
        <f>1.25 * $P$34 * $N$37</f>
        <v>184.63692499999999</v>
      </c>
      <c r="J40" s="44">
        <f>1 * $P$34 * $N$37</f>
        <v>147.70953999999998</v>
      </c>
      <c r="K40" s="45">
        <f>0.27 * $P$34 * $N$37</f>
        <v>39.8815758</v>
      </c>
      <c r="L40">
        <f>11.43*P34* N37</f>
        <v>1688.3200421999998</v>
      </c>
    </row>
    <row r="41" spans="1:16" x14ac:dyDescent="0.25">
      <c r="H41" t="s">
        <v>71</v>
      </c>
      <c r="I41" s="43">
        <f>1.15 * $P$34 * $N$37</f>
        <v>169.86597099999997</v>
      </c>
      <c r="J41" s="44">
        <f>1.25 * $P$34 * $N$37</f>
        <v>184.63692499999999</v>
      </c>
      <c r="K41" s="45">
        <f>0.35 * $P$34 * $N$37</f>
        <v>51.69833899999999</v>
      </c>
      <c r="L41">
        <f>11.43*P34* N37</f>
        <v>1688.3200421999998</v>
      </c>
    </row>
    <row r="42" spans="1:16" x14ac:dyDescent="0.25">
      <c r="H42" t="s">
        <v>72</v>
      </c>
      <c r="I42" s="43">
        <f>1.1 * $P$34 * $N$37</f>
        <v>162.48049400000002</v>
      </c>
      <c r="J42" s="44">
        <f>2 * $P$34 * $N$37</f>
        <v>295.41907999999995</v>
      </c>
      <c r="K42" s="45">
        <f>0.5* $P$34 * $N$37</f>
        <v>73.854769999999988</v>
      </c>
      <c r="L42">
        <f>11.43*P34* N37</f>
        <v>1688.3200421999998</v>
      </c>
    </row>
    <row r="43" spans="1:16" x14ac:dyDescent="0.25">
      <c r="A43" t="s">
        <v>77</v>
      </c>
      <c r="B43" t="s">
        <v>78</v>
      </c>
    </row>
    <row r="44" spans="1:16" x14ac:dyDescent="0.25">
      <c r="A44" t="s">
        <v>75</v>
      </c>
    </row>
    <row r="45" spans="1:16" x14ac:dyDescent="0.25">
      <c r="A45" t="s">
        <v>74</v>
      </c>
    </row>
    <row r="46" spans="1:16" x14ac:dyDescent="0.25">
      <c r="A46">
        <f>0.25*J40</f>
        <v>36.927384999999994</v>
      </c>
    </row>
    <row r="47" spans="1:16" x14ac:dyDescent="0.25">
      <c r="A47">
        <f>0.35*J40</f>
        <v>51.69833899999999</v>
      </c>
    </row>
    <row r="48" spans="1:16" x14ac:dyDescent="0.25">
      <c r="A48" t="s">
        <v>76</v>
      </c>
    </row>
  </sheetData>
  <conditionalFormatting sqref="I38">
    <cfRule type="colorScale" priority="3">
      <colorScale>
        <cfvo type="formula" val="-$I$40"/>
        <cfvo type="num" val="0"/>
        <cfvo type="num" val="20"/>
        <color rgb="FFFF8B8B"/>
        <color rgb="FF00B050"/>
        <color rgb="FFFF8B8B"/>
      </colorScale>
    </cfRule>
  </conditionalFormatting>
  <conditionalFormatting sqref="J38">
    <cfRule type="colorScale" priority="2">
      <colorScale>
        <cfvo type="formula" val="-$J$40"/>
        <cfvo type="percentile" val="0"/>
        <cfvo type="num" val="20"/>
        <color rgb="FFFF8B8B"/>
        <color rgb="FF00B050"/>
        <color rgb="FFFF8B8B"/>
      </colorScale>
    </cfRule>
  </conditionalFormatting>
  <conditionalFormatting sqref="K38">
    <cfRule type="colorScale" priority="1">
      <colorScale>
        <cfvo type="formula" val="-$K$40"/>
        <cfvo type="percentile" val="0"/>
        <cfvo type="num" val="20"/>
        <color rgb="FFFF8B8B"/>
        <color rgb="FF00B050"/>
        <color rgb="FFFF8B8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Case à cocher 1">
              <controlPr defaultSize="0" autoFill="0" autoLine="0" autoPict="0">
                <anchor moveWithCells="1">
                  <from>
                    <xdr:col>1</xdr:col>
                    <xdr:colOff>161925</xdr:colOff>
                    <xdr:row>3</xdr:row>
                    <xdr:rowOff>0</xdr:rowOff>
                  </from>
                  <to>
                    <xdr:col>1</xdr:col>
                    <xdr:colOff>342900</xdr:colOff>
                    <xdr:row>4</xdr:row>
                    <xdr:rowOff>0</xdr:rowOff>
                  </to>
                </anchor>
              </controlPr>
            </control>
          </mc:Choice>
        </mc:AlternateContent>
        <mc:AlternateContent xmlns:mc="http://schemas.openxmlformats.org/markup-compatibility/2006">
          <mc:Choice Requires="x14">
            <control shapeId="34818" r:id="rId5" name="Case à cocher 2">
              <controlPr defaultSize="0" autoFill="0" autoLine="0" autoPict="0">
                <anchor moveWithCells="1">
                  <from>
                    <xdr:col>1</xdr:col>
                    <xdr:colOff>152400</xdr:colOff>
                    <xdr:row>3</xdr:row>
                    <xdr:rowOff>9525</xdr:rowOff>
                  </from>
                  <to>
                    <xdr:col>1</xdr:col>
                    <xdr:colOff>333375</xdr:colOff>
                    <xdr:row>4</xdr:row>
                    <xdr:rowOff>9525</xdr:rowOff>
                  </to>
                </anchor>
              </controlPr>
            </control>
          </mc:Choice>
        </mc:AlternateContent>
        <mc:AlternateContent xmlns:mc="http://schemas.openxmlformats.org/markup-compatibility/2006">
          <mc:Choice Requires="x14">
            <control shapeId="34819" r:id="rId6" name="Case à cocher 4">
              <controlPr defaultSize="0" autoFill="0" autoLine="0" autoPict="0">
                <anchor moveWithCells="1">
                  <from>
                    <xdr:col>1</xdr:col>
                    <xdr:colOff>152400</xdr:colOff>
                    <xdr:row>7</xdr:row>
                    <xdr:rowOff>0</xdr:rowOff>
                  </from>
                  <to>
                    <xdr:col>1</xdr:col>
                    <xdr:colOff>333375</xdr:colOff>
                    <xdr:row>8</xdr:row>
                    <xdr:rowOff>0</xdr:rowOff>
                  </to>
                </anchor>
              </controlPr>
            </control>
          </mc:Choice>
        </mc:AlternateContent>
        <mc:AlternateContent xmlns:mc="http://schemas.openxmlformats.org/markup-compatibility/2006">
          <mc:Choice Requires="x14">
            <control shapeId="34820" r:id="rId7" name="Case à cocher 5">
              <controlPr defaultSize="0" autoFill="0" autoLine="0" autoPict="0">
                <anchor moveWithCells="1">
                  <from>
                    <xdr:col>1</xdr:col>
                    <xdr:colOff>152400</xdr:colOff>
                    <xdr:row>8</xdr:row>
                    <xdr:rowOff>9525</xdr:rowOff>
                  </from>
                  <to>
                    <xdr:col>1</xdr:col>
                    <xdr:colOff>333375</xdr:colOff>
                    <xdr:row>9</xdr:row>
                    <xdr:rowOff>9525</xdr:rowOff>
                  </to>
                </anchor>
              </controlPr>
            </control>
          </mc:Choice>
        </mc:AlternateContent>
        <mc:AlternateContent xmlns:mc="http://schemas.openxmlformats.org/markup-compatibility/2006">
          <mc:Choice Requires="x14">
            <control shapeId="34821" r:id="rId8" name="Case à cocher 6">
              <controlPr defaultSize="0" autoFill="0" autoLine="0" autoPict="0">
                <anchor moveWithCells="1">
                  <from>
                    <xdr:col>1</xdr:col>
                    <xdr:colOff>152400</xdr:colOff>
                    <xdr:row>27</xdr:row>
                    <xdr:rowOff>190500</xdr:rowOff>
                  </from>
                  <to>
                    <xdr:col>1</xdr:col>
                    <xdr:colOff>333375</xdr:colOff>
                    <xdr:row>28</xdr:row>
                    <xdr:rowOff>190500</xdr:rowOff>
                  </to>
                </anchor>
              </controlPr>
            </control>
          </mc:Choice>
        </mc:AlternateContent>
        <mc:AlternateContent xmlns:mc="http://schemas.openxmlformats.org/markup-compatibility/2006">
          <mc:Choice Requires="x14">
            <control shapeId="34822" r:id="rId9" name="Case à cocher 7">
              <controlPr defaultSize="0" autoFill="0" autoLine="0" autoPict="0">
                <anchor moveWithCells="1">
                  <from>
                    <xdr:col>1</xdr:col>
                    <xdr:colOff>152400</xdr:colOff>
                    <xdr:row>13</xdr:row>
                    <xdr:rowOff>19050</xdr:rowOff>
                  </from>
                  <to>
                    <xdr:col>1</xdr:col>
                    <xdr:colOff>333375</xdr:colOff>
                    <xdr:row>14</xdr:row>
                    <xdr:rowOff>19050</xdr:rowOff>
                  </to>
                </anchor>
              </controlPr>
            </control>
          </mc:Choice>
        </mc:AlternateContent>
        <mc:AlternateContent xmlns:mc="http://schemas.openxmlformats.org/markup-compatibility/2006">
          <mc:Choice Requires="x14">
            <control shapeId="34823" r:id="rId10" name="Case à cocher 8">
              <controlPr defaultSize="0" autoFill="0" autoLine="0" autoPict="0">
                <anchor moveWithCells="1">
                  <from>
                    <xdr:col>1</xdr:col>
                    <xdr:colOff>152400</xdr:colOff>
                    <xdr:row>14</xdr:row>
                    <xdr:rowOff>9525</xdr:rowOff>
                  </from>
                  <to>
                    <xdr:col>1</xdr:col>
                    <xdr:colOff>333375</xdr:colOff>
                    <xdr:row>15</xdr:row>
                    <xdr:rowOff>9525</xdr:rowOff>
                  </to>
                </anchor>
              </controlPr>
            </control>
          </mc:Choice>
        </mc:AlternateContent>
        <mc:AlternateContent xmlns:mc="http://schemas.openxmlformats.org/markup-compatibility/2006">
          <mc:Choice Requires="x14">
            <control shapeId="34824" r:id="rId11" name="Case à cocher 9">
              <controlPr defaultSize="0" autoFill="0" autoLine="0" autoPict="0">
                <anchor moveWithCells="1">
                  <from>
                    <xdr:col>1</xdr:col>
                    <xdr:colOff>152400</xdr:colOff>
                    <xdr:row>15</xdr:row>
                    <xdr:rowOff>9525</xdr:rowOff>
                  </from>
                  <to>
                    <xdr:col>1</xdr:col>
                    <xdr:colOff>333375</xdr:colOff>
                    <xdr:row>16</xdr:row>
                    <xdr:rowOff>9525</xdr:rowOff>
                  </to>
                </anchor>
              </controlPr>
            </control>
          </mc:Choice>
        </mc:AlternateContent>
        <mc:AlternateContent xmlns:mc="http://schemas.openxmlformats.org/markup-compatibility/2006">
          <mc:Choice Requires="x14">
            <control shapeId="34825" r:id="rId12" name="Case à cocher 10">
              <controlPr defaultSize="0" autoFill="0" autoLine="0" autoPict="0">
                <anchor moveWithCells="1">
                  <from>
                    <xdr:col>1</xdr:col>
                    <xdr:colOff>152400</xdr:colOff>
                    <xdr:row>15</xdr:row>
                    <xdr:rowOff>171450</xdr:rowOff>
                  </from>
                  <to>
                    <xdr:col>1</xdr:col>
                    <xdr:colOff>333375</xdr:colOff>
                    <xdr:row>16</xdr:row>
                    <xdr:rowOff>171450</xdr:rowOff>
                  </to>
                </anchor>
              </controlPr>
            </control>
          </mc:Choice>
        </mc:AlternateContent>
        <mc:AlternateContent xmlns:mc="http://schemas.openxmlformats.org/markup-compatibility/2006">
          <mc:Choice Requires="x14">
            <control shapeId="34826" r:id="rId13" name="Case à cocher 11">
              <controlPr defaultSize="0" autoFill="0" autoLine="0" autoPict="0">
                <anchor moveWithCells="1">
                  <from>
                    <xdr:col>1</xdr:col>
                    <xdr:colOff>152400</xdr:colOff>
                    <xdr:row>16</xdr:row>
                    <xdr:rowOff>171450</xdr:rowOff>
                  </from>
                  <to>
                    <xdr:col>1</xdr:col>
                    <xdr:colOff>333375</xdr:colOff>
                    <xdr:row>17</xdr:row>
                    <xdr:rowOff>171450</xdr:rowOff>
                  </to>
                </anchor>
              </controlPr>
            </control>
          </mc:Choice>
        </mc:AlternateContent>
        <mc:AlternateContent xmlns:mc="http://schemas.openxmlformats.org/markup-compatibility/2006">
          <mc:Choice Requires="x14">
            <control shapeId="34827" r:id="rId14" name="Check Box 11">
              <controlPr defaultSize="0" autoFill="0" autoLine="0" autoPict="0">
                <anchor moveWithCells="1">
                  <from>
                    <xdr:col>1</xdr:col>
                    <xdr:colOff>152400</xdr:colOff>
                    <xdr:row>18</xdr:row>
                    <xdr:rowOff>180975</xdr:rowOff>
                  </from>
                  <to>
                    <xdr:col>1</xdr:col>
                    <xdr:colOff>333375</xdr:colOff>
                    <xdr:row>19</xdr:row>
                    <xdr:rowOff>180975</xdr:rowOff>
                  </to>
                </anchor>
              </controlPr>
            </control>
          </mc:Choice>
        </mc:AlternateContent>
        <mc:AlternateContent xmlns:mc="http://schemas.openxmlformats.org/markup-compatibility/2006">
          <mc:Choice Requires="x14">
            <control shapeId="34828" r:id="rId15" name="Check Box 13">
              <controlPr defaultSize="0" autoFill="0" autoLine="0" autoPict="0">
                <anchor moveWithCells="1">
                  <from>
                    <xdr:col>1</xdr:col>
                    <xdr:colOff>152400</xdr:colOff>
                    <xdr:row>10</xdr:row>
                    <xdr:rowOff>180975</xdr:rowOff>
                  </from>
                  <to>
                    <xdr:col>1</xdr:col>
                    <xdr:colOff>333375</xdr:colOff>
                    <xdr:row>12</xdr:row>
                    <xdr:rowOff>0</xdr:rowOff>
                  </to>
                </anchor>
              </controlPr>
            </control>
          </mc:Choice>
        </mc:AlternateContent>
        <mc:AlternateContent xmlns:mc="http://schemas.openxmlformats.org/markup-compatibility/2006">
          <mc:Choice Requires="x14">
            <control shapeId="34829" r:id="rId16" name="Check Box 14">
              <controlPr defaultSize="0" autoFill="0" autoLine="0" autoPict="0">
                <anchor moveWithCells="1">
                  <from>
                    <xdr:col>1</xdr:col>
                    <xdr:colOff>152400</xdr:colOff>
                    <xdr:row>19</xdr:row>
                    <xdr:rowOff>180975</xdr:rowOff>
                  </from>
                  <to>
                    <xdr:col>1</xdr:col>
                    <xdr:colOff>333375</xdr:colOff>
                    <xdr:row>21</xdr:row>
                    <xdr:rowOff>0</xdr:rowOff>
                  </to>
                </anchor>
              </controlPr>
            </control>
          </mc:Choice>
        </mc:AlternateContent>
        <mc:AlternateContent xmlns:mc="http://schemas.openxmlformats.org/markup-compatibility/2006">
          <mc:Choice Requires="x14">
            <control shapeId="34830" r:id="rId17" name="Check Box 15">
              <controlPr defaultSize="0" autoFill="0" autoLine="0" autoPict="0">
                <anchor moveWithCells="1">
                  <from>
                    <xdr:col>1</xdr:col>
                    <xdr:colOff>152400</xdr:colOff>
                    <xdr:row>6</xdr:row>
                    <xdr:rowOff>0</xdr:rowOff>
                  </from>
                  <to>
                    <xdr:col>1</xdr:col>
                    <xdr:colOff>333375</xdr:colOff>
                    <xdr:row>7</xdr:row>
                    <xdr:rowOff>0</xdr:rowOff>
                  </to>
                </anchor>
              </controlPr>
            </control>
          </mc:Choice>
        </mc:AlternateContent>
        <mc:AlternateContent xmlns:mc="http://schemas.openxmlformats.org/markup-compatibility/2006">
          <mc:Choice Requires="x14">
            <control shapeId="34831" r:id="rId18" name="Check Box 16">
              <controlPr defaultSize="0" autoFill="0" autoLine="0" autoPict="0">
                <anchor moveWithCells="1">
                  <from>
                    <xdr:col>1</xdr:col>
                    <xdr:colOff>152400</xdr:colOff>
                    <xdr:row>21</xdr:row>
                    <xdr:rowOff>0</xdr:rowOff>
                  </from>
                  <to>
                    <xdr:col>1</xdr:col>
                    <xdr:colOff>333375</xdr:colOff>
                    <xdr:row>22</xdr:row>
                    <xdr:rowOff>9525</xdr:rowOff>
                  </to>
                </anchor>
              </controlPr>
            </control>
          </mc:Choice>
        </mc:AlternateContent>
        <mc:AlternateContent xmlns:mc="http://schemas.openxmlformats.org/markup-compatibility/2006">
          <mc:Choice Requires="x14">
            <control shapeId="34832" r:id="rId19" name="Check Box 17">
              <controlPr defaultSize="0" autoFill="0" autoLine="0" autoPict="0">
                <anchor moveWithCells="1">
                  <from>
                    <xdr:col>1</xdr:col>
                    <xdr:colOff>152400</xdr:colOff>
                    <xdr:row>21</xdr:row>
                    <xdr:rowOff>180975</xdr:rowOff>
                  </from>
                  <to>
                    <xdr:col>1</xdr:col>
                    <xdr:colOff>333375</xdr:colOff>
                    <xdr:row>23</xdr:row>
                    <xdr:rowOff>0</xdr:rowOff>
                  </to>
                </anchor>
              </controlPr>
            </control>
          </mc:Choice>
        </mc:AlternateContent>
        <mc:AlternateContent xmlns:mc="http://schemas.openxmlformats.org/markup-compatibility/2006">
          <mc:Choice Requires="x14">
            <control shapeId="34833" r:id="rId20" name="Check Box 18">
              <controlPr defaultSize="0" autoFill="0" autoLine="0" autoPict="0">
                <anchor moveWithCells="1">
                  <from>
                    <xdr:col>1</xdr:col>
                    <xdr:colOff>152400</xdr:colOff>
                    <xdr:row>23</xdr:row>
                    <xdr:rowOff>0</xdr:rowOff>
                  </from>
                  <to>
                    <xdr:col>1</xdr:col>
                    <xdr:colOff>333375</xdr:colOff>
                    <xdr:row>24</xdr:row>
                    <xdr:rowOff>0</xdr:rowOff>
                  </to>
                </anchor>
              </controlPr>
            </control>
          </mc:Choice>
        </mc:AlternateContent>
        <mc:AlternateContent xmlns:mc="http://schemas.openxmlformats.org/markup-compatibility/2006">
          <mc:Choice Requires="x14">
            <control shapeId="34834" r:id="rId21" name="Check Box 19">
              <controlPr defaultSize="0" autoFill="0" autoLine="0" autoPict="0">
                <anchor moveWithCells="1">
                  <from>
                    <xdr:col>1</xdr:col>
                    <xdr:colOff>152400</xdr:colOff>
                    <xdr:row>24</xdr:row>
                    <xdr:rowOff>0</xdr:rowOff>
                  </from>
                  <to>
                    <xdr:col>1</xdr:col>
                    <xdr:colOff>333375</xdr:colOff>
                    <xdr:row>25</xdr:row>
                    <xdr:rowOff>0</xdr:rowOff>
                  </to>
                </anchor>
              </controlPr>
            </control>
          </mc:Choice>
        </mc:AlternateContent>
        <mc:AlternateContent xmlns:mc="http://schemas.openxmlformats.org/markup-compatibility/2006">
          <mc:Choice Requires="x14">
            <control shapeId="34835" r:id="rId22" name="Check Box 20">
              <controlPr defaultSize="0" autoFill="0" autoLine="0" autoPict="0">
                <anchor moveWithCells="1">
                  <from>
                    <xdr:col>1</xdr:col>
                    <xdr:colOff>152400</xdr:colOff>
                    <xdr:row>25</xdr:row>
                    <xdr:rowOff>9525</xdr:rowOff>
                  </from>
                  <to>
                    <xdr:col>1</xdr:col>
                    <xdr:colOff>333375</xdr:colOff>
                    <xdr:row>26</xdr:row>
                    <xdr:rowOff>9525</xdr:rowOff>
                  </to>
                </anchor>
              </controlPr>
            </control>
          </mc:Choice>
        </mc:AlternateContent>
        <mc:AlternateContent xmlns:mc="http://schemas.openxmlformats.org/markup-compatibility/2006">
          <mc:Choice Requires="x14">
            <control shapeId="34836" r:id="rId23" name="Check Box 21">
              <controlPr defaultSize="0" autoFill="0" autoLine="0" autoPict="0">
                <anchor moveWithCells="1">
                  <from>
                    <xdr:col>1</xdr:col>
                    <xdr:colOff>152400</xdr:colOff>
                    <xdr:row>26</xdr:row>
                    <xdr:rowOff>9525</xdr:rowOff>
                  </from>
                  <to>
                    <xdr:col>1</xdr:col>
                    <xdr:colOff>333375</xdr:colOff>
                    <xdr:row>27</xdr:row>
                    <xdr:rowOff>9525</xdr:rowOff>
                  </to>
                </anchor>
              </controlPr>
            </control>
          </mc:Choice>
        </mc:AlternateContent>
        <mc:AlternateContent xmlns:mc="http://schemas.openxmlformats.org/markup-compatibility/2006">
          <mc:Choice Requires="x14">
            <control shapeId="34837" r:id="rId24" name="Check Box 21">
              <controlPr defaultSize="0" autoFill="0" autoLine="0" autoPict="0">
                <anchor moveWithCells="1">
                  <from>
                    <xdr:col>1</xdr:col>
                    <xdr:colOff>152400</xdr:colOff>
                    <xdr:row>26</xdr:row>
                    <xdr:rowOff>180975</xdr:rowOff>
                  </from>
                  <to>
                    <xdr:col>1</xdr:col>
                    <xdr:colOff>333375</xdr:colOff>
                    <xdr:row>27</xdr:row>
                    <xdr:rowOff>180975</xdr:rowOff>
                  </to>
                </anchor>
              </controlPr>
            </control>
          </mc:Choice>
        </mc:AlternateContent>
        <mc:AlternateContent xmlns:mc="http://schemas.openxmlformats.org/markup-compatibility/2006">
          <mc:Choice Requires="x14">
            <control shapeId="34838" r:id="rId25" name="Check Box 22">
              <controlPr defaultSize="0" autoFill="0" autoLine="0" autoPict="0">
                <anchor moveWithCells="1">
                  <from>
                    <xdr:col>1</xdr:col>
                    <xdr:colOff>152400</xdr:colOff>
                    <xdr:row>4</xdr:row>
                    <xdr:rowOff>0</xdr:rowOff>
                  </from>
                  <to>
                    <xdr:col>1</xdr:col>
                    <xdr:colOff>333375</xdr:colOff>
                    <xdr:row>5</xdr:row>
                    <xdr:rowOff>0</xdr:rowOff>
                  </to>
                </anchor>
              </controlPr>
            </control>
          </mc:Choice>
        </mc:AlternateContent>
        <mc:AlternateContent xmlns:mc="http://schemas.openxmlformats.org/markup-compatibility/2006">
          <mc:Choice Requires="x14">
            <control shapeId="34839" r:id="rId26" name="Check Box 23">
              <controlPr defaultSize="0" autoFill="0" autoLine="0" autoPict="0">
                <anchor moveWithCells="1">
                  <from>
                    <xdr:col>1</xdr:col>
                    <xdr:colOff>152400</xdr:colOff>
                    <xdr:row>17</xdr:row>
                    <xdr:rowOff>180975</xdr:rowOff>
                  </from>
                  <to>
                    <xdr:col>1</xdr:col>
                    <xdr:colOff>333375</xdr:colOff>
                    <xdr:row>18</xdr:row>
                    <xdr:rowOff>180975</xdr:rowOff>
                  </to>
                </anchor>
              </controlPr>
            </control>
          </mc:Choice>
        </mc:AlternateContent>
        <mc:AlternateContent xmlns:mc="http://schemas.openxmlformats.org/markup-compatibility/2006">
          <mc:Choice Requires="x14">
            <control shapeId="34840" r:id="rId27" name="Check Box 24">
              <controlPr defaultSize="0" autoFill="0" autoLine="0" autoPict="0">
                <anchor moveWithCells="1">
                  <from>
                    <xdr:col>1</xdr:col>
                    <xdr:colOff>152400</xdr:colOff>
                    <xdr:row>9</xdr:row>
                    <xdr:rowOff>152400</xdr:rowOff>
                  </from>
                  <to>
                    <xdr:col>1</xdr:col>
                    <xdr:colOff>333375</xdr:colOff>
                    <xdr:row>10</xdr:row>
                    <xdr:rowOff>152400</xdr:rowOff>
                  </to>
                </anchor>
              </controlPr>
            </control>
          </mc:Choice>
        </mc:AlternateContent>
        <mc:AlternateContent xmlns:mc="http://schemas.openxmlformats.org/markup-compatibility/2006">
          <mc:Choice Requires="x14">
            <control shapeId="34841" r:id="rId28" name="Check Box 25">
              <controlPr defaultSize="0" autoFill="0" autoLine="0" autoPict="0">
                <anchor moveWithCells="1">
                  <from>
                    <xdr:col>1</xdr:col>
                    <xdr:colOff>152400</xdr:colOff>
                    <xdr:row>29</xdr:row>
                    <xdr:rowOff>0</xdr:rowOff>
                  </from>
                  <to>
                    <xdr:col>1</xdr:col>
                    <xdr:colOff>333375</xdr:colOff>
                    <xdr:row>30</xdr:row>
                    <xdr:rowOff>0</xdr:rowOff>
                  </to>
                </anchor>
              </controlPr>
            </control>
          </mc:Choice>
        </mc:AlternateContent>
        <mc:AlternateContent xmlns:mc="http://schemas.openxmlformats.org/markup-compatibility/2006">
          <mc:Choice Requires="x14">
            <control shapeId="34842" r:id="rId29" name="Check Box 26">
              <controlPr defaultSize="0" autoFill="0" autoLine="0" autoPict="0">
                <anchor moveWithCells="1">
                  <from>
                    <xdr:col>1</xdr:col>
                    <xdr:colOff>152400</xdr:colOff>
                    <xdr:row>30</xdr:row>
                    <xdr:rowOff>0</xdr:rowOff>
                  </from>
                  <to>
                    <xdr:col>1</xdr:col>
                    <xdr:colOff>333375</xdr:colOff>
                    <xdr:row>31</xdr:row>
                    <xdr:rowOff>0</xdr:rowOff>
                  </to>
                </anchor>
              </controlPr>
            </control>
          </mc:Choice>
        </mc:AlternateContent>
        <mc:AlternateContent xmlns:mc="http://schemas.openxmlformats.org/markup-compatibility/2006">
          <mc:Choice Requires="x14">
            <control shapeId="34843" r:id="rId30" name="Check Box 27">
              <controlPr defaultSize="0" autoFill="0" autoLine="0" autoPict="0">
                <anchor moveWithCells="1">
                  <from>
                    <xdr:col>1</xdr:col>
                    <xdr:colOff>152400</xdr:colOff>
                    <xdr:row>31</xdr:row>
                    <xdr:rowOff>0</xdr:rowOff>
                  </from>
                  <to>
                    <xdr:col>1</xdr:col>
                    <xdr:colOff>333375</xdr:colOff>
                    <xdr:row>32</xdr:row>
                    <xdr:rowOff>0</xdr:rowOff>
                  </to>
                </anchor>
              </controlPr>
            </control>
          </mc:Choice>
        </mc:AlternateContent>
        <mc:AlternateContent xmlns:mc="http://schemas.openxmlformats.org/markup-compatibility/2006">
          <mc:Choice Requires="x14">
            <control shapeId="34844" r:id="rId31" name="Check Box 28">
              <controlPr defaultSize="0" autoFill="0" autoLine="0" autoPict="0">
                <anchor moveWithCells="1">
                  <from>
                    <xdr:col>1</xdr:col>
                    <xdr:colOff>152400</xdr:colOff>
                    <xdr:row>31</xdr:row>
                    <xdr:rowOff>171450</xdr:rowOff>
                  </from>
                  <to>
                    <xdr:col>1</xdr:col>
                    <xdr:colOff>333375</xdr:colOff>
                    <xdr:row>32</xdr:row>
                    <xdr:rowOff>171450</xdr:rowOff>
                  </to>
                </anchor>
              </controlPr>
            </control>
          </mc:Choice>
        </mc:AlternateContent>
        <mc:AlternateContent xmlns:mc="http://schemas.openxmlformats.org/markup-compatibility/2006">
          <mc:Choice Requires="x14">
            <control shapeId="34845" r:id="rId32" name="Check Box 29">
              <controlPr defaultSize="0" autoFill="0" autoLine="0" autoPict="0">
                <anchor moveWithCells="1">
                  <from>
                    <xdr:col>1</xdr:col>
                    <xdr:colOff>152400</xdr:colOff>
                    <xdr:row>5</xdr:row>
                    <xdr:rowOff>0</xdr:rowOff>
                  </from>
                  <to>
                    <xdr:col>1</xdr:col>
                    <xdr:colOff>333375</xdr:colOff>
                    <xdr:row>6</xdr:row>
                    <xdr:rowOff>0</xdr:rowOff>
                  </to>
                </anchor>
              </controlPr>
            </control>
          </mc:Choice>
        </mc:AlternateContent>
        <mc:AlternateContent xmlns:mc="http://schemas.openxmlformats.org/markup-compatibility/2006">
          <mc:Choice Requires="x14">
            <control shapeId="34846" r:id="rId33" name="Check Box 30">
              <controlPr defaultSize="0" autoFill="0" autoLine="0" autoPict="0">
                <anchor moveWithCells="1">
                  <from>
                    <xdr:col>1</xdr:col>
                    <xdr:colOff>152400</xdr:colOff>
                    <xdr:row>8</xdr:row>
                    <xdr:rowOff>180975</xdr:rowOff>
                  </from>
                  <to>
                    <xdr:col>1</xdr:col>
                    <xdr:colOff>333375</xdr:colOff>
                    <xdr:row>9</xdr:row>
                    <xdr:rowOff>180975</xdr:rowOff>
                  </to>
                </anchor>
              </controlPr>
            </control>
          </mc:Choice>
        </mc:AlternateContent>
        <mc:AlternateContent xmlns:mc="http://schemas.openxmlformats.org/markup-compatibility/2006">
          <mc:Choice Requires="x14">
            <control shapeId="34847" r:id="rId34" name="Check Box 31">
              <controlPr defaultSize="0" autoFill="0" autoLine="0" autoPict="0">
                <anchor moveWithCells="1">
                  <from>
                    <xdr:col>1</xdr:col>
                    <xdr:colOff>152400</xdr:colOff>
                    <xdr:row>11</xdr:row>
                    <xdr:rowOff>171450</xdr:rowOff>
                  </from>
                  <to>
                    <xdr:col>1</xdr:col>
                    <xdr:colOff>333375</xdr:colOff>
                    <xdr:row>12</xdr:row>
                    <xdr:rowOff>180975</xdr:rowOff>
                  </to>
                </anchor>
              </controlPr>
            </control>
          </mc:Choice>
        </mc:AlternateContent>
        <mc:AlternateContent xmlns:mc="http://schemas.openxmlformats.org/markup-compatibility/2006">
          <mc:Choice Requires="x14">
            <control shapeId="34848" r:id="rId35" name="Check Box 32">
              <controlPr defaultSize="0" autoFill="0" autoLine="0" autoPict="0">
                <anchor moveWithCells="1">
                  <from>
                    <xdr:col>1</xdr:col>
                    <xdr:colOff>152400</xdr:colOff>
                    <xdr:row>32</xdr:row>
                    <xdr:rowOff>180975</xdr:rowOff>
                  </from>
                  <to>
                    <xdr:col>1</xdr:col>
                    <xdr:colOff>333375</xdr:colOff>
                    <xdr:row>33</xdr:row>
                    <xdr:rowOff>180975</xdr:rowOff>
                  </to>
                </anchor>
              </controlPr>
            </control>
          </mc:Choice>
        </mc:AlternateContent>
        <mc:AlternateContent xmlns:mc="http://schemas.openxmlformats.org/markup-compatibility/2006">
          <mc:Choice Requires="x14">
            <control shapeId="34849" r:id="rId36" name="Check Box 33">
              <controlPr defaultSize="0" autoFill="0" autoLine="0" autoPict="0">
                <anchor moveWithCells="1">
                  <from>
                    <xdr:col>1</xdr:col>
                    <xdr:colOff>152400</xdr:colOff>
                    <xdr:row>33</xdr:row>
                    <xdr:rowOff>180975</xdr:rowOff>
                  </from>
                  <to>
                    <xdr:col>1</xdr:col>
                    <xdr:colOff>333375</xdr:colOff>
                    <xdr:row>34</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7"/>
  <dimension ref="A3:P51"/>
  <sheetViews>
    <sheetView zoomScale="85" zoomScaleNormal="85" workbookViewId="0">
      <selection activeCell="C26" sqref="C26"/>
    </sheetView>
  </sheetViews>
  <sheetFormatPr defaultColWidth="11.42578125" defaultRowHeight="15" x14ac:dyDescent="0.25"/>
  <cols>
    <col min="1" max="1" width="18.5703125" customWidth="1"/>
    <col min="2" max="2" width="5.85546875" customWidth="1"/>
    <col min="3" max="3" width="11.42578125" style="2"/>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6" x14ac:dyDescent="0.25">
      <c r="C3" s="3" t="s">
        <v>1</v>
      </c>
      <c r="D3" s="3" t="s">
        <v>24</v>
      </c>
      <c r="E3" s="19" t="s">
        <v>16</v>
      </c>
      <c r="F3" s="16" t="s">
        <v>15</v>
      </c>
      <c r="G3" s="21" t="s">
        <v>14</v>
      </c>
      <c r="H3" s="17" t="s">
        <v>0</v>
      </c>
      <c r="I3" s="19" t="s">
        <v>29</v>
      </c>
      <c r="J3" s="16" t="s">
        <v>30</v>
      </c>
      <c r="K3" s="21" t="s">
        <v>14</v>
      </c>
      <c r="L3" s="17" t="s">
        <v>31</v>
      </c>
    </row>
    <row r="4" spans="1:16" x14ac:dyDescent="0.25">
      <c r="A4" s="32" t="s">
        <v>3</v>
      </c>
      <c r="B4" s="32"/>
      <c r="C4" s="33">
        <f>70+50</f>
        <v>120</v>
      </c>
      <c r="E4" s="20">
        <f>12/100</f>
        <v>0.12</v>
      </c>
      <c r="F4" s="6">
        <f>60/100</f>
        <v>0.6</v>
      </c>
      <c r="G4" s="22">
        <f>7.1/100</f>
        <v>7.0999999999999994E-2</v>
      </c>
      <c r="H4" s="18">
        <f>371/100</f>
        <v>3.71</v>
      </c>
      <c r="I4" s="20">
        <f t="shared" ref="I4:K34" si="0">IF($M4=TRUE,E4*$C4,0)</f>
        <v>14.399999999999999</v>
      </c>
      <c r="J4" s="6">
        <f t="shared" si="0"/>
        <v>72</v>
      </c>
      <c r="K4" s="22">
        <f t="shared" si="0"/>
        <v>8.52</v>
      </c>
      <c r="L4" s="18">
        <f t="shared" ref="L4:L36" si="1">IF($M4=TRUE, H4*C4,0)</f>
        <v>445.2</v>
      </c>
      <c r="M4" t="b">
        <v>1</v>
      </c>
    </row>
    <row r="5" spans="1:16" x14ac:dyDescent="0.25">
      <c r="A5" s="34" t="s">
        <v>33</v>
      </c>
      <c r="B5" s="32"/>
      <c r="C5" s="40">
        <f>150+70</f>
        <v>220</v>
      </c>
      <c r="E5" s="20">
        <f>11/100</f>
        <v>0.11</v>
      </c>
      <c r="F5" s="6">
        <f>0.7/100</f>
        <v>6.9999999999999993E-3</v>
      </c>
      <c r="G5" s="22">
        <f>0.2/100</f>
        <v>2E-3</v>
      </c>
      <c r="H5" s="18">
        <f>52/100</f>
        <v>0.52</v>
      </c>
      <c r="I5" s="20">
        <f t="shared" si="0"/>
        <v>24.2</v>
      </c>
      <c r="J5" s="6">
        <f t="shared" si="0"/>
        <v>1.5399999999999998</v>
      </c>
      <c r="K5" s="22">
        <f t="shared" si="0"/>
        <v>0.44</v>
      </c>
      <c r="L5" s="18">
        <f>IF($M5=TRUE, H5*C5,0)</f>
        <v>114.4</v>
      </c>
      <c r="M5" t="b">
        <v>1</v>
      </c>
    </row>
    <row r="6" spans="1:16" x14ac:dyDescent="0.25">
      <c r="A6" s="34" t="s">
        <v>67</v>
      </c>
      <c r="B6" s="32"/>
      <c r="C6" s="40">
        <f>35</f>
        <v>35</v>
      </c>
      <c r="E6" s="20">
        <f>2.4/100</f>
        <v>2.4E-2</v>
      </c>
      <c r="F6" s="6">
        <v>0</v>
      </c>
      <c r="G6" s="22">
        <f>27/100</f>
        <v>0.27</v>
      </c>
      <c r="H6" s="18">
        <f>350/100</f>
        <v>3.5</v>
      </c>
      <c r="I6" s="20">
        <f t="shared" si="0"/>
        <v>0.84</v>
      </c>
      <c r="J6" s="6">
        <f t="shared" si="0"/>
        <v>0</v>
      </c>
      <c r="K6" s="22">
        <f t="shared" si="0"/>
        <v>9.4500000000000011</v>
      </c>
      <c r="L6" s="18">
        <f>IF($M6=TRUE, H6*C6,0)</f>
        <v>122.5</v>
      </c>
      <c r="M6" t="b">
        <v>1</v>
      </c>
      <c r="P6">
        <v>1</v>
      </c>
    </row>
    <row r="7" spans="1:16" x14ac:dyDescent="0.25">
      <c r="A7" s="32" t="s">
        <v>18</v>
      </c>
      <c r="B7" s="32"/>
      <c r="C7" s="40">
        <f>270+130</f>
        <v>400</v>
      </c>
      <c r="E7" s="20">
        <f>3.2/100</f>
        <v>3.2000000000000001E-2</v>
      </c>
      <c r="F7" s="6">
        <f>4.8/100</f>
        <v>4.8000000000000001E-2</v>
      </c>
      <c r="G7" s="22">
        <f>1.6/100</f>
        <v>1.6E-2</v>
      </c>
      <c r="H7" s="18">
        <f>46/100</f>
        <v>0.46</v>
      </c>
      <c r="I7" s="20">
        <f t="shared" si="0"/>
        <v>12.8</v>
      </c>
      <c r="J7" s="6">
        <f t="shared" si="0"/>
        <v>19.2</v>
      </c>
      <c r="K7" s="22">
        <f t="shared" si="0"/>
        <v>6.4</v>
      </c>
      <c r="L7" s="18">
        <f>IF($M7=TRUE, H7*C7,0)</f>
        <v>184</v>
      </c>
      <c r="M7" t="b">
        <v>1</v>
      </c>
    </row>
    <row r="8" spans="1:16" x14ac:dyDescent="0.25">
      <c r="A8" s="36" t="s">
        <v>5</v>
      </c>
      <c r="B8" s="36"/>
      <c r="C8" s="37">
        <f>130+270</f>
        <v>400</v>
      </c>
      <c r="E8" s="20">
        <f>20.7/100</f>
        <v>0.20699999999999999</v>
      </c>
      <c r="F8" s="6">
        <f>2.2/100</f>
        <v>2.2000000000000002E-2</v>
      </c>
      <c r="G8" s="22">
        <f>0.9/100</f>
        <v>9.0000000000000011E-3</v>
      </c>
      <c r="H8" s="18">
        <f>94/100</f>
        <v>0.94</v>
      </c>
      <c r="I8" s="20">
        <f t="shared" si="0"/>
        <v>0</v>
      </c>
      <c r="J8" s="6">
        <f t="shared" si="0"/>
        <v>0</v>
      </c>
      <c r="K8" s="22">
        <f t="shared" si="0"/>
        <v>0</v>
      </c>
      <c r="L8" s="18">
        <f t="shared" si="1"/>
        <v>0</v>
      </c>
      <c r="M8" t="b">
        <v>0</v>
      </c>
    </row>
    <row r="9" spans="1:16" x14ac:dyDescent="0.25">
      <c r="A9" s="36" t="s">
        <v>6</v>
      </c>
      <c r="B9" s="36"/>
      <c r="C9" s="38">
        <f>256/2</f>
        <v>128</v>
      </c>
      <c r="E9" s="20">
        <f>20/100</f>
        <v>0.2</v>
      </c>
      <c r="F9" s="6">
        <f>0.2/100</f>
        <v>2E-3</v>
      </c>
      <c r="G9" s="22">
        <f>5/100</f>
        <v>0.05</v>
      </c>
      <c r="H9" s="18">
        <f>126/100</f>
        <v>1.26</v>
      </c>
      <c r="I9" s="20">
        <f t="shared" si="0"/>
        <v>0</v>
      </c>
      <c r="J9" s="6">
        <f t="shared" si="0"/>
        <v>0</v>
      </c>
      <c r="K9" s="22">
        <f t="shared" si="0"/>
        <v>0</v>
      </c>
      <c r="L9" s="18">
        <f t="shared" si="1"/>
        <v>0</v>
      </c>
      <c r="M9" t="b">
        <v>0</v>
      </c>
    </row>
    <row r="10" spans="1:16" x14ac:dyDescent="0.25">
      <c r="A10" s="36" t="s">
        <v>57</v>
      </c>
      <c r="B10" s="36"/>
      <c r="C10" s="41">
        <v>155</v>
      </c>
      <c r="E10" s="20">
        <f>19/100</f>
        <v>0.19</v>
      </c>
      <c r="F10" s="6">
        <v>0</v>
      </c>
      <c r="G10" s="22">
        <f>12/100</f>
        <v>0.12</v>
      </c>
      <c r="H10" s="18">
        <f>184/100</f>
        <v>1.84</v>
      </c>
      <c r="I10" s="20">
        <f t="shared" si="0"/>
        <v>29.45</v>
      </c>
      <c r="J10" s="6">
        <f t="shared" si="0"/>
        <v>0</v>
      </c>
      <c r="K10" s="22">
        <f t="shared" si="0"/>
        <v>18.599999999999998</v>
      </c>
      <c r="L10" s="18">
        <f>IF($M10=TRUE, H10*C10,0)</f>
        <v>285.2</v>
      </c>
      <c r="M10" t="b">
        <v>1</v>
      </c>
    </row>
    <row r="11" spans="1:16" x14ac:dyDescent="0.25">
      <c r="A11" s="36" t="s">
        <v>59</v>
      </c>
      <c r="B11" s="36"/>
      <c r="C11" s="38">
        <v>360</v>
      </c>
      <c r="E11" s="20">
        <f>20/100</f>
        <v>0.2</v>
      </c>
      <c r="F11" s="6">
        <v>0</v>
      </c>
      <c r="G11" s="22">
        <f>5/100</f>
        <v>0.05</v>
      </c>
      <c r="H11" s="18">
        <f>121/100</f>
        <v>1.21</v>
      </c>
      <c r="I11" s="20">
        <f t="shared" si="0"/>
        <v>0</v>
      </c>
      <c r="J11" s="6">
        <f t="shared" si="0"/>
        <v>0</v>
      </c>
      <c r="K11" s="22">
        <f t="shared" si="0"/>
        <v>0</v>
      </c>
      <c r="L11" s="18">
        <f>IF($M11=TRUE, H11*C11,0)</f>
        <v>0</v>
      </c>
      <c r="M11" t="b">
        <v>0</v>
      </c>
    </row>
    <row r="12" spans="1:16" x14ac:dyDescent="0.25">
      <c r="A12" s="36" t="s">
        <v>13</v>
      </c>
      <c r="B12" s="36"/>
      <c r="C12" s="38">
        <v>1</v>
      </c>
      <c r="E12" s="20">
        <v>20</v>
      </c>
      <c r="F12" s="6">
        <v>1</v>
      </c>
      <c r="G12" s="22">
        <v>1</v>
      </c>
      <c r="H12" s="18">
        <v>93</v>
      </c>
      <c r="I12" s="20">
        <f t="shared" si="0"/>
        <v>20</v>
      </c>
      <c r="J12" s="6">
        <f t="shared" si="0"/>
        <v>1</v>
      </c>
      <c r="K12" s="22">
        <f t="shared" si="0"/>
        <v>1</v>
      </c>
      <c r="L12" s="18">
        <f>IF($M12=TRUE, H12*C12,0)</f>
        <v>93</v>
      </c>
      <c r="M12" t="b">
        <v>1</v>
      </c>
    </row>
    <row r="13" spans="1:16" x14ac:dyDescent="0.25">
      <c r="A13" s="36" t="s">
        <v>80</v>
      </c>
      <c r="B13" s="36"/>
      <c r="C13" s="38">
        <v>126</v>
      </c>
      <c r="E13" s="20">
        <f>24/100</f>
        <v>0.24</v>
      </c>
      <c r="F13" s="6">
        <f>1/100</f>
        <v>0.01</v>
      </c>
      <c r="G13" s="22">
        <f>1/100</f>
        <v>0.01</v>
      </c>
      <c r="H13" s="18">
        <f>105/100</f>
        <v>1.05</v>
      </c>
      <c r="I13" s="20">
        <f t="shared" si="0"/>
        <v>0</v>
      </c>
      <c r="J13" s="6">
        <f t="shared" si="0"/>
        <v>0</v>
      </c>
      <c r="K13" s="22">
        <f t="shared" si="0"/>
        <v>0</v>
      </c>
      <c r="L13" s="18">
        <f>IF($M13=TRUE, H13*C13,0)</f>
        <v>0</v>
      </c>
      <c r="M13" t="b">
        <v>0</v>
      </c>
    </row>
    <row r="14" spans="1:16" x14ac:dyDescent="0.25">
      <c r="A14" s="36" t="s">
        <v>82</v>
      </c>
      <c r="B14" s="36"/>
      <c r="C14" s="38">
        <v>168</v>
      </c>
      <c r="E14" s="20">
        <f>24/100</f>
        <v>0.24</v>
      </c>
      <c r="F14" s="6">
        <v>0</v>
      </c>
      <c r="G14" s="22">
        <f>0</f>
        <v>0</v>
      </c>
      <c r="H14" s="18">
        <f>24*4/100</f>
        <v>0.96</v>
      </c>
      <c r="I14" s="20">
        <f>IF($M14=TRUE,E14*$C14,0)</f>
        <v>40.32</v>
      </c>
      <c r="J14" s="6">
        <f>IF($M14=TRUE,F14*$C14,0)</f>
        <v>0</v>
      </c>
      <c r="K14" s="22">
        <f>IF($M14=TRUE,G14*$C14,0)</f>
        <v>0</v>
      </c>
      <c r="L14" s="18">
        <f>IF($M14=TRUE, H14*C14,0)</f>
        <v>161.28</v>
      </c>
      <c r="M14" t="b">
        <v>1</v>
      </c>
    </row>
    <row r="15" spans="1:16" x14ac:dyDescent="0.25">
      <c r="A15" t="s">
        <v>7</v>
      </c>
      <c r="C15" s="28">
        <v>50</v>
      </c>
      <c r="E15" s="20">
        <f>12.68/100</f>
        <v>0.1268</v>
      </c>
      <c r="F15" s="6">
        <f>72.83/100</f>
        <v>0.72829999999999995</v>
      </c>
      <c r="G15" s="22">
        <f>1.05/100</f>
        <v>1.0500000000000001E-2</v>
      </c>
      <c r="H15" s="18">
        <f>360/100</f>
        <v>3.6</v>
      </c>
      <c r="I15" s="20">
        <f t="shared" si="0"/>
        <v>0</v>
      </c>
      <c r="J15" s="6">
        <f t="shared" si="0"/>
        <v>0</v>
      </c>
      <c r="K15" s="22">
        <f t="shared" si="0"/>
        <v>0</v>
      </c>
      <c r="L15" s="18">
        <f t="shared" si="1"/>
        <v>0</v>
      </c>
      <c r="M15" t="b">
        <v>0</v>
      </c>
    </row>
    <row r="16" spans="1:16" x14ac:dyDescent="0.25">
      <c r="A16" t="s">
        <v>8</v>
      </c>
      <c r="C16" s="28">
        <v>39</v>
      </c>
      <c r="E16" s="20">
        <f>8.8/100</f>
        <v>8.8000000000000009E-2</v>
      </c>
      <c r="F16" s="6">
        <f>72/100</f>
        <v>0.72</v>
      </c>
      <c r="G16" s="22">
        <f>2.2/100</f>
        <v>2.2000000000000002E-2</v>
      </c>
      <c r="H16" s="18">
        <f>343/100</f>
        <v>3.43</v>
      </c>
      <c r="I16" s="20">
        <f t="shared" si="0"/>
        <v>0</v>
      </c>
      <c r="J16" s="6">
        <f t="shared" si="0"/>
        <v>0</v>
      </c>
      <c r="K16" s="22">
        <f t="shared" si="0"/>
        <v>0</v>
      </c>
      <c r="L16" s="18">
        <f t="shared" si="1"/>
        <v>0</v>
      </c>
      <c r="M16" t="b">
        <v>0</v>
      </c>
    </row>
    <row r="17" spans="1:13" x14ac:dyDescent="0.25">
      <c r="A17" s="35" t="s">
        <v>9</v>
      </c>
      <c r="B17" s="35"/>
      <c r="C17" s="42">
        <f>110</f>
        <v>110</v>
      </c>
      <c r="E17" s="20">
        <f>1.5/100</f>
        <v>1.4999999999999999E-2</v>
      </c>
      <c r="F17" s="6">
        <f>20/100</f>
        <v>0.2</v>
      </c>
      <c r="G17" s="22">
        <v>0</v>
      </c>
      <c r="H17" s="18">
        <f>90/100</f>
        <v>0.9</v>
      </c>
      <c r="I17" s="20">
        <f t="shared" si="0"/>
        <v>1.65</v>
      </c>
      <c r="J17" s="6">
        <f t="shared" si="0"/>
        <v>22</v>
      </c>
      <c r="K17" s="22">
        <f t="shared" si="0"/>
        <v>0</v>
      </c>
      <c r="L17" s="18">
        <f t="shared" si="1"/>
        <v>99</v>
      </c>
      <c r="M17" t="b">
        <v>1</v>
      </c>
    </row>
    <row r="18" spans="1:13" x14ac:dyDescent="0.25">
      <c r="A18" s="35" t="s">
        <v>10</v>
      </c>
      <c r="B18" s="35"/>
      <c r="C18" s="39">
        <v>69</v>
      </c>
      <c r="E18" s="20">
        <f>1.6/100</f>
        <v>1.6E-2</v>
      </c>
      <c r="F18" s="6">
        <f>11/100</f>
        <v>0.11</v>
      </c>
      <c r="G18" s="22">
        <f>0.3/100</f>
        <v>3.0000000000000001E-3</v>
      </c>
      <c r="H18" s="18">
        <f>53/100</f>
        <v>0.53</v>
      </c>
      <c r="I18" s="20">
        <f t="shared" si="0"/>
        <v>0</v>
      </c>
      <c r="J18" s="6">
        <f t="shared" si="0"/>
        <v>0</v>
      </c>
      <c r="K18" s="22">
        <f t="shared" si="0"/>
        <v>0</v>
      </c>
      <c r="L18" s="18">
        <f t="shared" si="1"/>
        <v>0</v>
      </c>
      <c r="M18" t="b">
        <v>0</v>
      </c>
    </row>
    <row r="19" spans="1:13" x14ac:dyDescent="0.25">
      <c r="A19" s="35" t="s">
        <v>11</v>
      </c>
      <c r="B19" s="35"/>
      <c r="C19" s="42">
        <f>218</f>
        <v>218</v>
      </c>
      <c r="E19" s="20">
        <f>1/100</f>
        <v>0.01</v>
      </c>
      <c r="F19" s="6">
        <f>9/100</f>
        <v>0.09</v>
      </c>
      <c r="G19" s="22">
        <f>0.2/100</f>
        <v>2E-3</v>
      </c>
      <c r="H19" s="18">
        <f>45/100</f>
        <v>0.45</v>
      </c>
      <c r="I19" s="20">
        <f t="shared" si="0"/>
        <v>2.1800000000000002</v>
      </c>
      <c r="J19" s="6">
        <f t="shared" si="0"/>
        <v>19.62</v>
      </c>
      <c r="K19" s="22">
        <f t="shared" si="0"/>
        <v>0.436</v>
      </c>
      <c r="L19" s="18">
        <f t="shared" si="1"/>
        <v>98.100000000000009</v>
      </c>
      <c r="M19" t="b">
        <v>1</v>
      </c>
    </row>
    <row r="20" spans="1:13" x14ac:dyDescent="0.25">
      <c r="A20" t="s">
        <v>58</v>
      </c>
      <c r="C20" s="28">
        <v>180</v>
      </c>
      <c r="E20" s="20">
        <f>1.6/100</f>
        <v>1.6E-2</v>
      </c>
      <c r="F20" s="6">
        <f>20/100</f>
        <v>0.2</v>
      </c>
      <c r="G20" s="22">
        <f>0.1/100</f>
        <v>1E-3</v>
      </c>
      <c r="H20" s="18">
        <f>86/100</f>
        <v>0.86</v>
      </c>
      <c r="I20" s="20">
        <f>IF($M20=TRUE,E20*$C20,0)</f>
        <v>0</v>
      </c>
      <c r="J20" s="6">
        <f>IF($M20=TRUE,F20*$C20,0)</f>
        <v>0</v>
      </c>
      <c r="K20" s="22">
        <f>IF($M20=TRUE,G20*$C20,0)</f>
        <v>0</v>
      </c>
      <c r="L20" s="18">
        <f>IF($M20=TRUE, H20*C20,0)</f>
        <v>0</v>
      </c>
      <c r="M20" t="b">
        <v>0</v>
      </c>
    </row>
    <row r="21" spans="1:13" x14ac:dyDescent="0.25">
      <c r="A21" t="s">
        <v>12</v>
      </c>
      <c r="C21" s="28">
        <v>130</v>
      </c>
      <c r="E21" s="20">
        <f>11/100</f>
        <v>0.11</v>
      </c>
      <c r="F21" s="6">
        <f>54/100</f>
        <v>0.54</v>
      </c>
      <c r="G21" s="22">
        <f>3.3/100</f>
        <v>3.3000000000000002E-2</v>
      </c>
      <c r="H21" s="18">
        <f>293/100</f>
        <v>2.93</v>
      </c>
      <c r="I21" s="20">
        <f t="shared" si="0"/>
        <v>0</v>
      </c>
      <c r="J21" s="6">
        <f t="shared" si="0"/>
        <v>0</v>
      </c>
      <c r="K21" s="22">
        <f t="shared" si="0"/>
        <v>0</v>
      </c>
      <c r="L21" s="18">
        <f t="shared" si="1"/>
        <v>0</v>
      </c>
      <c r="M21" t="b">
        <v>0</v>
      </c>
    </row>
    <row r="22" spans="1:13" x14ac:dyDescent="0.25">
      <c r="A22" t="s">
        <v>17</v>
      </c>
      <c r="C22" s="28">
        <v>24</v>
      </c>
      <c r="D22" s="2" t="s">
        <v>23</v>
      </c>
      <c r="E22" s="20">
        <f>3/100</f>
        <v>0.03</v>
      </c>
      <c r="F22" s="6">
        <f>11/100</f>
        <v>0.11</v>
      </c>
      <c r="G22" s="22">
        <f>1.5/100</f>
        <v>1.4999999999999999E-2</v>
      </c>
      <c r="H22" s="18">
        <f>74/100</f>
        <v>0.74</v>
      </c>
      <c r="I22" s="20">
        <f t="shared" si="0"/>
        <v>0</v>
      </c>
      <c r="J22" s="6">
        <f t="shared" si="0"/>
        <v>0</v>
      </c>
      <c r="K22" s="22">
        <f t="shared" si="0"/>
        <v>0</v>
      </c>
      <c r="L22" s="18">
        <f t="shared" si="1"/>
        <v>0</v>
      </c>
      <c r="M22" t="b">
        <v>0</v>
      </c>
    </row>
    <row r="23" spans="1:13" x14ac:dyDescent="0.25">
      <c r="A23" t="s">
        <v>19</v>
      </c>
      <c r="C23" s="28">
        <v>137</v>
      </c>
      <c r="D23" s="2" t="s">
        <v>25</v>
      </c>
      <c r="E23" s="20">
        <f>2/100</f>
        <v>0.02</v>
      </c>
      <c r="F23" s="6">
        <f>17/100</f>
        <v>0.17</v>
      </c>
      <c r="G23" s="22">
        <f>0.1/100</f>
        <v>1E-3</v>
      </c>
      <c r="H23" s="18">
        <f>77/100</f>
        <v>0.77</v>
      </c>
      <c r="I23" s="20">
        <f t="shared" si="0"/>
        <v>0</v>
      </c>
      <c r="J23" s="6">
        <f t="shared" si="0"/>
        <v>0</v>
      </c>
      <c r="K23" s="22">
        <f t="shared" si="0"/>
        <v>0</v>
      </c>
      <c r="L23" s="18">
        <f t="shared" si="1"/>
        <v>0</v>
      </c>
      <c r="M23" t="b">
        <v>0</v>
      </c>
    </row>
    <row r="24" spans="1:13" x14ac:dyDescent="0.25">
      <c r="A24" t="s">
        <v>20</v>
      </c>
      <c r="C24" s="28">
        <f>110</f>
        <v>110</v>
      </c>
      <c r="E24" s="20">
        <f>25/100</f>
        <v>0.25</v>
      </c>
      <c r="F24" s="6">
        <v>0</v>
      </c>
      <c r="G24" s="22">
        <f>1/100</f>
        <v>0.01</v>
      </c>
      <c r="H24" s="18">
        <f>109/100</f>
        <v>1.0900000000000001</v>
      </c>
      <c r="I24" s="20">
        <f t="shared" si="0"/>
        <v>0</v>
      </c>
      <c r="J24" s="6">
        <f t="shared" si="0"/>
        <v>0</v>
      </c>
      <c r="K24" s="22">
        <f t="shared" si="0"/>
        <v>0</v>
      </c>
      <c r="L24" s="18">
        <f t="shared" si="1"/>
        <v>0</v>
      </c>
      <c r="M24" t="b">
        <v>0</v>
      </c>
    </row>
    <row r="25" spans="1:13" x14ac:dyDescent="0.25">
      <c r="A25" s="35" t="s">
        <v>21</v>
      </c>
      <c r="B25" s="35"/>
      <c r="C25" s="39">
        <v>130</v>
      </c>
      <c r="D25" s="2" t="s">
        <v>22</v>
      </c>
      <c r="E25" s="20">
        <f>2.3/100</f>
        <v>2.3E-2</v>
      </c>
      <c r="F25" s="6">
        <f>7.2/100</f>
        <v>7.2000000000000008E-2</v>
      </c>
      <c r="G25" s="22">
        <f>0.5/100</f>
        <v>5.0000000000000001E-3</v>
      </c>
      <c r="H25" s="18">
        <f>44/100</f>
        <v>0.44</v>
      </c>
      <c r="I25" s="20">
        <f t="shared" si="0"/>
        <v>0</v>
      </c>
      <c r="J25" s="6">
        <f t="shared" si="0"/>
        <v>0</v>
      </c>
      <c r="K25" s="22">
        <f t="shared" si="0"/>
        <v>0</v>
      </c>
      <c r="L25" s="18">
        <f t="shared" si="1"/>
        <v>0</v>
      </c>
      <c r="M25" t="b">
        <v>0</v>
      </c>
    </row>
    <row r="26" spans="1:13" x14ac:dyDescent="0.25">
      <c r="A26" t="s">
        <v>26</v>
      </c>
      <c r="C26" s="28"/>
      <c r="E26" s="20">
        <v>0</v>
      </c>
      <c r="F26" s="6">
        <v>0</v>
      </c>
      <c r="G26" s="22">
        <v>0</v>
      </c>
      <c r="H26" s="18">
        <f>275/100</f>
        <v>2.75</v>
      </c>
      <c r="I26" s="20">
        <f t="shared" si="0"/>
        <v>0</v>
      </c>
      <c r="J26" s="6">
        <f t="shared" si="0"/>
        <v>0</v>
      </c>
      <c r="K26" s="22">
        <f t="shared" si="0"/>
        <v>0</v>
      </c>
      <c r="L26" s="18">
        <f t="shared" si="1"/>
        <v>0</v>
      </c>
      <c r="M26" t="b">
        <v>0</v>
      </c>
    </row>
    <row r="27" spans="1:13" x14ac:dyDescent="0.25">
      <c r="A27" t="s">
        <v>32</v>
      </c>
      <c r="C27" s="28">
        <v>20</v>
      </c>
      <c r="E27" s="20">
        <f>22/100</f>
        <v>0.22</v>
      </c>
      <c r="F27" s="6">
        <f>6.9/100</f>
        <v>6.9000000000000006E-2</v>
      </c>
      <c r="G27" s="22">
        <f>54/100</f>
        <v>0.54</v>
      </c>
      <c r="H27" s="18">
        <f>620/100</f>
        <v>6.2</v>
      </c>
      <c r="I27" s="20">
        <f t="shared" si="0"/>
        <v>0</v>
      </c>
      <c r="J27" s="6">
        <f t="shared" si="0"/>
        <v>0</v>
      </c>
      <c r="K27" s="22">
        <f t="shared" si="0"/>
        <v>0</v>
      </c>
      <c r="L27" s="18">
        <f t="shared" si="1"/>
        <v>0</v>
      </c>
      <c r="M27" t="b">
        <v>0</v>
      </c>
    </row>
    <row r="28" spans="1:13" x14ac:dyDescent="0.25">
      <c r="A28" t="s">
        <v>33</v>
      </c>
      <c r="C28" s="28">
        <v>143</v>
      </c>
      <c r="E28" s="20">
        <v>3.6</v>
      </c>
      <c r="F28" s="6">
        <v>0.2</v>
      </c>
      <c r="G28" s="22">
        <v>0.1</v>
      </c>
      <c r="H28" s="18">
        <f>17</f>
        <v>17</v>
      </c>
      <c r="I28" s="20">
        <f t="shared" si="0"/>
        <v>0</v>
      </c>
      <c r="J28" s="6">
        <f t="shared" si="0"/>
        <v>0</v>
      </c>
      <c r="K28" s="22">
        <f t="shared" si="0"/>
        <v>0</v>
      </c>
      <c r="L28" s="18">
        <f t="shared" si="1"/>
        <v>0</v>
      </c>
      <c r="M28" t="b">
        <v>0</v>
      </c>
    </row>
    <row r="29" spans="1:13" x14ac:dyDescent="0.25">
      <c r="A29" t="s">
        <v>34</v>
      </c>
      <c r="C29" s="28">
        <v>50</v>
      </c>
      <c r="E29" s="20">
        <f>7.4/100</f>
        <v>7.400000000000001E-2</v>
      </c>
      <c r="F29" s="6">
        <f>78.7/100</f>
        <v>0.78700000000000003</v>
      </c>
      <c r="G29" s="22">
        <f>0.7/100</f>
        <v>6.9999999999999993E-3</v>
      </c>
      <c r="H29" s="18">
        <f>351/100</f>
        <v>3.51</v>
      </c>
      <c r="I29" s="20">
        <f t="shared" si="0"/>
        <v>0</v>
      </c>
      <c r="J29" s="6">
        <f t="shared" si="0"/>
        <v>0</v>
      </c>
      <c r="K29" s="22">
        <f t="shared" si="0"/>
        <v>0</v>
      </c>
      <c r="L29" s="18">
        <f t="shared" si="1"/>
        <v>0</v>
      </c>
      <c r="M29" t="b">
        <v>0</v>
      </c>
    </row>
    <row r="30" spans="1:13" x14ac:dyDescent="0.25">
      <c r="A30" t="s">
        <v>55</v>
      </c>
      <c r="C30" s="28"/>
      <c r="E30" s="20">
        <f>19/100</f>
        <v>0.19</v>
      </c>
      <c r="F30" s="6">
        <f>61/100</f>
        <v>0.61</v>
      </c>
      <c r="G30" s="22">
        <f>6/100</f>
        <v>0.06</v>
      </c>
      <c r="H30" s="18">
        <f>364/100</f>
        <v>3.64</v>
      </c>
      <c r="I30" s="20">
        <f t="shared" si="0"/>
        <v>0</v>
      </c>
      <c r="J30" s="6">
        <f t="shared" si="0"/>
        <v>0</v>
      </c>
      <c r="K30" s="22">
        <f t="shared" si="0"/>
        <v>0</v>
      </c>
      <c r="L30" s="18">
        <f t="shared" si="1"/>
        <v>0</v>
      </c>
      <c r="M30" t="b">
        <v>0</v>
      </c>
    </row>
    <row r="31" spans="1:13" x14ac:dyDescent="0.25">
      <c r="A31" t="s">
        <v>60</v>
      </c>
      <c r="C31" s="28">
        <v>66</v>
      </c>
      <c r="E31" s="20">
        <f>7.5/100</f>
        <v>7.4999999999999997E-2</v>
      </c>
      <c r="F31" s="6">
        <f>78/100</f>
        <v>0.78</v>
      </c>
      <c r="G31" s="22">
        <f>0.6/100</f>
        <v>6.0000000000000001E-3</v>
      </c>
      <c r="H31" s="18">
        <f>347/100</f>
        <v>3.47</v>
      </c>
      <c r="I31" s="20">
        <f t="shared" si="0"/>
        <v>0</v>
      </c>
      <c r="J31" s="6">
        <f t="shared" si="0"/>
        <v>0</v>
      </c>
      <c r="K31" s="22">
        <f t="shared" si="0"/>
        <v>0</v>
      </c>
      <c r="L31" s="18">
        <f t="shared" si="1"/>
        <v>0</v>
      </c>
      <c r="M31" t="b">
        <v>0</v>
      </c>
    </row>
    <row r="32" spans="1:13" x14ac:dyDescent="0.25">
      <c r="A32" t="s">
        <v>63</v>
      </c>
      <c r="C32" s="28">
        <v>39</v>
      </c>
      <c r="E32" s="20">
        <f>1.4/100</f>
        <v>1.3999999999999999E-2</v>
      </c>
      <c r="F32" s="6">
        <f>9/100</f>
        <v>0.09</v>
      </c>
      <c r="G32" s="22">
        <f>0.2/100</f>
        <v>2E-3</v>
      </c>
      <c r="H32" s="18">
        <f>43/100</f>
        <v>0.43</v>
      </c>
      <c r="I32" s="20">
        <f t="shared" si="0"/>
        <v>0</v>
      </c>
      <c r="J32" s="6">
        <f t="shared" si="0"/>
        <v>0</v>
      </c>
      <c r="K32" s="22">
        <f t="shared" si="0"/>
        <v>0</v>
      </c>
      <c r="L32" s="18">
        <f t="shared" si="1"/>
        <v>0</v>
      </c>
      <c r="M32" t="b">
        <v>0</v>
      </c>
    </row>
    <row r="33" spans="1:16" x14ac:dyDescent="0.25">
      <c r="A33" t="s">
        <v>64</v>
      </c>
      <c r="C33" s="28">
        <v>10</v>
      </c>
      <c r="E33" s="20">
        <f>4.1/100</f>
        <v>4.0999999999999995E-2</v>
      </c>
      <c r="F33" s="6">
        <f>6.6/100</f>
        <v>6.6000000000000003E-2</v>
      </c>
      <c r="G33" s="22">
        <f>5/100</f>
        <v>0.05</v>
      </c>
      <c r="H33" s="18">
        <f>84/100</f>
        <v>0.84</v>
      </c>
      <c r="I33" s="20">
        <f t="shared" si="0"/>
        <v>0</v>
      </c>
      <c r="J33" s="6">
        <f t="shared" si="0"/>
        <v>0</v>
      </c>
      <c r="K33" s="22">
        <f t="shared" si="0"/>
        <v>0</v>
      </c>
      <c r="L33" s="18">
        <f t="shared" si="1"/>
        <v>0</v>
      </c>
      <c r="M33" t="b">
        <v>0</v>
      </c>
    </row>
    <row r="34" spans="1:16" x14ac:dyDescent="0.25">
      <c r="A34" t="s">
        <v>66</v>
      </c>
      <c r="C34" s="28">
        <v>70</v>
      </c>
      <c r="E34" s="20">
        <f>14.1/100</f>
        <v>0.14099999999999999</v>
      </c>
      <c r="F34" s="6">
        <f>68.9/100</f>
        <v>0.68900000000000006</v>
      </c>
      <c r="G34" s="22">
        <f>5.8/100</f>
        <v>5.7999999999999996E-2</v>
      </c>
      <c r="H34" s="18">
        <f>380/100</f>
        <v>3.8</v>
      </c>
      <c r="I34" s="20">
        <f t="shared" si="0"/>
        <v>0</v>
      </c>
      <c r="J34" s="6">
        <f t="shared" si="0"/>
        <v>0</v>
      </c>
      <c r="K34" s="22">
        <f t="shared" si="0"/>
        <v>0</v>
      </c>
      <c r="L34" s="18">
        <f t="shared" si="1"/>
        <v>0</v>
      </c>
      <c r="M34" t="b">
        <v>0</v>
      </c>
    </row>
    <row r="35" spans="1:16" x14ac:dyDescent="0.25">
      <c r="A35" t="s">
        <v>79</v>
      </c>
      <c r="E35" s="20"/>
      <c r="F35" s="6"/>
      <c r="G35" s="22"/>
      <c r="H35" s="18"/>
      <c r="I35" s="20">
        <f t="shared" ref="I35:K36" si="2">IF($M35=TRUE,E35*$C35,0)</f>
        <v>0</v>
      </c>
      <c r="J35" s="6">
        <f t="shared" si="2"/>
        <v>0</v>
      </c>
      <c r="K35" s="22">
        <f t="shared" si="2"/>
        <v>0</v>
      </c>
      <c r="L35" s="18">
        <f t="shared" si="1"/>
        <v>0</v>
      </c>
      <c r="M35" t="b">
        <v>0</v>
      </c>
      <c r="P35">
        <v>2.2046199999999998</v>
      </c>
    </row>
    <row r="36" spans="1:16" x14ac:dyDescent="0.25">
      <c r="A36" t="s">
        <v>81</v>
      </c>
      <c r="C36" s="2">
        <v>100</v>
      </c>
      <c r="E36" s="20">
        <f>1.4/100</f>
        <v>1.3999999999999999E-2</v>
      </c>
      <c r="F36" s="6">
        <f>7/100</f>
        <v>7.0000000000000007E-2</v>
      </c>
      <c r="G36" s="22">
        <f>0.2/100</f>
        <v>2E-3</v>
      </c>
      <c r="H36" s="18"/>
      <c r="I36" s="20">
        <f t="shared" si="2"/>
        <v>1.4</v>
      </c>
      <c r="J36" s="6">
        <f t="shared" si="2"/>
        <v>7.0000000000000009</v>
      </c>
      <c r="K36" s="22">
        <f t="shared" si="2"/>
        <v>0.2</v>
      </c>
      <c r="L36" s="18">
        <f t="shared" si="1"/>
        <v>0</v>
      </c>
      <c r="M36" t="b">
        <v>1</v>
      </c>
    </row>
    <row r="37" spans="1:16" x14ac:dyDescent="0.25">
      <c r="A37" t="s">
        <v>83</v>
      </c>
      <c r="C37" s="2">
        <v>1</v>
      </c>
      <c r="E37" s="20">
        <f>0.1</f>
        <v>0.1</v>
      </c>
      <c r="F37" s="6">
        <f>2.7</f>
        <v>2.7</v>
      </c>
      <c r="G37" s="22">
        <f>0</f>
        <v>0</v>
      </c>
      <c r="H37" s="18"/>
      <c r="I37" s="20">
        <f>IF($M37=TRUE,E37*$C37,0)</f>
        <v>0.1</v>
      </c>
      <c r="J37" s="6">
        <f>IF($M37=TRUE,F37*$C37,0)</f>
        <v>2.7</v>
      </c>
      <c r="K37" s="22">
        <f>IF($M37=TRUE,G37*$C37,0)</f>
        <v>0</v>
      </c>
      <c r="L37" s="18">
        <f>IF($M37=TRUE, H37*C37,0)</f>
        <v>0</v>
      </c>
      <c r="M37" t="b">
        <v>1</v>
      </c>
      <c r="N37" s="2" t="s">
        <v>68</v>
      </c>
    </row>
    <row r="38" spans="1:16" x14ac:dyDescent="0.25">
      <c r="A38" t="s">
        <v>84</v>
      </c>
      <c r="E38">
        <f>0.4/100</f>
        <v>4.0000000000000001E-3</v>
      </c>
      <c r="F38">
        <f>7/100</f>
        <v>7.0000000000000007E-2</v>
      </c>
      <c r="I38" s="50"/>
      <c r="J38" s="51"/>
      <c r="K38" s="52"/>
      <c r="L38" s="10"/>
      <c r="N38" s="2"/>
    </row>
    <row r="39" spans="1:16" x14ac:dyDescent="0.25">
      <c r="I39" s="50"/>
      <c r="J39" s="51"/>
      <c r="K39" s="52"/>
      <c r="L39" s="10"/>
      <c r="N39" s="2"/>
    </row>
    <row r="40" spans="1:16" x14ac:dyDescent="0.25">
      <c r="H40" t="s">
        <v>73</v>
      </c>
      <c r="I40" s="46">
        <f>SUM(I4:I37)</f>
        <v>147.34</v>
      </c>
      <c r="J40" s="47">
        <f>SUM(J4:J37)</f>
        <v>145.06</v>
      </c>
      <c r="K40" s="48">
        <f>SUM(K4:K37)</f>
        <v>45.045999999999999</v>
      </c>
      <c r="L40" t="s">
        <v>65</v>
      </c>
      <c r="N40" s="2">
        <v>67</v>
      </c>
    </row>
    <row r="41" spans="1:16" x14ac:dyDescent="0.25">
      <c r="I41" s="49">
        <f>I40-I43</f>
        <v>-37.296924999999987</v>
      </c>
      <c r="J41" s="49">
        <f>J40-J43</f>
        <v>-2.6495399999999734</v>
      </c>
      <c r="K41" s="49">
        <f>K40-K43</f>
        <v>5.1644241999999991</v>
      </c>
    </row>
    <row r="42" spans="1:16" x14ac:dyDescent="0.25">
      <c r="L42" s="4">
        <f>SUM(L4:L34)</f>
        <v>1602.6799999999998</v>
      </c>
    </row>
    <row r="43" spans="1:16" x14ac:dyDescent="0.25">
      <c r="H43" t="s">
        <v>70</v>
      </c>
      <c r="I43" s="43">
        <f>1.25 * $P$35 * $N$40</f>
        <v>184.63692499999999</v>
      </c>
      <c r="J43" s="44">
        <f>1 * $P$35 * $N$40</f>
        <v>147.70953999999998</v>
      </c>
      <c r="K43" s="45">
        <f>0.27 * $P$35 * $N$40</f>
        <v>39.8815758</v>
      </c>
      <c r="L43">
        <f>11.43*P35* N40</f>
        <v>1688.3200421999998</v>
      </c>
    </row>
    <row r="44" spans="1:16" x14ac:dyDescent="0.25">
      <c r="H44" t="s">
        <v>71</v>
      </c>
      <c r="I44" s="43">
        <f>1.15 * $P$35 * $N$40</f>
        <v>169.86597099999997</v>
      </c>
      <c r="J44" s="44">
        <f>1.25 * $P$35 * $N$40</f>
        <v>184.63692499999999</v>
      </c>
      <c r="K44" s="45">
        <f>0.35 * $P$35 * $N$40</f>
        <v>51.69833899999999</v>
      </c>
      <c r="L44">
        <f>11.43*P35* N40</f>
        <v>1688.3200421999998</v>
      </c>
    </row>
    <row r="45" spans="1:16" x14ac:dyDescent="0.25">
      <c r="H45" t="s">
        <v>72</v>
      </c>
      <c r="I45" s="43">
        <f>1.1 * $P$35 * $N$40</f>
        <v>162.48049400000002</v>
      </c>
      <c r="J45" s="44">
        <f>2 * $P$35 * $N$40</f>
        <v>295.41907999999995</v>
      </c>
      <c r="K45" s="45">
        <f>0.5* $P$35 * $N$40</f>
        <v>73.854769999999988</v>
      </c>
      <c r="L45">
        <f>11.43*P35* N40</f>
        <v>1688.3200421999998</v>
      </c>
    </row>
    <row r="46" spans="1:16" x14ac:dyDescent="0.25">
      <c r="A46" t="s">
        <v>77</v>
      </c>
      <c r="B46" t="s">
        <v>78</v>
      </c>
    </row>
    <row r="47" spans="1:16" x14ac:dyDescent="0.25">
      <c r="A47" t="s">
        <v>75</v>
      </c>
    </row>
    <row r="48" spans="1:16" x14ac:dyDescent="0.25">
      <c r="A48" t="s">
        <v>74</v>
      </c>
    </row>
    <row r="49" spans="1:1" x14ac:dyDescent="0.25">
      <c r="A49">
        <f>0.25*J43</f>
        <v>36.927384999999994</v>
      </c>
    </row>
    <row r="50" spans="1:1" x14ac:dyDescent="0.25">
      <c r="A50">
        <f>0.35*J43</f>
        <v>51.69833899999999</v>
      </c>
    </row>
    <row r="51" spans="1:1" x14ac:dyDescent="0.25">
      <c r="A51" t="s">
        <v>76</v>
      </c>
    </row>
  </sheetData>
  <conditionalFormatting sqref="I41">
    <cfRule type="colorScale" priority="3">
      <colorScale>
        <cfvo type="formula" val="-$I$43"/>
        <cfvo type="num" val="0"/>
        <cfvo type="num" val="20"/>
        <color rgb="FFFF8B8B"/>
        <color rgb="FF00B050"/>
        <color rgb="FFFF8B8B"/>
      </colorScale>
    </cfRule>
  </conditionalFormatting>
  <conditionalFormatting sqref="J41">
    <cfRule type="colorScale" priority="2">
      <colorScale>
        <cfvo type="formula" val="-$J$43"/>
        <cfvo type="percentile" val="0"/>
        <cfvo type="num" val="20"/>
        <color rgb="FFFF8B8B"/>
        <color rgb="FF00B050"/>
        <color rgb="FFFF8B8B"/>
      </colorScale>
    </cfRule>
  </conditionalFormatting>
  <conditionalFormatting sqref="K41">
    <cfRule type="colorScale" priority="1">
      <colorScale>
        <cfvo type="formula" val="-$K$43"/>
        <cfvo type="percentile" val="0"/>
        <cfvo type="num" val="20"/>
        <color rgb="FFFF8B8B"/>
        <color rgb="FF00B050"/>
        <color rgb="FFFF8B8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Case à cocher 1">
              <controlPr defaultSize="0" autoFill="0" autoLine="0" autoPict="0">
                <anchor moveWithCells="1">
                  <from>
                    <xdr:col>1</xdr:col>
                    <xdr:colOff>161925</xdr:colOff>
                    <xdr:row>3</xdr:row>
                    <xdr:rowOff>0</xdr:rowOff>
                  </from>
                  <to>
                    <xdr:col>1</xdr:col>
                    <xdr:colOff>342900</xdr:colOff>
                    <xdr:row>4</xdr:row>
                    <xdr:rowOff>0</xdr:rowOff>
                  </to>
                </anchor>
              </controlPr>
            </control>
          </mc:Choice>
        </mc:AlternateContent>
        <mc:AlternateContent xmlns:mc="http://schemas.openxmlformats.org/markup-compatibility/2006">
          <mc:Choice Requires="x14">
            <control shapeId="36866" r:id="rId5" name="Case à cocher 2">
              <controlPr defaultSize="0" autoFill="0" autoLine="0" autoPict="0">
                <anchor moveWithCells="1">
                  <from>
                    <xdr:col>1</xdr:col>
                    <xdr:colOff>152400</xdr:colOff>
                    <xdr:row>3</xdr:row>
                    <xdr:rowOff>9525</xdr:rowOff>
                  </from>
                  <to>
                    <xdr:col>1</xdr:col>
                    <xdr:colOff>333375</xdr:colOff>
                    <xdr:row>4</xdr:row>
                    <xdr:rowOff>9525</xdr:rowOff>
                  </to>
                </anchor>
              </controlPr>
            </control>
          </mc:Choice>
        </mc:AlternateContent>
        <mc:AlternateContent xmlns:mc="http://schemas.openxmlformats.org/markup-compatibility/2006">
          <mc:Choice Requires="x14">
            <control shapeId="36867" r:id="rId6" name="Case à cocher 4">
              <controlPr defaultSize="0" autoFill="0" autoLine="0" autoPict="0">
                <anchor moveWithCells="1">
                  <from>
                    <xdr:col>1</xdr:col>
                    <xdr:colOff>152400</xdr:colOff>
                    <xdr:row>7</xdr:row>
                    <xdr:rowOff>0</xdr:rowOff>
                  </from>
                  <to>
                    <xdr:col>1</xdr:col>
                    <xdr:colOff>333375</xdr:colOff>
                    <xdr:row>8</xdr:row>
                    <xdr:rowOff>0</xdr:rowOff>
                  </to>
                </anchor>
              </controlPr>
            </control>
          </mc:Choice>
        </mc:AlternateContent>
        <mc:AlternateContent xmlns:mc="http://schemas.openxmlformats.org/markup-compatibility/2006">
          <mc:Choice Requires="x14">
            <control shapeId="36868" r:id="rId7" name="Case à cocher 5">
              <controlPr defaultSize="0" autoFill="0" autoLine="0" autoPict="0">
                <anchor moveWithCells="1">
                  <from>
                    <xdr:col>1</xdr:col>
                    <xdr:colOff>152400</xdr:colOff>
                    <xdr:row>8</xdr:row>
                    <xdr:rowOff>9525</xdr:rowOff>
                  </from>
                  <to>
                    <xdr:col>1</xdr:col>
                    <xdr:colOff>333375</xdr:colOff>
                    <xdr:row>9</xdr:row>
                    <xdr:rowOff>9525</xdr:rowOff>
                  </to>
                </anchor>
              </controlPr>
            </control>
          </mc:Choice>
        </mc:AlternateContent>
        <mc:AlternateContent xmlns:mc="http://schemas.openxmlformats.org/markup-compatibility/2006">
          <mc:Choice Requires="x14">
            <control shapeId="36869" r:id="rId8" name="Case à cocher 6">
              <controlPr defaultSize="0" autoFill="0" autoLine="0" autoPict="0">
                <anchor moveWithCells="1">
                  <from>
                    <xdr:col>1</xdr:col>
                    <xdr:colOff>152400</xdr:colOff>
                    <xdr:row>28</xdr:row>
                    <xdr:rowOff>190500</xdr:rowOff>
                  </from>
                  <to>
                    <xdr:col>1</xdr:col>
                    <xdr:colOff>333375</xdr:colOff>
                    <xdr:row>30</xdr:row>
                    <xdr:rowOff>0</xdr:rowOff>
                  </to>
                </anchor>
              </controlPr>
            </control>
          </mc:Choice>
        </mc:AlternateContent>
        <mc:AlternateContent xmlns:mc="http://schemas.openxmlformats.org/markup-compatibility/2006">
          <mc:Choice Requires="x14">
            <control shapeId="36870" r:id="rId9" name="Case à cocher 7">
              <controlPr defaultSize="0" autoFill="0" autoLine="0" autoPict="0">
                <anchor moveWithCells="1">
                  <from>
                    <xdr:col>1</xdr:col>
                    <xdr:colOff>152400</xdr:colOff>
                    <xdr:row>14</xdr:row>
                    <xdr:rowOff>19050</xdr:rowOff>
                  </from>
                  <to>
                    <xdr:col>1</xdr:col>
                    <xdr:colOff>333375</xdr:colOff>
                    <xdr:row>15</xdr:row>
                    <xdr:rowOff>19050</xdr:rowOff>
                  </to>
                </anchor>
              </controlPr>
            </control>
          </mc:Choice>
        </mc:AlternateContent>
        <mc:AlternateContent xmlns:mc="http://schemas.openxmlformats.org/markup-compatibility/2006">
          <mc:Choice Requires="x14">
            <control shapeId="36871" r:id="rId10" name="Case à cocher 8">
              <controlPr defaultSize="0" autoFill="0" autoLine="0" autoPict="0">
                <anchor moveWithCells="1">
                  <from>
                    <xdr:col>1</xdr:col>
                    <xdr:colOff>152400</xdr:colOff>
                    <xdr:row>15</xdr:row>
                    <xdr:rowOff>9525</xdr:rowOff>
                  </from>
                  <to>
                    <xdr:col>1</xdr:col>
                    <xdr:colOff>333375</xdr:colOff>
                    <xdr:row>16</xdr:row>
                    <xdr:rowOff>9525</xdr:rowOff>
                  </to>
                </anchor>
              </controlPr>
            </control>
          </mc:Choice>
        </mc:AlternateContent>
        <mc:AlternateContent xmlns:mc="http://schemas.openxmlformats.org/markup-compatibility/2006">
          <mc:Choice Requires="x14">
            <control shapeId="36872" r:id="rId11" name="Case à cocher 9">
              <controlPr defaultSize="0" autoFill="0" autoLine="0" autoPict="0">
                <anchor moveWithCells="1">
                  <from>
                    <xdr:col>1</xdr:col>
                    <xdr:colOff>152400</xdr:colOff>
                    <xdr:row>16</xdr:row>
                    <xdr:rowOff>9525</xdr:rowOff>
                  </from>
                  <to>
                    <xdr:col>1</xdr:col>
                    <xdr:colOff>333375</xdr:colOff>
                    <xdr:row>17</xdr:row>
                    <xdr:rowOff>9525</xdr:rowOff>
                  </to>
                </anchor>
              </controlPr>
            </control>
          </mc:Choice>
        </mc:AlternateContent>
        <mc:AlternateContent xmlns:mc="http://schemas.openxmlformats.org/markup-compatibility/2006">
          <mc:Choice Requires="x14">
            <control shapeId="36873" r:id="rId12" name="Case à cocher 10">
              <controlPr defaultSize="0" autoFill="0" autoLine="0" autoPict="0">
                <anchor moveWithCells="1">
                  <from>
                    <xdr:col>1</xdr:col>
                    <xdr:colOff>152400</xdr:colOff>
                    <xdr:row>16</xdr:row>
                    <xdr:rowOff>171450</xdr:rowOff>
                  </from>
                  <to>
                    <xdr:col>1</xdr:col>
                    <xdr:colOff>333375</xdr:colOff>
                    <xdr:row>17</xdr:row>
                    <xdr:rowOff>171450</xdr:rowOff>
                  </to>
                </anchor>
              </controlPr>
            </control>
          </mc:Choice>
        </mc:AlternateContent>
        <mc:AlternateContent xmlns:mc="http://schemas.openxmlformats.org/markup-compatibility/2006">
          <mc:Choice Requires="x14">
            <control shapeId="36874" r:id="rId13" name="Case à cocher 11">
              <controlPr defaultSize="0" autoFill="0" autoLine="0" autoPict="0">
                <anchor moveWithCells="1">
                  <from>
                    <xdr:col>1</xdr:col>
                    <xdr:colOff>152400</xdr:colOff>
                    <xdr:row>17</xdr:row>
                    <xdr:rowOff>171450</xdr:rowOff>
                  </from>
                  <to>
                    <xdr:col>1</xdr:col>
                    <xdr:colOff>333375</xdr:colOff>
                    <xdr:row>18</xdr:row>
                    <xdr:rowOff>171450</xdr:rowOff>
                  </to>
                </anchor>
              </controlPr>
            </control>
          </mc:Choice>
        </mc:AlternateContent>
        <mc:AlternateContent xmlns:mc="http://schemas.openxmlformats.org/markup-compatibility/2006">
          <mc:Choice Requires="x14">
            <control shapeId="36875" r:id="rId14" name="Check Box 11">
              <controlPr defaultSize="0" autoFill="0" autoLine="0" autoPict="0">
                <anchor moveWithCells="1">
                  <from>
                    <xdr:col>1</xdr:col>
                    <xdr:colOff>152400</xdr:colOff>
                    <xdr:row>19</xdr:row>
                    <xdr:rowOff>180975</xdr:rowOff>
                  </from>
                  <to>
                    <xdr:col>1</xdr:col>
                    <xdr:colOff>333375</xdr:colOff>
                    <xdr:row>20</xdr:row>
                    <xdr:rowOff>180975</xdr:rowOff>
                  </to>
                </anchor>
              </controlPr>
            </control>
          </mc:Choice>
        </mc:AlternateContent>
        <mc:AlternateContent xmlns:mc="http://schemas.openxmlformats.org/markup-compatibility/2006">
          <mc:Choice Requires="x14">
            <control shapeId="36876" r:id="rId15" name="Check Box 13">
              <controlPr defaultSize="0" autoFill="0" autoLine="0" autoPict="0">
                <anchor moveWithCells="1">
                  <from>
                    <xdr:col>1</xdr:col>
                    <xdr:colOff>152400</xdr:colOff>
                    <xdr:row>10</xdr:row>
                    <xdr:rowOff>180975</xdr:rowOff>
                  </from>
                  <to>
                    <xdr:col>1</xdr:col>
                    <xdr:colOff>333375</xdr:colOff>
                    <xdr:row>12</xdr:row>
                    <xdr:rowOff>0</xdr:rowOff>
                  </to>
                </anchor>
              </controlPr>
            </control>
          </mc:Choice>
        </mc:AlternateContent>
        <mc:AlternateContent xmlns:mc="http://schemas.openxmlformats.org/markup-compatibility/2006">
          <mc:Choice Requires="x14">
            <control shapeId="36877" r:id="rId16" name="Check Box 14">
              <controlPr defaultSize="0" autoFill="0" autoLine="0" autoPict="0">
                <anchor moveWithCells="1">
                  <from>
                    <xdr:col>1</xdr:col>
                    <xdr:colOff>152400</xdr:colOff>
                    <xdr:row>20</xdr:row>
                    <xdr:rowOff>180975</xdr:rowOff>
                  </from>
                  <to>
                    <xdr:col>1</xdr:col>
                    <xdr:colOff>333375</xdr:colOff>
                    <xdr:row>22</xdr:row>
                    <xdr:rowOff>0</xdr:rowOff>
                  </to>
                </anchor>
              </controlPr>
            </control>
          </mc:Choice>
        </mc:AlternateContent>
        <mc:AlternateContent xmlns:mc="http://schemas.openxmlformats.org/markup-compatibility/2006">
          <mc:Choice Requires="x14">
            <control shapeId="36878" r:id="rId17" name="Check Box 15">
              <controlPr defaultSize="0" autoFill="0" autoLine="0" autoPict="0">
                <anchor moveWithCells="1">
                  <from>
                    <xdr:col>1</xdr:col>
                    <xdr:colOff>152400</xdr:colOff>
                    <xdr:row>6</xdr:row>
                    <xdr:rowOff>0</xdr:rowOff>
                  </from>
                  <to>
                    <xdr:col>1</xdr:col>
                    <xdr:colOff>333375</xdr:colOff>
                    <xdr:row>7</xdr:row>
                    <xdr:rowOff>0</xdr:rowOff>
                  </to>
                </anchor>
              </controlPr>
            </control>
          </mc:Choice>
        </mc:AlternateContent>
        <mc:AlternateContent xmlns:mc="http://schemas.openxmlformats.org/markup-compatibility/2006">
          <mc:Choice Requires="x14">
            <control shapeId="36879" r:id="rId18" name="Check Box 16">
              <controlPr defaultSize="0" autoFill="0" autoLine="0" autoPict="0">
                <anchor moveWithCells="1">
                  <from>
                    <xdr:col>1</xdr:col>
                    <xdr:colOff>152400</xdr:colOff>
                    <xdr:row>22</xdr:row>
                    <xdr:rowOff>0</xdr:rowOff>
                  </from>
                  <to>
                    <xdr:col>1</xdr:col>
                    <xdr:colOff>333375</xdr:colOff>
                    <xdr:row>23</xdr:row>
                    <xdr:rowOff>9525</xdr:rowOff>
                  </to>
                </anchor>
              </controlPr>
            </control>
          </mc:Choice>
        </mc:AlternateContent>
        <mc:AlternateContent xmlns:mc="http://schemas.openxmlformats.org/markup-compatibility/2006">
          <mc:Choice Requires="x14">
            <control shapeId="36880" r:id="rId19" name="Check Box 17">
              <controlPr defaultSize="0" autoFill="0" autoLine="0" autoPict="0">
                <anchor moveWithCells="1">
                  <from>
                    <xdr:col>1</xdr:col>
                    <xdr:colOff>152400</xdr:colOff>
                    <xdr:row>22</xdr:row>
                    <xdr:rowOff>180975</xdr:rowOff>
                  </from>
                  <to>
                    <xdr:col>1</xdr:col>
                    <xdr:colOff>333375</xdr:colOff>
                    <xdr:row>24</xdr:row>
                    <xdr:rowOff>0</xdr:rowOff>
                  </to>
                </anchor>
              </controlPr>
            </control>
          </mc:Choice>
        </mc:AlternateContent>
        <mc:AlternateContent xmlns:mc="http://schemas.openxmlformats.org/markup-compatibility/2006">
          <mc:Choice Requires="x14">
            <control shapeId="36881" r:id="rId20" name="Check Box 18">
              <controlPr defaultSize="0" autoFill="0" autoLine="0" autoPict="0">
                <anchor moveWithCells="1">
                  <from>
                    <xdr:col>1</xdr:col>
                    <xdr:colOff>152400</xdr:colOff>
                    <xdr:row>24</xdr:row>
                    <xdr:rowOff>0</xdr:rowOff>
                  </from>
                  <to>
                    <xdr:col>1</xdr:col>
                    <xdr:colOff>333375</xdr:colOff>
                    <xdr:row>25</xdr:row>
                    <xdr:rowOff>0</xdr:rowOff>
                  </to>
                </anchor>
              </controlPr>
            </control>
          </mc:Choice>
        </mc:AlternateContent>
        <mc:AlternateContent xmlns:mc="http://schemas.openxmlformats.org/markup-compatibility/2006">
          <mc:Choice Requires="x14">
            <control shapeId="36882" r:id="rId21" name="Check Box 19">
              <controlPr defaultSize="0" autoFill="0" autoLine="0" autoPict="0">
                <anchor moveWithCells="1">
                  <from>
                    <xdr:col>1</xdr:col>
                    <xdr:colOff>152400</xdr:colOff>
                    <xdr:row>25</xdr:row>
                    <xdr:rowOff>0</xdr:rowOff>
                  </from>
                  <to>
                    <xdr:col>1</xdr:col>
                    <xdr:colOff>333375</xdr:colOff>
                    <xdr:row>26</xdr:row>
                    <xdr:rowOff>0</xdr:rowOff>
                  </to>
                </anchor>
              </controlPr>
            </control>
          </mc:Choice>
        </mc:AlternateContent>
        <mc:AlternateContent xmlns:mc="http://schemas.openxmlformats.org/markup-compatibility/2006">
          <mc:Choice Requires="x14">
            <control shapeId="36883" r:id="rId22" name="Check Box 20">
              <controlPr defaultSize="0" autoFill="0" autoLine="0" autoPict="0">
                <anchor moveWithCells="1">
                  <from>
                    <xdr:col>1</xdr:col>
                    <xdr:colOff>152400</xdr:colOff>
                    <xdr:row>26</xdr:row>
                    <xdr:rowOff>9525</xdr:rowOff>
                  </from>
                  <to>
                    <xdr:col>1</xdr:col>
                    <xdr:colOff>333375</xdr:colOff>
                    <xdr:row>27</xdr:row>
                    <xdr:rowOff>9525</xdr:rowOff>
                  </to>
                </anchor>
              </controlPr>
            </control>
          </mc:Choice>
        </mc:AlternateContent>
        <mc:AlternateContent xmlns:mc="http://schemas.openxmlformats.org/markup-compatibility/2006">
          <mc:Choice Requires="x14">
            <control shapeId="36884" r:id="rId23" name="Check Box 21">
              <controlPr defaultSize="0" autoFill="0" autoLine="0" autoPict="0">
                <anchor moveWithCells="1">
                  <from>
                    <xdr:col>1</xdr:col>
                    <xdr:colOff>152400</xdr:colOff>
                    <xdr:row>27</xdr:row>
                    <xdr:rowOff>9525</xdr:rowOff>
                  </from>
                  <to>
                    <xdr:col>1</xdr:col>
                    <xdr:colOff>333375</xdr:colOff>
                    <xdr:row>28</xdr:row>
                    <xdr:rowOff>9525</xdr:rowOff>
                  </to>
                </anchor>
              </controlPr>
            </control>
          </mc:Choice>
        </mc:AlternateContent>
        <mc:AlternateContent xmlns:mc="http://schemas.openxmlformats.org/markup-compatibility/2006">
          <mc:Choice Requires="x14">
            <control shapeId="36885" r:id="rId24" name="Check Box 21">
              <controlPr defaultSize="0" autoFill="0" autoLine="0" autoPict="0">
                <anchor moveWithCells="1">
                  <from>
                    <xdr:col>1</xdr:col>
                    <xdr:colOff>152400</xdr:colOff>
                    <xdr:row>27</xdr:row>
                    <xdr:rowOff>180975</xdr:rowOff>
                  </from>
                  <to>
                    <xdr:col>1</xdr:col>
                    <xdr:colOff>333375</xdr:colOff>
                    <xdr:row>28</xdr:row>
                    <xdr:rowOff>180975</xdr:rowOff>
                  </to>
                </anchor>
              </controlPr>
            </control>
          </mc:Choice>
        </mc:AlternateContent>
        <mc:AlternateContent xmlns:mc="http://schemas.openxmlformats.org/markup-compatibility/2006">
          <mc:Choice Requires="x14">
            <control shapeId="36886" r:id="rId25" name="Check Box 22">
              <controlPr defaultSize="0" autoFill="0" autoLine="0" autoPict="0">
                <anchor moveWithCells="1">
                  <from>
                    <xdr:col>1</xdr:col>
                    <xdr:colOff>152400</xdr:colOff>
                    <xdr:row>4</xdr:row>
                    <xdr:rowOff>0</xdr:rowOff>
                  </from>
                  <to>
                    <xdr:col>1</xdr:col>
                    <xdr:colOff>333375</xdr:colOff>
                    <xdr:row>5</xdr:row>
                    <xdr:rowOff>0</xdr:rowOff>
                  </to>
                </anchor>
              </controlPr>
            </control>
          </mc:Choice>
        </mc:AlternateContent>
        <mc:AlternateContent xmlns:mc="http://schemas.openxmlformats.org/markup-compatibility/2006">
          <mc:Choice Requires="x14">
            <control shapeId="36887" r:id="rId26" name="Check Box 23">
              <controlPr defaultSize="0" autoFill="0" autoLine="0" autoPict="0">
                <anchor moveWithCells="1">
                  <from>
                    <xdr:col>1</xdr:col>
                    <xdr:colOff>152400</xdr:colOff>
                    <xdr:row>18</xdr:row>
                    <xdr:rowOff>180975</xdr:rowOff>
                  </from>
                  <to>
                    <xdr:col>1</xdr:col>
                    <xdr:colOff>333375</xdr:colOff>
                    <xdr:row>19</xdr:row>
                    <xdr:rowOff>180975</xdr:rowOff>
                  </to>
                </anchor>
              </controlPr>
            </control>
          </mc:Choice>
        </mc:AlternateContent>
        <mc:AlternateContent xmlns:mc="http://schemas.openxmlformats.org/markup-compatibility/2006">
          <mc:Choice Requires="x14">
            <control shapeId="36888" r:id="rId27" name="Check Box 24">
              <controlPr defaultSize="0" autoFill="0" autoLine="0" autoPict="0">
                <anchor moveWithCells="1">
                  <from>
                    <xdr:col>1</xdr:col>
                    <xdr:colOff>152400</xdr:colOff>
                    <xdr:row>9</xdr:row>
                    <xdr:rowOff>152400</xdr:rowOff>
                  </from>
                  <to>
                    <xdr:col>1</xdr:col>
                    <xdr:colOff>333375</xdr:colOff>
                    <xdr:row>10</xdr:row>
                    <xdr:rowOff>152400</xdr:rowOff>
                  </to>
                </anchor>
              </controlPr>
            </control>
          </mc:Choice>
        </mc:AlternateContent>
        <mc:AlternateContent xmlns:mc="http://schemas.openxmlformats.org/markup-compatibility/2006">
          <mc:Choice Requires="x14">
            <control shapeId="36889" r:id="rId28" name="Check Box 25">
              <controlPr defaultSize="0" autoFill="0" autoLine="0" autoPict="0">
                <anchor moveWithCells="1">
                  <from>
                    <xdr:col>1</xdr:col>
                    <xdr:colOff>152400</xdr:colOff>
                    <xdr:row>30</xdr:row>
                    <xdr:rowOff>0</xdr:rowOff>
                  </from>
                  <to>
                    <xdr:col>1</xdr:col>
                    <xdr:colOff>333375</xdr:colOff>
                    <xdr:row>31</xdr:row>
                    <xdr:rowOff>0</xdr:rowOff>
                  </to>
                </anchor>
              </controlPr>
            </control>
          </mc:Choice>
        </mc:AlternateContent>
        <mc:AlternateContent xmlns:mc="http://schemas.openxmlformats.org/markup-compatibility/2006">
          <mc:Choice Requires="x14">
            <control shapeId="36890" r:id="rId29" name="Check Box 26">
              <controlPr defaultSize="0" autoFill="0" autoLine="0" autoPict="0">
                <anchor moveWithCells="1">
                  <from>
                    <xdr:col>1</xdr:col>
                    <xdr:colOff>152400</xdr:colOff>
                    <xdr:row>31</xdr:row>
                    <xdr:rowOff>0</xdr:rowOff>
                  </from>
                  <to>
                    <xdr:col>1</xdr:col>
                    <xdr:colOff>333375</xdr:colOff>
                    <xdr:row>32</xdr:row>
                    <xdr:rowOff>0</xdr:rowOff>
                  </to>
                </anchor>
              </controlPr>
            </control>
          </mc:Choice>
        </mc:AlternateContent>
        <mc:AlternateContent xmlns:mc="http://schemas.openxmlformats.org/markup-compatibility/2006">
          <mc:Choice Requires="x14">
            <control shapeId="36891" r:id="rId30" name="Check Box 27">
              <controlPr defaultSize="0" autoFill="0" autoLine="0" autoPict="0">
                <anchor moveWithCells="1">
                  <from>
                    <xdr:col>1</xdr:col>
                    <xdr:colOff>152400</xdr:colOff>
                    <xdr:row>32</xdr:row>
                    <xdr:rowOff>0</xdr:rowOff>
                  </from>
                  <to>
                    <xdr:col>1</xdr:col>
                    <xdr:colOff>333375</xdr:colOff>
                    <xdr:row>33</xdr:row>
                    <xdr:rowOff>0</xdr:rowOff>
                  </to>
                </anchor>
              </controlPr>
            </control>
          </mc:Choice>
        </mc:AlternateContent>
        <mc:AlternateContent xmlns:mc="http://schemas.openxmlformats.org/markup-compatibility/2006">
          <mc:Choice Requires="x14">
            <control shapeId="36892" r:id="rId31" name="Check Box 28">
              <controlPr defaultSize="0" autoFill="0" autoLine="0" autoPict="0">
                <anchor moveWithCells="1">
                  <from>
                    <xdr:col>1</xdr:col>
                    <xdr:colOff>152400</xdr:colOff>
                    <xdr:row>32</xdr:row>
                    <xdr:rowOff>171450</xdr:rowOff>
                  </from>
                  <to>
                    <xdr:col>1</xdr:col>
                    <xdr:colOff>333375</xdr:colOff>
                    <xdr:row>33</xdr:row>
                    <xdr:rowOff>171450</xdr:rowOff>
                  </to>
                </anchor>
              </controlPr>
            </control>
          </mc:Choice>
        </mc:AlternateContent>
        <mc:AlternateContent xmlns:mc="http://schemas.openxmlformats.org/markup-compatibility/2006">
          <mc:Choice Requires="x14">
            <control shapeId="36893" r:id="rId32" name="Check Box 29">
              <controlPr defaultSize="0" autoFill="0" autoLine="0" autoPict="0">
                <anchor moveWithCells="1">
                  <from>
                    <xdr:col>1</xdr:col>
                    <xdr:colOff>152400</xdr:colOff>
                    <xdr:row>5</xdr:row>
                    <xdr:rowOff>0</xdr:rowOff>
                  </from>
                  <to>
                    <xdr:col>1</xdr:col>
                    <xdr:colOff>333375</xdr:colOff>
                    <xdr:row>6</xdr:row>
                    <xdr:rowOff>0</xdr:rowOff>
                  </to>
                </anchor>
              </controlPr>
            </control>
          </mc:Choice>
        </mc:AlternateContent>
        <mc:AlternateContent xmlns:mc="http://schemas.openxmlformats.org/markup-compatibility/2006">
          <mc:Choice Requires="x14">
            <control shapeId="36894" r:id="rId33" name="Check Box 30">
              <controlPr defaultSize="0" autoFill="0" autoLine="0" autoPict="0">
                <anchor moveWithCells="1">
                  <from>
                    <xdr:col>1</xdr:col>
                    <xdr:colOff>152400</xdr:colOff>
                    <xdr:row>8</xdr:row>
                    <xdr:rowOff>180975</xdr:rowOff>
                  </from>
                  <to>
                    <xdr:col>1</xdr:col>
                    <xdr:colOff>333375</xdr:colOff>
                    <xdr:row>9</xdr:row>
                    <xdr:rowOff>180975</xdr:rowOff>
                  </to>
                </anchor>
              </controlPr>
            </control>
          </mc:Choice>
        </mc:AlternateContent>
        <mc:AlternateContent xmlns:mc="http://schemas.openxmlformats.org/markup-compatibility/2006">
          <mc:Choice Requires="x14">
            <control shapeId="36895" r:id="rId34" name="Check Box 31">
              <controlPr defaultSize="0" autoFill="0" autoLine="0" autoPict="0">
                <anchor moveWithCells="1">
                  <from>
                    <xdr:col>1</xdr:col>
                    <xdr:colOff>152400</xdr:colOff>
                    <xdr:row>11</xdr:row>
                    <xdr:rowOff>171450</xdr:rowOff>
                  </from>
                  <to>
                    <xdr:col>1</xdr:col>
                    <xdr:colOff>333375</xdr:colOff>
                    <xdr:row>12</xdr:row>
                    <xdr:rowOff>180975</xdr:rowOff>
                  </to>
                </anchor>
              </controlPr>
            </control>
          </mc:Choice>
        </mc:AlternateContent>
        <mc:AlternateContent xmlns:mc="http://schemas.openxmlformats.org/markup-compatibility/2006">
          <mc:Choice Requires="x14">
            <control shapeId="36896" r:id="rId35" name="Check Box 32">
              <controlPr defaultSize="0" autoFill="0" autoLine="0" autoPict="0">
                <anchor moveWithCells="1">
                  <from>
                    <xdr:col>1</xdr:col>
                    <xdr:colOff>152400</xdr:colOff>
                    <xdr:row>33</xdr:row>
                    <xdr:rowOff>180975</xdr:rowOff>
                  </from>
                  <to>
                    <xdr:col>1</xdr:col>
                    <xdr:colOff>333375</xdr:colOff>
                    <xdr:row>34</xdr:row>
                    <xdr:rowOff>180975</xdr:rowOff>
                  </to>
                </anchor>
              </controlPr>
            </control>
          </mc:Choice>
        </mc:AlternateContent>
        <mc:AlternateContent xmlns:mc="http://schemas.openxmlformats.org/markup-compatibility/2006">
          <mc:Choice Requires="x14">
            <control shapeId="36897" r:id="rId36" name="Check Box 33">
              <controlPr defaultSize="0" autoFill="0" autoLine="0" autoPict="0">
                <anchor moveWithCells="1">
                  <from>
                    <xdr:col>1</xdr:col>
                    <xdr:colOff>152400</xdr:colOff>
                    <xdr:row>34</xdr:row>
                    <xdr:rowOff>180975</xdr:rowOff>
                  </from>
                  <to>
                    <xdr:col>1</xdr:col>
                    <xdr:colOff>333375</xdr:colOff>
                    <xdr:row>35</xdr:row>
                    <xdr:rowOff>180975</xdr:rowOff>
                  </to>
                </anchor>
              </controlPr>
            </control>
          </mc:Choice>
        </mc:AlternateContent>
        <mc:AlternateContent xmlns:mc="http://schemas.openxmlformats.org/markup-compatibility/2006">
          <mc:Choice Requires="x14">
            <control shapeId="36898" r:id="rId37" name="Check Box 34">
              <controlPr defaultSize="0" autoFill="0" autoLine="0" autoPict="0">
                <anchor moveWithCells="1">
                  <from>
                    <xdr:col>1</xdr:col>
                    <xdr:colOff>152400</xdr:colOff>
                    <xdr:row>12</xdr:row>
                    <xdr:rowOff>161925</xdr:rowOff>
                  </from>
                  <to>
                    <xdr:col>1</xdr:col>
                    <xdr:colOff>333375</xdr:colOff>
                    <xdr:row>13</xdr:row>
                    <xdr:rowOff>171450</xdr:rowOff>
                  </to>
                </anchor>
              </controlPr>
            </control>
          </mc:Choice>
        </mc:AlternateContent>
        <mc:AlternateContent xmlns:mc="http://schemas.openxmlformats.org/markup-compatibility/2006">
          <mc:Choice Requires="x14">
            <control shapeId="36899" r:id="rId38" name="Check Box 35">
              <controlPr defaultSize="0" autoFill="0" autoLine="0" autoPict="0">
                <anchor moveWithCells="1">
                  <from>
                    <xdr:col>1</xdr:col>
                    <xdr:colOff>142875</xdr:colOff>
                    <xdr:row>35</xdr:row>
                    <xdr:rowOff>180975</xdr:rowOff>
                  </from>
                  <to>
                    <xdr:col>1</xdr:col>
                    <xdr:colOff>323850</xdr:colOff>
                    <xdr:row>36</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8"/>
  <dimension ref="A3:P51"/>
  <sheetViews>
    <sheetView zoomScale="85" zoomScaleNormal="85" workbookViewId="0">
      <selection activeCell="C26" sqref="C26"/>
    </sheetView>
  </sheetViews>
  <sheetFormatPr defaultColWidth="11.42578125" defaultRowHeight="15" x14ac:dyDescent="0.25"/>
  <cols>
    <col min="1" max="1" width="18.5703125" customWidth="1"/>
    <col min="2" max="2" width="5.85546875" customWidth="1"/>
    <col min="3" max="3" width="11.42578125" style="2"/>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6" x14ac:dyDescent="0.25">
      <c r="C3" s="3" t="s">
        <v>1</v>
      </c>
      <c r="D3" s="3" t="s">
        <v>24</v>
      </c>
      <c r="E3" s="19" t="s">
        <v>16</v>
      </c>
      <c r="F3" s="16" t="s">
        <v>15</v>
      </c>
      <c r="G3" s="21" t="s">
        <v>14</v>
      </c>
      <c r="H3" s="17" t="s">
        <v>0</v>
      </c>
      <c r="I3" s="19" t="s">
        <v>29</v>
      </c>
      <c r="J3" s="16" t="s">
        <v>30</v>
      </c>
      <c r="K3" s="21" t="s">
        <v>14</v>
      </c>
      <c r="L3" s="17" t="s">
        <v>31</v>
      </c>
    </row>
    <row r="4" spans="1:16" x14ac:dyDescent="0.25">
      <c r="A4" s="32" t="s">
        <v>3</v>
      </c>
      <c r="B4" s="32"/>
      <c r="C4" s="33">
        <f>60</f>
        <v>60</v>
      </c>
      <c r="E4" s="20">
        <f>12/100</f>
        <v>0.12</v>
      </c>
      <c r="F4" s="6">
        <f>60/100</f>
        <v>0.6</v>
      </c>
      <c r="G4" s="22">
        <f>7.1/100</f>
        <v>7.0999999999999994E-2</v>
      </c>
      <c r="H4" s="18">
        <f>371/100</f>
        <v>3.71</v>
      </c>
      <c r="I4" s="20">
        <f t="shared" ref="I4:K34" si="0">IF($M4=TRUE,E4*$C4,0)</f>
        <v>7.1999999999999993</v>
      </c>
      <c r="J4" s="6">
        <f t="shared" si="0"/>
        <v>36</v>
      </c>
      <c r="K4" s="22">
        <f t="shared" si="0"/>
        <v>4.26</v>
      </c>
      <c r="L4" s="18">
        <f t="shared" ref="L4:L37" si="1">IF($M4=TRUE, H4*C4,0)</f>
        <v>222.6</v>
      </c>
      <c r="M4" t="b">
        <v>1</v>
      </c>
    </row>
    <row r="5" spans="1:16" x14ac:dyDescent="0.25">
      <c r="A5" s="34" t="s">
        <v>33</v>
      </c>
      <c r="B5" s="32"/>
      <c r="C5" s="33">
        <f>180</f>
        <v>180</v>
      </c>
      <c r="E5" s="20">
        <f>11/100</f>
        <v>0.11</v>
      </c>
      <c r="F5" s="6">
        <f>0.7/100</f>
        <v>6.9999999999999993E-3</v>
      </c>
      <c r="G5" s="22">
        <f>0.2/100</f>
        <v>2E-3</v>
      </c>
      <c r="H5" s="18">
        <f>52/100</f>
        <v>0.52</v>
      </c>
      <c r="I5" s="20">
        <f t="shared" si="0"/>
        <v>19.8</v>
      </c>
      <c r="J5" s="6">
        <f t="shared" si="0"/>
        <v>1.2599999999999998</v>
      </c>
      <c r="K5" s="22">
        <f t="shared" si="0"/>
        <v>0.36</v>
      </c>
      <c r="L5" s="18">
        <f>IF($M5=TRUE, H5*C5,0)</f>
        <v>93.600000000000009</v>
      </c>
      <c r="M5" t="b">
        <v>1</v>
      </c>
    </row>
    <row r="6" spans="1:16" x14ac:dyDescent="0.25">
      <c r="A6" s="34" t="s">
        <v>67</v>
      </c>
      <c r="B6" s="32"/>
      <c r="C6" s="33">
        <f>30</f>
        <v>30</v>
      </c>
      <c r="E6" s="20">
        <f>2.4/100</f>
        <v>2.4E-2</v>
      </c>
      <c r="F6" s="6">
        <v>0</v>
      </c>
      <c r="G6" s="22">
        <f>27/100</f>
        <v>0.27</v>
      </c>
      <c r="H6" s="18">
        <f>350/100</f>
        <v>3.5</v>
      </c>
      <c r="I6" s="20">
        <f t="shared" si="0"/>
        <v>0.72</v>
      </c>
      <c r="J6" s="6">
        <f t="shared" si="0"/>
        <v>0</v>
      </c>
      <c r="K6" s="22">
        <f t="shared" si="0"/>
        <v>8.1000000000000014</v>
      </c>
      <c r="L6" s="18">
        <f>IF($M6=TRUE, H6*C6,0)</f>
        <v>105</v>
      </c>
      <c r="M6" t="b">
        <v>1</v>
      </c>
      <c r="P6">
        <v>1</v>
      </c>
    </row>
    <row r="7" spans="1:16" x14ac:dyDescent="0.25">
      <c r="A7" s="32" t="s">
        <v>18</v>
      </c>
      <c r="B7" s="32"/>
      <c r="C7" s="33">
        <f>270</f>
        <v>270</v>
      </c>
      <c r="E7" s="20">
        <f>3.2/100</f>
        <v>3.2000000000000001E-2</v>
      </c>
      <c r="F7" s="6">
        <f>4.8/100</f>
        <v>4.8000000000000001E-2</v>
      </c>
      <c r="G7" s="22">
        <f>1.6/100</f>
        <v>1.6E-2</v>
      </c>
      <c r="H7" s="18">
        <f>46/100</f>
        <v>0.46</v>
      </c>
      <c r="I7" s="20">
        <f t="shared" si="0"/>
        <v>8.64</v>
      </c>
      <c r="J7" s="6">
        <f t="shared" si="0"/>
        <v>12.96</v>
      </c>
      <c r="K7" s="22">
        <f t="shared" si="0"/>
        <v>4.32</v>
      </c>
      <c r="L7" s="18">
        <f>IF($M7=TRUE, H7*C7,0)</f>
        <v>124.2</v>
      </c>
      <c r="M7" t="b">
        <v>1</v>
      </c>
    </row>
    <row r="8" spans="1:16" x14ac:dyDescent="0.25">
      <c r="A8" s="36" t="s">
        <v>5</v>
      </c>
      <c r="B8" s="36"/>
      <c r="C8" s="38">
        <f>140</f>
        <v>140</v>
      </c>
      <c r="E8" s="20">
        <f>20.7/100</f>
        <v>0.20699999999999999</v>
      </c>
      <c r="F8" s="6">
        <f>2.2/100</f>
        <v>2.2000000000000002E-2</v>
      </c>
      <c r="G8" s="22">
        <f>0.9/100</f>
        <v>9.0000000000000011E-3</v>
      </c>
      <c r="H8" s="18">
        <f>94/100</f>
        <v>0.94</v>
      </c>
      <c r="I8" s="20">
        <f t="shared" si="0"/>
        <v>28.979999999999997</v>
      </c>
      <c r="J8" s="6">
        <f t="shared" si="0"/>
        <v>3.0800000000000005</v>
      </c>
      <c r="K8" s="22">
        <f t="shared" si="0"/>
        <v>1.2600000000000002</v>
      </c>
      <c r="L8" s="18">
        <f t="shared" si="1"/>
        <v>131.6</v>
      </c>
      <c r="M8" t="b">
        <v>1</v>
      </c>
    </row>
    <row r="9" spans="1:16" x14ac:dyDescent="0.25">
      <c r="A9" s="36" t="s">
        <v>6</v>
      </c>
      <c r="B9" s="36"/>
      <c r="C9" s="38">
        <f>256/2</f>
        <v>128</v>
      </c>
      <c r="E9" s="20">
        <f>20/100</f>
        <v>0.2</v>
      </c>
      <c r="F9" s="6">
        <f>0.2/100</f>
        <v>2E-3</v>
      </c>
      <c r="G9" s="22">
        <f>5/100</f>
        <v>0.05</v>
      </c>
      <c r="H9" s="18">
        <f>126/100</f>
        <v>1.26</v>
      </c>
      <c r="I9" s="20">
        <f t="shared" si="0"/>
        <v>0</v>
      </c>
      <c r="J9" s="6">
        <f t="shared" si="0"/>
        <v>0</v>
      </c>
      <c r="K9" s="22">
        <f t="shared" si="0"/>
        <v>0</v>
      </c>
      <c r="L9" s="18">
        <f t="shared" si="1"/>
        <v>0</v>
      </c>
      <c r="M9" t="b">
        <v>0</v>
      </c>
    </row>
    <row r="10" spans="1:16" x14ac:dyDescent="0.25">
      <c r="A10" s="36" t="s">
        <v>57</v>
      </c>
      <c r="B10" s="36"/>
      <c r="C10" s="41">
        <v>155</v>
      </c>
      <c r="E10" s="20">
        <f>19/100</f>
        <v>0.19</v>
      </c>
      <c r="F10" s="6">
        <v>0</v>
      </c>
      <c r="G10" s="22">
        <f>12/100</f>
        <v>0.12</v>
      </c>
      <c r="H10" s="18">
        <f>184/100</f>
        <v>1.84</v>
      </c>
      <c r="I10" s="20">
        <f t="shared" si="0"/>
        <v>0</v>
      </c>
      <c r="J10" s="6">
        <f t="shared" si="0"/>
        <v>0</v>
      </c>
      <c r="K10" s="22">
        <f t="shared" si="0"/>
        <v>0</v>
      </c>
      <c r="L10" s="18">
        <f>IF($M10=TRUE, H10*C10,0)</f>
        <v>0</v>
      </c>
      <c r="M10" t="b">
        <v>0</v>
      </c>
    </row>
    <row r="11" spans="1:16" x14ac:dyDescent="0.25">
      <c r="A11" s="36" t="s">
        <v>59</v>
      </c>
      <c r="B11" s="36"/>
      <c r="C11" s="38">
        <v>360</v>
      </c>
      <c r="E11" s="20">
        <f>20/100</f>
        <v>0.2</v>
      </c>
      <c r="F11" s="6">
        <v>0</v>
      </c>
      <c r="G11" s="22">
        <f>5/100</f>
        <v>0.05</v>
      </c>
      <c r="H11" s="18">
        <f>121/100</f>
        <v>1.21</v>
      </c>
      <c r="I11" s="20">
        <f t="shared" si="0"/>
        <v>72</v>
      </c>
      <c r="J11" s="6">
        <f t="shared" si="0"/>
        <v>0</v>
      </c>
      <c r="K11" s="22">
        <f t="shared" si="0"/>
        <v>18</v>
      </c>
      <c r="L11" s="18">
        <f>IF($M11=TRUE, H11*C11,0)</f>
        <v>435.59999999999997</v>
      </c>
      <c r="M11" t="b">
        <v>1</v>
      </c>
    </row>
    <row r="12" spans="1:16" x14ac:dyDescent="0.25">
      <c r="A12" s="36" t="s">
        <v>13</v>
      </c>
      <c r="B12" s="36"/>
      <c r="C12" s="38">
        <v>1</v>
      </c>
      <c r="E12" s="20">
        <v>20</v>
      </c>
      <c r="F12" s="6">
        <v>1</v>
      </c>
      <c r="G12" s="22">
        <v>1</v>
      </c>
      <c r="H12" s="18">
        <v>93</v>
      </c>
      <c r="I12" s="20">
        <f t="shared" si="0"/>
        <v>0</v>
      </c>
      <c r="J12" s="6">
        <f t="shared" si="0"/>
        <v>0</v>
      </c>
      <c r="K12" s="22">
        <f t="shared" si="0"/>
        <v>0</v>
      </c>
      <c r="L12" s="18">
        <f>IF($M12=TRUE, H12*C12,0)</f>
        <v>0</v>
      </c>
      <c r="M12" t="b">
        <v>0</v>
      </c>
    </row>
    <row r="13" spans="1:16" x14ac:dyDescent="0.25">
      <c r="A13" s="36" t="s">
        <v>80</v>
      </c>
      <c r="B13" s="36"/>
      <c r="C13" s="38">
        <v>126</v>
      </c>
      <c r="E13" s="20">
        <f>24/100</f>
        <v>0.24</v>
      </c>
      <c r="F13" s="6">
        <f>1/100</f>
        <v>0.01</v>
      </c>
      <c r="G13" s="22">
        <f>1/100</f>
        <v>0.01</v>
      </c>
      <c r="H13" s="18">
        <f>105/100</f>
        <v>1.05</v>
      </c>
      <c r="I13" s="20">
        <f t="shared" si="0"/>
        <v>0</v>
      </c>
      <c r="J13" s="6">
        <f t="shared" si="0"/>
        <v>0</v>
      </c>
      <c r="K13" s="22">
        <f t="shared" si="0"/>
        <v>0</v>
      </c>
      <c r="L13" s="18">
        <f>IF($M13=TRUE, H13*C13,0)</f>
        <v>0</v>
      </c>
      <c r="M13" t="b">
        <v>0</v>
      </c>
    </row>
    <row r="14" spans="1:16" x14ac:dyDescent="0.25">
      <c r="A14" s="36" t="s">
        <v>82</v>
      </c>
      <c r="B14" s="36"/>
      <c r="C14" s="37">
        <v>168</v>
      </c>
      <c r="E14" s="20">
        <f>24/100</f>
        <v>0.24</v>
      </c>
      <c r="F14" s="6">
        <v>0</v>
      </c>
      <c r="G14" s="22">
        <f>0</f>
        <v>0</v>
      </c>
      <c r="H14" s="18">
        <f>24*4/100</f>
        <v>0.96</v>
      </c>
      <c r="I14" s="20">
        <f t="shared" si="0"/>
        <v>40.32</v>
      </c>
      <c r="J14" s="6">
        <f t="shared" si="0"/>
        <v>0</v>
      </c>
      <c r="K14" s="22">
        <f t="shared" si="0"/>
        <v>0</v>
      </c>
      <c r="L14" s="18">
        <f>IF($M14=TRUE, H14*C14,0)</f>
        <v>161.28</v>
      </c>
      <c r="M14" t="b">
        <v>1</v>
      </c>
    </row>
    <row r="15" spans="1:16" x14ac:dyDescent="0.25">
      <c r="A15" t="s">
        <v>7</v>
      </c>
      <c r="C15" s="28">
        <v>50</v>
      </c>
      <c r="E15" s="20">
        <f>12.68/100</f>
        <v>0.1268</v>
      </c>
      <c r="F15" s="6">
        <f>72.83/100</f>
        <v>0.72829999999999995</v>
      </c>
      <c r="G15" s="22">
        <f>1.05/100</f>
        <v>1.0500000000000001E-2</v>
      </c>
      <c r="H15" s="18">
        <f>360/100</f>
        <v>3.6</v>
      </c>
      <c r="I15" s="20">
        <f t="shared" si="0"/>
        <v>0</v>
      </c>
      <c r="J15" s="6">
        <f t="shared" si="0"/>
        <v>0</v>
      </c>
      <c r="K15" s="22">
        <f t="shared" si="0"/>
        <v>0</v>
      </c>
      <c r="L15" s="18">
        <f t="shared" si="1"/>
        <v>0</v>
      </c>
      <c r="M15" t="b">
        <v>0</v>
      </c>
    </row>
    <row r="16" spans="1:16" x14ac:dyDescent="0.25">
      <c r="A16" t="s">
        <v>8</v>
      </c>
      <c r="C16" s="28">
        <v>39</v>
      </c>
      <c r="E16" s="20">
        <f>8.8/100</f>
        <v>8.8000000000000009E-2</v>
      </c>
      <c r="F16" s="6">
        <f>72/100</f>
        <v>0.72</v>
      </c>
      <c r="G16" s="22">
        <f>2.2/100</f>
        <v>2.2000000000000002E-2</v>
      </c>
      <c r="H16" s="18">
        <f>343/100</f>
        <v>3.43</v>
      </c>
      <c r="I16" s="20">
        <f t="shared" si="0"/>
        <v>0</v>
      </c>
      <c r="J16" s="6">
        <f t="shared" si="0"/>
        <v>0</v>
      </c>
      <c r="K16" s="22">
        <f t="shared" si="0"/>
        <v>0</v>
      </c>
      <c r="L16" s="18">
        <f t="shared" si="1"/>
        <v>0</v>
      </c>
      <c r="M16" t="b">
        <v>0</v>
      </c>
    </row>
    <row r="17" spans="1:13" x14ac:dyDescent="0.25">
      <c r="A17" s="35" t="s">
        <v>9</v>
      </c>
      <c r="B17" s="35"/>
      <c r="C17" s="39">
        <f>110</f>
        <v>110</v>
      </c>
      <c r="E17" s="20">
        <f>1.5/100</f>
        <v>1.4999999999999999E-2</v>
      </c>
      <c r="F17" s="6">
        <f>20/100</f>
        <v>0.2</v>
      </c>
      <c r="G17" s="22">
        <v>0</v>
      </c>
      <c r="H17" s="18">
        <f>90/100</f>
        <v>0.9</v>
      </c>
      <c r="I17" s="20">
        <f t="shared" si="0"/>
        <v>1.65</v>
      </c>
      <c r="J17" s="6">
        <f t="shared" si="0"/>
        <v>22</v>
      </c>
      <c r="K17" s="22">
        <f t="shared" si="0"/>
        <v>0</v>
      </c>
      <c r="L17" s="18">
        <f t="shared" si="1"/>
        <v>99</v>
      </c>
      <c r="M17" t="b">
        <v>1</v>
      </c>
    </row>
    <row r="18" spans="1:13" x14ac:dyDescent="0.25">
      <c r="A18" s="35" t="s">
        <v>10</v>
      </c>
      <c r="B18" s="35"/>
      <c r="C18" s="39">
        <v>69</v>
      </c>
      <c r="E18" s="20">
        <f>1.6/100</f>
        <v>1.6E-2</v>
      </c>
      <c r="F18" s="6">
        <f>11/100</f>
        <v>0.11</v>
      </c>
      <c r="G18" s="22">
        <f>0.3/100</f>
        <v>3.0000000000000001E-3</v>
      </c>
      <c r="H18" s="18">
        <f>53/100</f>
        <v>0.53</v>
      </c>
      <c r="I18" s="20">
        <f t="shared" si="0"/>
        <v>0</v>
      </c>
      <c r="J18" s="6">
        <f t="shared" si="0"/>
        <v>0</v>
      </c>
      <c r="K18" s="22">
        <f t="shared" si="0"/>
        <v>0</v>
      </c>
      <c r="L18" s="18">
        <f t="shared" si="1"/>
        <v>0</v>
      </c>
      <c r="M18" t="b">
        <v>0</v>
      </c>
    </row>
    <row r="19" spans="1:13" x14ac:dyDescent="0.25">
      <c r="A19" s="35" t="s">
        <v>11</v>
      </c>
      <c r="B19" s="35"/>
      <c r="C19" s="39">
        <f>207</f>
        <v>207</v>
      </c>
      <c r="E19" s="20">
        <f>1/100</f>
        <v>0.01</v>
      </c>
      <c r="F19" s="6">
        <f>9/100</f>
        <v>0.09</v>
      </c>
      <c r="G19" s="22">
        <f>0.2/100</f>
        <v>2E-3</v>
      </c>
      <c r="H19" s="18">
        <f>45/100</f>
        <v>0.45</v>
      </c>
      <c r="I19" s="20">
        <f t="shared" si="0"/>
        <v>2.0699999999999998</v>
      </c>
      <c r="J19" s="6">
        <f t="shared" si="0"/>
        <v>18.63</v>
      </c>
      <c r="K19" s="22">
        <f t="shared" si="0"/>
        <v>0.41400000000000003</v>
      </c>
      <c r="L19" s="18">
        <f t="shared" si="1"/>
        <v>93.15</v>
      </c>
      <c r="M19" t="b">
        <v>1</v>
      </c>
    </row>
    <row r="20" spans="1:13" x14ac:dyDescent="0.25">
      <c r="A20" t="s">
        <v>58</v>
      </c>
      <c r="C20" s="28">
        <v>180</v>
      </c>
      <c r="E20" s="20">
        <f>1.6/100</f>
        <v>1.6E-2</v>
      </c>
      <c r="F20" s="6">
        <f>20/100</f>
        <v>0.2</v>
      </c>
      <c r="G20" s="22">
        <f>0.1/100</f>
        <v>1E-3</v>
      </c>
      <c r="H20" s="18">
        <f>86/100</f>
        <v>0.86</v>
      </c>
      <c r="I20" s="20">
        <f>IF($M20=TRUE,E20*$C20,0)</f>
        <v>0</v>
      </c>
      <c r="J20" s="6">
        <f>IF($M20=TRUE,F20*$C20,0)</f>
        <v>0</v>
      </c>
      <c r="K20" s="22">
        <f>IF($M20=TRUE,G20*$C20,0)</f>
        <v>0</v>
      </c>
      <c r="L20" s="18">
        <f>IF($M20=TRUE, H20*C20,0)</f>
        <v>0</v>
      </c>
      <c r="M20" t="b">
        <v>0</v>
      </c>
    </row>
    <row r="21" spans="1:13" x14ac:dyDescent="0.25">
      <c r="A21" t="s">
        <v>12</v>
      </c>
      <c r="C21" s="28">
        <v>130</v>
      </c>
      <c r="E21" s="20">
        <f>11/100</f>
        <v>0.11</v>
      </c>
      <c r="F21" s="6">
        <f>54/100</f>
        <v>0.54</v>
      </c>
      <c r="G21" s="22">
        <f>3.3/100</f>
        <v>3.3000000000000002E-2</v>
      </c>
      <c r="H21" s="18">
        <f>293/100</f>
        <v>2.93</v>
      </c>
      <c r="I21" s="20">
        <f t="shared" si="0"/>
        <v>0</v>
      </c>
      <c r="J21" s="6">
        <f t="shared" si="0"/>
        <v>0</v>
      </c>
      <c r="K21" s="22">
        <f t="shared" si="0"/>
        <v>0</v>
      </c>
      <c r="L21" s="18">
        <f t="shared" si="1"/>
        <v>0</v>
      </c>
      <c r="M21" t="b">
        <v>0</v>
      </c>
    </row>
    <row r="22" spans="1:13" x14ac:dyDescent="0.25">
      <c r="A22" t="s">
        <v>17</v>
      </c>
      <c r="C22" s="28">
        <v>24</v>
      </c>
      <c r="D22" s="2" t="s">
        <v>23</v>
      </c>
      <c r="E22" s="20">
        <f>3/100</f>
        <v>0.03</v>
      </c>
      <c r="F22" s="6">
        <f>11/100</f>
        <v>0.11</v>
      </c>
      <c r="G22" s="22">
        <f>1.5/100</f>
        <v>1.4999999999999999E-2</v>
      </c>
      <c r="H22" s="18">
        <f>74/100</f>
        <v>0.74</v>
      </c>
      <c r="I22" s="20">
        <f t="shared" si="0"/>
        <v>0</v>
      </c>
      <c r="J22" s="6">
        <f t="shared" si="0"/>
        <v>0</v>
      </c>
      <c r="K22" s="22">
        <f t="shared" si="0"/>
        <v>0</v>
      </c>
      <c r="L22" s="18">
        <f t="shared" si="1"/>
        <v>0</v>
      </c>
      <c r="M22" t="b">
        <v>0</v>
      </c>
    </row>
    <row r="23" spans="1:13" x14ac:dyDescent="0.25">
      <c r="A23" t="s">
        <v>19</v>
      </c>
      <c r="C23" s="28">
        <v>137</v>
      </c>
      <c r="D23" s="2" t="s">
        <v>25</v>
      </c>
      <c r="E23" s="20">
        <f>2/100</f>
        <v>0.02</v>
      </c>
      <c r="F23" s="6">
        <f>17/100</f>
        <v>0.17</v>
      </c>
      <c r="G23" s="22">
        <f>0.1/100</f>
        <v>1E-3</v>
      </c>
      <c r="H23" s="18">
        <f>77/100</f>
        <v>0.77</v>
      </c>
      <c r="I23" s="20">
        <f t="shared" si="0"/>
        <v>0</v>
      </c>
      <c r="J23" s="6">
        <f t="shared" si="0"/>
        <v>0</v>
      </c>
      <c r="K23" s="22">
        <f t="shared" si="0"/>
        <v>0</v>
      </c>
      <c r="L23" s="18">
        <f t="shared" si="1"/>
        <v>0</v>
      </c>
      <c r="M23" t="b">
        <v>0</v>
      </c>
    </row>
    <row r="24" spans="1:13" x14ac:dyDescent="0.25">
      <c r="A24" t="s">
        <v>20</v>
      </c>
      <c r="C24" s="28">
        <f>110</f>
        <v>110</v>
      </c>
      <c r="E24" s="20">
        <f>25/100</f>
        <v>0.25</v>
      </c>
      <c r="F24" s="6">
        <v>0</v>
      </c>
      <c r="G24" s="22">
        <f>1/100</f>
        <v>0.01</v>
      </c>
      <c r="H24" s="18">
        <f>109/100</f>
        <v>1.0900000000000001</v>
      </c>
      <c r="I24" s="20">
        <f t="shared" si="0"/>
        <v>0</v>
      </c>
      <c r="J24" s="6">
        <f t="shared" si="0"/>
        <v>0</v>
      </c>
      <c r="K24" s="22">
        <f t="shared" si="0"/>
        <v>0</v>
      </c>
      <c r="L24" s="18">
        <f t="shared" si="1"/>
        <v>0</v>
      </c>
      <c r="M24" t="b">
        <v>0</v>
      </c>
    </row>
    <row r="25" spans="1:13" x14ac:dyDescent="0.25">
      <c r="A25" s="35" t="s">
        <v>21</v>
      </c>
      <c r="B25" s="35"/>
      <c r="C25" s="39">
        <v>130</v>
      </c>
      <c r="D25" s="2" t="s">
        <v>22</v>
      </c>
      <c r="E25" s="20">
        <f>2.3/100</f>
        <v>2.3E-2</v>
      </c>
      <c r="F25" s="6">
        <f>7.2/100</f>
        <v>7.2000000000000008E-2</v>
      </c>
      <c r="G25" s="22">
        <f>0.5/100</f>
        <v>5.0000000000000001E-3</v>
      </c>
      <c r="H25" s="18">
        <f>44/100</f>
        <v>0.44</v>
      </c>
      <c r="I25" s="20">
        <f t="shared" si="0"/>
        <v>0</v>
      </c>
      <c r="J25" s="6">
        <f t="shared" si="0"/>
        <v>0</v>
      </c>
      <c r="K25" s="22">
        <f t="shared" si="0"/>
        <v>0</v>
      </c>
      <c r="L25" s="18">
        <f t="shared" si="1"/>
        <v>0</v>
      </c>
      <c r="M25" t="b">
        <v>0</v>
      </c>
    </row>
    <row r="26" spans="1:13" x14ac:dyDescent="0.25">
      <c r="A26" t="s">
        <v>26</v>
      </c>
      <c r="C26" s="28"/>
      <c r="E26" s="20">
        <v>0</v>
      </c>
      <c r="F26" s="6">
        <v>0</v>
      </c>
      <c r="G26" s="22">
        <v>0</v>
      </c>
      <c r="H26" s="18">
        <f>275/100</f>
        <v>2.75</v>
      </c>
      <c r="I26" s="20">
        <f t="shared" si="0"/>
        <v>0</v>
      </c>
      <c r="J26" s="6">
        <f t="shared" si="0"/>
        <v>0</v>
      </c>
      <c r="K26" s="22">
        <f t="shared" si="0"/>
        <v>0</v>
      </c>
      <c r="L26" s="18">
        <f t="shared" si="1"/>
        <v>0</v>
      </c>
      <c r="M26" t="b">
        <v>0</v>
      </c>
    </row>
    <row r="27" spans="1:13" x14ac:dyDescent="0.25">
      <c r="A27" t="s">
        <v>32</v>
      </c>
      <c r="C27" s="28">
        <v>20</v>
      </c>
      <c r="E27" s="20">
        <f>22/100</f>
        <v>0.22</v>
      </c>
      <c r="F27" s="6">
        <f>6.9/100</f>
        <v>6.9000000000000006E-2</v>
      </c>
      <c r="G27" s="22">
        <f>54/100</f>
        <v>0.54</v>
      </c>
      <c r="H27" s="18">
        <f>620/100</f>
        <v>6.2</v>
      </c>
      <c r="I27" s="20">
        <f t="shared" si="0"/>
        <v>0</v>
      </c>
      <c r="J27" s="6">
        <f t="shared" si="0"/>
        <v>0</v>
      </c>
      <c r="K27" s="22">
        <f t="shared" si="0"/>
        <v>0</v>
      </c>
      <c r="L27" s="18">
        <f t="shared" si="1"/>
        <v>0</v>
      </c>
      <c r="M27" t="b">
        <v>0</v>
      </c>
    </row>
    <row r="28" spans="1:13" x14ac:dyDescent="0.25">
      <c r="A28" t="s">
        <v>33</v>
      </c>
      <c r="C28" s="28">
        <v>143</v>
      </c>
      <c r="E28" s="20">
        <v>3.6</v>
      </c>
      <c r="F28" s="6">
        <v>0.2</v>
      </c>
      <c r="G28" s="22">
        <v>0.1</v>
      </c>
      <c r="H28" s="18">
        <f>17</f>
        <v>17</v>
      </c>
      <c r="I28" s="20">
        <f t="shared" si="0"/>
        <v>0</v>
      </c>
      <c r="J28" s="6">
        <f t="shared" si="0"/>
        <v>0</v>
      </c>
      <c r="K28" s="22">
        <f t="shared" si="0"/>
        <v>0</v>
      </c>
      <c r="L28" s="18">
        <f t="shared" si="1"/>
        <v>0</v>
      </c>
      <c r="M28" t="b">
        <v>0</v>
      </c>
    </row>
    <row r="29" spans="1:13" x14ac:dyDescent="0.25">
      <c r="A29" t="s">
        <v>34</v>
      </c>
      <c r="C29" s="28">
        <v>50</v>
      </c>
      <c r="E29" s="20">
        <f>7.4/100</f>
        <v>7.400000000000001E-2</v>
      </c>
      <c r="F29" s="6">
        <f>78.7/100</f>
        <v>0.78700000000000003</v>
      </c>
      <c r="G29" s="22">
        <f>0.7/100</f>
        <v>6.9999999999999993E-3</v>
      </c>
      <c r="H29" s="18">
        <f>351/100</f>
        <v>3.51</v>
      </c>
      <c r="I29" s="20">
        <f t="shared" si="0"/>
        <v>0</v>
      </c>
      <c r="J29" s="6">
        <f t="shared" si="0"/>
        <v>0</v>
      </c>
      <c r="K29" s="22">
        <f t="shared" si="0"/>
        <v>0</v>
      </c>
      <c r="L29" s="18">
        <f t="shared" si="1"/>
        <v>0</v>
      </c>
      <c r="M29" t="b">
        <v>0</v>
      </c>
    </row>
    <row r="30" spans="1:13" x14ac:dyDescent="0.25">
      <c r="A30" t="s">
        <v>55</v>
      </c>
      <c r="C30" s="28"/>
      <c r="E30" s="20">
        <f>19/100</f>
        <v>0.19</v>
      </c>
      <c r="F30" s="6">
        <f>61/100</f>
        <v>0.61</v>
      </c>
      <c r="G30" s="22">
        <f>6/100</f>
        <v>0.06</v>
      </c>
      <c r="H30" s="18">
        <f>364/100</f>
        <v>3.64</v>
      </c>
      <c r="I30" s="20">
        <f t="shared" si="0"/>
        <v>0</v>
      </c>
      <c r="J30" s="6">
        <f t="shared" si="0"/>
        <v>0</v>
      </c>
      <c r="K30" s="22">
        <f t="shared" si="0"/>
        <v>0</v>
      </c>
      <c r="L30" s="18">
        <f t="shared" si="1"/>
        <v>0</v>
      </c>
      <c r="M30" t="b">
        <v>0</v>
      </c>
    </row>
    <row r="31" spans="1:13" x14ac:dyDescent="0.25">
      <c r="A31" t="s">
        <v>60</v>
      </c>
      <c r="C31" s="29">
        <v>60</v>
      </c>
      <c r="E31" s="20">
        <f>7.5/100</f>
        <v>7.4999999999999997E-2</v>
      </c>
      <c r="F31" s="6">
        <f>78/100</f>
        <v>0.78</v>
      </c>
      <c r="G31" s="22">
        <f>0.6/100</f>
        <v>6.0000000000000001E-3</v>
      </c>
      <c r="H31" s="18">
        <f>347/100</f>
        <v>3.47</v>
      </c>
      <c r="I31" s="20">
        <f t="shared" si="0"/>
        <v>4.5</v>
      </c>
      <c r="J31" s="6">
        <f t="shared" si="0"/>
        <v>46.800000000000004</v>
      </c>
      <c r="K31" s="22">
        <f t="shared" si="0"/>
        <v>0.36</v>
      </c>
      <c r="L31" s="18">
        <f t="shared" si="1"/>
        <v>208.20000000000002</v>
      </c>
      <c r="M31" t="b">
        <v>1</v>
      </c>
    </row>
    <row r="32" spans="1:13" x14ac:dyDescent="0.25">
      <c r="A32" t="s">
        <v>63</v>
      </c>
      <c r="C32" s="28">
        <v>39</v>
      </c>
      <c r="E32" s="20">
        <f>1.4/100</f>
        <v>1.3999999999999999E-2</v>
      </c>
      <c r="F32" s="6">
        <f>9/100</f>
        <v>0.09</v>
      </c>
      <c r="G32" s="22">
        <f>0.2/100</f>
        <v>2E-3</v>
      </c>
      <c r="H32" s="18">
        <f>43/100</f>
        <v>0.43</v>
      </c>
      <c r="I32" s="20">
        <f t="shared" si="0"/>
        <v>0</v>
      </c>
      <c r="J32" s="6">
        <f t="shared" si="0"/>
        <v>0</v>
      </c>
      <c r="K32" s="22">
        <f t="shared" si="0"/>
        <v>0</v>
      </c>
      <c r="L32" s="18">
        <f t="shared" si="1"/>
        <v>0</v>
      </c>
      <c r="M32" t="b">
        <v>0</v>
      </c>
    </row>
    <row r="33" spans="1:16" x14ac:dyDescent="0.25">
      <c r="A33" t="s">
        <v>64</v>
      </c>
      <c r="C33" s="28">
        <v>10</v>
      </c>
      <c r="E33" s="20">
        <f>4.1/100</f>
        <v>4.0999999999999995E-2</v>
      </c>
      <c r="F33" s="6">
        <f>6.6/100</f>
        <v>6.6000000000000003E-2</v>
      </c>
      <c r="G33" s="22">
        <f>5/100</f>
        <v>0.05</v>
      </c>
      <c r="H33" s="18">
        <f>84/100</f>
        <v>0.84</v>
      </c>
      <c r="I33" s="20">
        <f t="shared" si="0"/>
        <v>0</v>
      </c>
      <c r="J33" s="6">
        <f t="shared" si="0"/>
        <v>0</v>
      </c>
      <c r="K33" s="22">
        <f t="shared" si="0"/>
        <v>0</v>
      </c>
      <c r="L33" s="18">
        <f t="shared" si="1"/>
        <v>0</v>
      </c>
      <c r="M33" t="b">
        <v>0</v>
      </c>
    </row>
    <row r="34" spans="1:16" x14ac:dyDescent="0.25">
      <c r="A34" t="s">
        <v>66</v>
      </c>
      <c r="C34" s="28">
        <v>70</v>
      </c>
      <c r="E34" s="20">
        <f>14.1/100</f>
        <v>0.14099999999999999</v>
      </c>
      <c r="F34" s="6">
        <f>68.9/100</f>
        <v>0.68900000000000006</v>
      </c>
      <c r="G34" s="22">
        <f>5.8/100</f>
        <v>5.7999999999999996E-2</v>
      </c>
      <c r="H34" s="18">
        <f>380/100</f>
        <v>3.8</v>
      </c>
      <c r="I34" s="20">
        <f t="shared" si="0"/>
        <v>0</v>
      </c>
      <c r="J34" s="6">
        <f t="shared" si="0"/>
        <v>0</v>
      </c>
      <c r="K34" s="22">
        <f t="shared" si="0"/>
        <v>0</v>
      </c>
      <c r="L34" s="18">
        <f t="shared" si="1"/>
        <v>0</v>
      </c>
      <c r="M34" t="b">
        <v>0</v>
      </c>
    </row>
    <row r="35" spans="1:16" x14ac:dyDescent="0.25">
      <c r="A35" t="s">
        <v>79</v>
      </c>
      <c r="E35" s="20"/>
      <c r="F35" s="6"/>
      <c r="G35" s="22"/>
      <c r="H35" s="18"/>
      <c r="I35" s="20">
        <f t="shared" ref="I35:K37" si="2">IF($M35=TRUE,E35*$C35,0)</f>
        <v>0</v>
      </c>
      <c r="J35" s="6">
        <f t="shared" si="2"/>
        <v>0</v>
      </c>
      <c r="K35" s="22">
        <f t="shared" si="2"/>
        <v>0</v>
      </c>
      <c r="L35" s="18">
        <f t="shared" si="1"/>
        <v>0</v>
      </c>
      <c r="M35" t="b">
        <v>0</v>
      </c>
      <c r="P35">
        <v>2.2046199999999998</v>
      </c>
    </row>
    <row r="36" spans="1:16" x14ac:dyDescent="0.25">
      <c r="A36" t="s">
        <v>81</v>
      </c>
      <c r="C36" s="2">
        <v>66</v>
      </c>
      <c r="E36" s="20">
        <f>1.4/100</f>
        <v>1.3999999999999999E-2</v>
      </c>
      <c r="F36" s="6">
        <f>7/100</f>
        <v>7.0000000000000007E-2</v>
      </c>
      <c r="G36" s="22">
        <f>0.2/100</f>
        <v>2E-3</v>
      </c>
      <c r="H36" s="18"/>
      <c r="I36" s="20">
        <f t="shared" si="2"/>
        <v>0.92399999999999993</v>
      </c>
      <c r="J36" s="6">
        <f t="shared" si="2"/>
        <v>4.62</v>
      </c>
      <c r="K36" s="22">
        <f t="shared" si="2"/>
        <v>0.13200000000000001</v>
      </c>
      <c r="L36" s="18">
        <f t="shared" si="1"/>
        <v>0</v>
      </c>
      <c r="M36" t="b">
        <v>1</v>
      </c>
    </row>
    <row r="37" spans="1:16" x14ac:dyDescent="0.25">
      <c r="A37" t="s">
        <v>83</v>
      </c>
      <c r="C37" s="2">
        <v>1</v>
      </c>
      <c r="E37" s="20">
        <f>0.1</f>
        <v>0.1</v>
      </c>
      <c r="F37" s="6">
        <f>2.7</f>
        <v>2.7</v>
      </c>
      <c r="G37" s="22">
        <f>0</f>
        <v>0</v>
      </c>
      <c r="H37" s="18"/>
      <c r="I37" s="20">
        <f t="shared" si="2"/>
        <v>0</v>
      </c>
      <c r="J37" s="6">
        <f t="shared" si="2"/>
        <v>0</v>
      </c>
      <c r="K37" s="22">
        <f t="shared" si="2"/>
        <v>0</v>
      </c>
      <c r="L37" s="18">
        <f t="shared" si="1"/>
        <v>0</v>
      </c>
      <c r="M37" t="b">
        <v>0</v>
      </c>
      <c r="N37" s="2" t="s">
        <v>68</v>
      </c>
    </row>
    <row r="38" spans="1:16" x14ac:dyDescent="0.25">
      <c r="A38" t="s">
        <v>84</v>
      </c>
      <c r="E38">
        <f>0.4/100</f>
        <v>4.0000000000000001E-3</v>
      </c>
      <c r="F38">
        <f>7/100</f>
        <v>7.0000000000000007E-2</v>
      </c>
      <c r="I38" s="50"/>
      <c r="J38" s="51"/>
      <c r="K38" s="52"/>
      <c r="L38" s="10"/>
      <c r="N38" s="2"/>
    </row>
    <row r="39" spans="1:16" x14ac:dyDescent="0.25">
      <c r="I39" s="50"/>
      <c r="J39" s="51"/>
      <c r="K39" s="52"/>
      <c r="L39" s="10"/>
      <c r="N39" s="2"/>
    </row>
    <row r="40" spans="1:16" x14ac:dyDescent="0.25">
      <c r="H40" t="s">
        <v>73</v>
      </c>
      <c r="I40" s="46">
        <f>SUM(I4:I37)</f>
        <v>186.804</v>
      </c>
      <c r="J40" s="47">
        <f>SUM(J4:J37)</f>
        <v>145.35</v>
      </c>
      <c r="K40" s="48">
        <f>SUM(K4:K37)</f>
        <v>37.206000000000003</v>
      </c>
      <c r="L40" t="s">
        <v>65</v>
      </c>
      <c r="N40" s="2">
        <v>67</v>
      </c>
    </row>
    <row r="41" spans="1:16" x14ac:dyDescent="0.25">
      <c r="I41" s="49">
        <f>I40-I43</f>
        <v>2.1670750000000112</v>
      </c>
      <c r="J41" s="49">
        <f>J40-J43</f>
        <v>-2.3595399999999813</v>
      </c>
      <c r="K41" s="49">
        <f>K40-K43</f>
        <v>-2.6755757999999972</v>
      </c>
    </row>
    <row r="42" spans="1:16" x14ac:dyDescent="0.25">
      <c r="L42" s="4">
        <f>SUM(L4:L34)</f>
        <v>1674.23</v>
      </c>
    </row>
    <row r="43" spans="1:16" x14ac:dyDescent="0.25">
      <c r="H43" t="s">
        <v>70</v>
      </c>
      <c r="I43" s="43">
        <f>1.25 * $P$35 * $N$40</f>
        <v>184.63692499999999</v>
      </c>
      <c r="J43" s="44">
        <f>1 * $P$35 * $N$40</f>
        <v>147.70953999999998</v>
      </c>
      <c r="K43" s="45">
        <f>0.27 * $P$35 * $N$40</f>
        <v>39.8815758</v>
      </c>
      <c r="L43">
        <f>11.43*P35* N40</f>
        <v>1688.3200421999998</v>
      </c>
    </row>
    <row r="44" spans="1:16" x14ac:dyDescent="0.25">
      <c r="H44" t="s">
        <v>71</v>
      </c>
      <c r="I44" s="43">
        <f>1.15 * $P$35 * $N$40</f>
        <v>169.86597099999997</v>
      </c>
      <c r="J44" s="44">
        <f>1.25 * $P$35 * $N$40</f>
        <v>184.63692499999999</v>
      </c>
      <c r="K44" s="45">
        <f>0.35 * $P$35 * $N$40</f>
        <v>51.69833899999999</v>
      </c>
      <c r="L44">
        <f>11.43*P35* N40</f>
        <v>1688.3200421999998</v>
      </c>
    </row>
    <row r="45" spans="1:16" x14ac:dyDescent="0.25">
      <c r="H45" t="s">
        <v>72</v>
      </c>
      <c r="I45" s="43">
        <f>1.1 * $P$35 * $N$40</f>
        <v>162.48049400000002</v>
      </c>
      <c r="J45" s="44">
        <f>2 * $P$35 * $N$40</f>
        <v>295.41907999999995</v>
      </c>
      <c r="K45" s="45">
        <f>0.5* $P$35 * $N$40</f>
        <v>73.854769999999988</v>
      </c>
      <c r="L45">
        <f>11.43*P35* N40</f>
        <v>1688.3200421999998</v>
      </c>
    </row>
    <row r="46" spans="1:16" x14ac:dyDescent="0.25">
      <c r="A46" t="s">
        <v>77</v>
      </c>
      <c r="B46" t="s">
        <v>78</v>
      </c>
    </row>
    <row r="47" spans="1:16" x14ac:dyDescent="0.25">
      <c r="A47" t="s">
        <v>75</v>
      </c>
    </row>
    <row r="48" spans="1:16" x14ac:dyDescent="0.25">
      <c r="A48" t="s">
        <v>74</v>
      </c>
    </row>
    <row r="49" spans="1:1" x14ac:dyDescent="0.25">
      <c r="A49">
        <f>0.25*J43</f>
        <v>36.927384999999994</v>
      </c>
    </row>
    <row r="50" spans="1:1" x14ac:dyDescent="0.25">
      <c r="A50">
        <f>0.35*J43</f>
        <v>51.69833899999999</v>
      </c>
    </row>
    <row r="51" spans="1:1" x14ac:dyDescent="0.25">
      <c r="A51" t="s">
        <v>76</v>
      </c>
    </row>
  </sheetData>
  <conditionalFormatting sqref="I41">
    <cfRule type="colorScale" priority="3">
      <colorScale>
        <cfvo type="formula" val="-$I$43"/>
        <cfvo type="num" val="0"/>
        <cfvo type="num" val="20"/>
        <color rgb="FFFF8B8B"/>
        <color rgb="FF00B050"/>
        <color rgb="FFFF8B8B"/>
      </colorScale>
    </cfRule>
  </conditionalFormatting>
  <conditionalFormatting sqref="J41">
    <cfRule type="colorScale" priority="2">
      <colorScale>
        <cfvo type="formula" val="-$J$43"/>
        <cfvo type="percentile" val="0"/>
        <cfvo type="num" val="20"/>
        <color rgb="FFFF8B8B"/>
        <color rgb="FF00B050"/>
        <color rgb="FFFF8B8B"/>
      </colorScale>
    </cfRule>
  </conditionalFormatting>
  <conditionalFormatting sqref="K41">
    <cfRule type="colorScale" priority="1">
      <colorScale>
        <cfvo type="formula" val="-$K$43"/>
        <cfvo type="percentile" val="0"/>
        <cfvo type="num" val="20"/>
        <color rgb="FFFF8B8B"/>
        <color rgb="FF00B050"/>
        <color rgb="FFFF8B8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Case à cocher 1">
              <controlPr defaultSize="0" autoFill="0" autoLine="0" autoPict="0">
                <anchor moveWithCells="1">
                  <from>
                    <xdr:col>1</xdr:col>
                    <xdr:colOff>161925</xdr:colOff>
                    <xdr:row>3</xdr:row>
                    <xdr:rowOff>0</xdr:rowOff>
                  </from>
                  <to>
                    <xdr:col>1</xdr:col>
                    <xdr:colOff>342900</xdr:colOff>
                    <xdr:row>4</xdr:row>
                    <xdr:rowOff>0</xdr:rowOff>
                  </to>
                </anchor>
              </controlPr>
            </control>
          </mc:Choice>
        </mc:AlternateContent>
        <mc:AlternateContent xmlns:mc="http://schemas.openxmlformats.org/markup-compatibility/2006">
          <mc:Choice Requires="x14">
            <control shapeId="38914" r:id="rId5" name="Case à cocher 2">
              <controlPr defaultSize="0" autoFill="0" autoLine="0" autoPict="0">
                <anchor moveWithCells="1">
                  <from>
                    <xdr:col>1</xdr:col>
                    <xdr:colOff>152400</xdr:colOff>
                    <xdr:row>3</xdr:row>
                    <xdr:rowOff>9525</xdr:rowOff>
                  </from>
                  <to>
                    <xdr:col>1</xdr:col>
                    <xdr:colOff>333375</xdr:colOff>
                    <xdr:row>4</xdr:row>
                    <xdr:rowOff>9525</xdr:rowOff>
                  </to>
                </anchor>
              </controlPr>
            </control>
          </mc:Choice>
        </mc:AlternateContent>
        <mc:AlternateContent xmlns:mc="http://schemas.openxmlformats.org/markup-compatibility/2006">
          <mc:Choice Requires="x14">
            <control shapeId="38915" r:id="rId6" name="Case à cocher 4">
              <controlPr defaultSize="0" autoFill="0" autoLine="0" autoPict="0">
                <anchor moveWithCells="1">
                  <from>
                    <xdr:col>1</xdr:col>
                    <xdr:colOff>152400</xdr:colOff>
                    <xdr:row>7</xdr:row>
                    <xdr:rowOff>0</xdr:rowOff>
                  </from>
                  <to>
                    <xdr:col>1</xdr:col>
                    <xdr:colOff>333375</xdr:colOff>
                    <xdr:row>8</xdr:row>
                    <xdr:rowOff>0</xdr:rowOff>
                  </to>
                </anchor>
              </controlPr>
            </control>
          </mc:Choice>
        </mc:AlternateContent>
        <mc:AlternateContent xmlns:mc="http://schemas.openxmlformats.org/markup-compatibility/2006">
          <mc:Choice Requires="x14">
            <control shapeId="38916" r:id="rId7" name="Case à cocher 5">
              <controlPr defaultSize="0" autoFill="0" autoLine="0" autoPict="0">
                <anchor moveWithCells="1">
                  <from>
                    <xdr:col>1</xdr:col>
                    <xdr:colOff>152400</xdr:colOff>
                    <xdr:row>8</xdr:row>
                    <xdr:rowOff>9525</xdr:rowOff>
                  </from>
                  <to>
                    <xdr:col>1</xdr:col>
                    <xdr:colOff>333375</xdr:colOff>
                    <xdr:row>9</xdr:row>
                    <xdr:rowOff>9525</xdr:rowOff>
                  </to>
                </anchor>
              </controlPr>
            </control>
          </mc:Choice>
        </mc:AlternateContent>
        <mc:AlternateContent xmlns:mc="http://schemas.openxmlformats.org/markup-compatibility/2006">
          <mc:Choice Requires="x14">
            <control shapeId="38917" r:id="rId8" name="Case à cocher 6">
              <controlPr defaultSize="0" autoFill="0" autoLine="0" autoPict="0">
                <anchor moveWithCells="1">
                  <from>
                    <xdr:col>1</xdr:col>
                    <xdr:colOff>152400</xdr:colOff>
                    <xdr:row>28</xdr:row>
                    <xdr:rowOff>190500</xdr:rowOff>
                  </from>
                  <to>
                    <xdr:col>1</xdr:col>
                    <xdr:colOff>333375</xdr:colOff>
                    <xdr:row>30</xdr:row>
                    <xdr:rowOff>0</xdr:rowOff>
                  </to>
                </anchor>
              </controlPr>
            </control>
          </mc:Choice>
        </mc:AlternateContent>
        <mc:AlternateContent xmlns:mc="http://schemas.openxmlformats.org/markup-compatibility/2006">
          <mc:Choice Requires="x14">
            <control shapeId="38918" r:id="rId9" name="Case à cocher 7">
              <controlPr defaultSize="0" autoFill="0" autoLine="0" autoPict="0">
                <anchor moveWithCells="1">
                  <from>
                    <xdr:col>1</xdr:col>
                    <xdr:colOff>152400</xdr:colOff>
                    <xdr:row>14</xdr:row>
                    <xdr:rowOff>19050</xdr:rowOff>
                  </from>
                  <to>
                    <xdr:col>1</xdr:col>
                    <xdr:colOff>333375</xdr:colOff>
                    <xdr:row>15</xdr:row>
                    <xdr:rowOff>19050</xdr:rowOff>
                  </to>
                </anchor>
              </controlPr>
            </control>
          </mc:Choice>
        </mc:AlternateContent>
        <mc:AlternateContent xmlns:mc="http://schemas.openxmlformats.org/markup-compatibility/2006">
          <mc:Choice Requires="x14">
            <control shapeId="38919" r:id="rId10" name="Case à cocher 8">
              <controlPr defaultSize="0" autoFill="0" autoLine="0" autoPict="0">
                <anchor moveWithCells="1">
                  <from>
                    <xdr:col>1</xdr:col>
                    <xdr:colOff>152400</xdr:colOff>
                    <xdr:row>15</xdr:row>
                    <xdr:rowOff>9525</xdr:rowOff>
                  </from>
                  <to>
                    <xdr:col>1</xdr:col>
                    <xdr:colOff>333375</xdr:colOff>
                    <xdr:row>16</xdr:row>
                    <xdr:rowOff>9525</xdr:rowOff>
                  </to>
                </anchor>
              </controlPr>
            </control>
          </mc:Choice>
        </mc:AlternateContent>
        <mc:AlternateContent xmlns:mc="http://schemas.openxmlformats.org/markup-compatibility/2006">
          <mc:Choice Requires="x14">
            <control shapeId="38920" r:id="rId11" name="Case à cocher 9">
              <controlPr defaultSize="0" autoFill="0" autoLine="0" autoPict="0">
                <anchor moveWithCells="1">
                  <from>
                    <xdr:col>1</xdr:col>
                    <xdr:colOff>152400</xdr:colOff>
                    <xdr:row>16</xdr:row>
                    <xdr:rowOff>9525</xdr:rowOff>
                  </from>
                  <to>
                    <xdr:col>1</xdr:col>
                    <xdr:colOff>333375</xdr:colOff>
                    <xdr:row>17</xdr:row>
                    <xdr:rowOff>9525</xdr:rowOff>
                  </to>
                </anchor>
              </controlPr>
            </control>
          </mc:Choice>
        </mc:AlternateContent>
        <mc:AlternateContent xmlns:mc="http://schemas.openxmlformats.org/markup-compatibility/2006">
          <mc:Choice Requires="x14">
            <control shapeId="38921" r:id="rId12" name="Case à cocher 10">
              <controlPr defaultSize="0" autoFill="0" autoLine="0" autoPict="0">
                <anchor moveWithCells="1">
                  <from>
                    <xdr:col>1</xdr:col>
                    <xdr:colOff>152400</xdr:colOff>
                    <xdr:row>16</xdr:row>
                    <xdr:rowOff>171450</xdr:rowOff>
                  </from>
                  <to>
                    <xdr:col>1</xdr:col>
                    <xdr:colOff>333375</xdr:colOff>
                    <xdr:row>17</xdr:row>
                    <xdr:rowOff>171450</xdr:rowOff>
                  </to>
                </anchor>
              </controlPr>
            </control>
          </mc:Choice>
        </mc:AlternateContent>
        <mc:AlternateContent xmlns:mc="http://schemas.openxmlformats.org/markup-compatibility/2006">
          <mc:Choice Requires="x14">
            <control shapeId="38922" r:id="rId13" name="Case à cocher 11">
              <controlPr defaultSize="0" autoFill="0" autoLine="0" autoPict="0">
                <anchor moveWithCells="1">
                  <from>
                    <xdr:col>1</xdr:col>
                    <xdr:colOff>152400</xdr:colOff>
                    <xdr:row>17</xdr:row>
                    <xdr:rowOff>171450</xdr:rowOff>
                  </from>
                  <to>
                    <xdr:col>1</xdr:col>
                    <xdr:colOff>333375</xdr:colOff>
                    <xdr:row>18</xdr:row>
                    <xdr:rowOff>171450</xdr:rowOff>
                  </to>
                </anchor>
              </controlPr>
            </control>
          </mc:Choice>
        </mc:AlternateContent>
        <mc:AlternateContent xmlns:mc="http://schemas.openxmlformats.org/markup-compatibility/2006">
          <mc:Choice Requires="x14">
            <control shapeId="38923" r:id="rId14" name="Check Box 11">
              <controlPr defaultSize="0" autoFill="0" autoLine="0" autoPict="0">
                <anchor moveWithCells="1">
                  <from>
                    <xdr:col>1</xdr:col>
                    <xdr:colOff>152400</xdr:colOff>
                    <xdr:row>19</xdr:row>
                    <xdr:rowOff>180975</xdr:rowOff>
                  </from>
                  <to>
                    <xdr:col>1</xdr:col>
                    <xdr:colOff>333375</xdr:colOff>
                    <xdr:row>20</xdr:row>
                    <xdr:rowOff>180975</xdr:rowOff>
                  </to>
                </anchor>
              </controlPr>
            </control>
          </mc:Choice>
        </mc:AlternateContent>
        <mc:AlternateContent xmlns:mc="http://schemas.openxmlformats.org/markup-compatibility/2006">
          <mc:Choice Requires="x14">
            <control shapeId="38924" r:id="rId15" name="Check Box 13">
              <controlPr defaultSize="0" autoFill="0" autoLine="0" autoPict="0">
                <anchor moveWithCells="1">
                  <from>
                    <xdr:col>1</xdr:col>
                    <xdr:colOff>152400</xdr:colOff>
                    <xdr:row>10</xdr:row>
                    <xdr:rowOff>180975</xdr:rowOff>
                  </from>
                  <to>
                    <xdr:col>1</xdr:col>
                    <xdr:colOff>333375</xdr:colOff>
                    <xdr:row>12</xdr:row>
                    <xdr:rowOff>0</xdr:rowOff>
                  </to>
                </anchor>
              </controlPr>
            </control>
          </mc:Choice>
        </mc:AlternateContent>
        <mc:AlternateContent xmlns:mc="http://schemas.openxmlformats.org/markup-compatibility/2006">
          <mc:Choice Requires="x14">
            <control shapeId="38925" r:id="rId16" name="Check Box 14">
              <controlPr defaultSize="0" autoFill="0" autoLine="0" autoPict="0">
                <anchor moveWithCells="1">
                  <from>
                    <xdr:col>1</xdr:col>
                    <xdr:colOff>152400</xdr:colOff>
                    <xdr:row>20</xdr:row>
                    <xdr:rowOff>180975</xdr:rowOff>
                  </from>
                  <to>
                    <xdr:col>1</xdr:col>
                    <xdr:colOff>333375</xdr:colOff>
                    <xdr:row>22</xdr:row>
                    <xdr:rowOff>0</xdr:rowOff>
                  </to>
                </anchor>
              </controlPr>
            </control>
          </mc:Choice>
        </mc:AlternateContent>
        <mc:AlternateContent xmlns:mc="http://schemas.openxmlformats.org/markup-compatibility/2006">
          <mc:Choice Requires="x14">
            <control shapeId="38926" r:id="rId17" name="Check Box 15">
              <controlPr defaultSize="0" autoFill="0" autoLine="0" autoPict="0">
                <anchor moveWithCells="1">
                  <from>
                    <xdr:col>1</xdr:col>
                    <xdr:colOff>152400</xdr:colOff>
                    <xdr:row>6</xdr:row>
                    <xdr:rowOff>0</xdr:rowOff>
                  </from>
                  <to>
                    <xdr:col>1</xdr:col>
                    <xdr:colOff>333375</xdr:colOff>
                    <xdr:row>7</xdr:row>
                    <xdr:rowOff>0</xdr:rowOff>
                  </to>
                </anchor>
              </controlPr>
            </control>
          </mc:Choice>
        </mc:AlternateContent>
        <mc:AlternateContent xmlns:mc="http://schemas.openxmlformats.org/markup-compatibility/2006">
          <mc:Choice Requires="x14">
            <control shapeId="38927" r:id="rId18" name="Check Box 16">
              <controlPr defaultSize="0" autoFill="0" autoLine="0" autoPict="0">
                <anchor moveWithCells="1">
                  <from>
                    <xdr:col>1</xdr:col>
                    <xdr:colOff>152400</xdr:colOff>
                    <xdr:row>22</xdr:row>
                    <xdr:rowOff>0</xdr:rowOff>
                  </from>
                  <to>
                    <xdr:col>1</xdr:col>
                    <xdr:colOff>333375</xdr:colOff>
                    <xdr:row>23</xdr:row>
                    <xdr:rowOff>9525</xdr:rowOff>
                  </to>
                </anchor>
              </controlPr>
            </control>
          </mc:Choice>
        </mc:AlternateContent>
        <mc:AlternateContent xmlns:mc="http://schemas.openxmlformats.org/markup-compatibility/2006">
          <mc:Choice Requires="x14">
            <control shapeId="38928" r:id="rId19" name="Check Box 17">
              <controlPr defaultSize="0" autoFill="0" autoLine="0" autoPict="0">
                <anchor moveWithCells="1">
                  <from>
                    <xdr:col>1</xdr:col>
                    <xdr:colOff>152400</xdr:colOff>
                    <xdr:row>22</xdr:row>
                    <xdr:rowOff>180975</xdr:rowOff>
                  </from>
                  <to>
                    <xdr:col>1</xdr:col>
                    <xdr:colOff>333375</xdr:colOff>
                    <xdr:row>24</xdr:row>
                    <xdr:rowOff>0</xdr:rowOff>
                  </to>
                </anchor>
              </controlPr>
            </control>
          </mc:Choice>
        </mc:AlternateContent>
        <mc:AlternateContent xmlns:mc="http://schemas.openxmlformats.org/markup-compatibility/2006">
          <mc:Choice Requires="x14">
            <control shapeId="38929" r:id="rId20" name="Check Box 18">
              <controlPr defaultSize="0" autoFill="0" autoLine="0" autoPict="0">
                <anchor moveWithCells="1">
                  <from>
                    <xdr:col>1</xdr:col>
                    <xdr:colOff>152400</xdr:colOff>
                    <xdr:row>24</xdr:row>
                    <xdr:rowOff>0</xdr:rowOff>
                  </from>
                  <to>
                    <xdr:col>1</xdr:col>
                    <xdr:colOff>333375</xdr:colOff>
                    <xdr:row>25</xdr:row>
                    <xdr:rowOff>0</xdr:rowOff>
                  </to>
                </anchor>
              </controlPr>
            </control>
          </mc:Choice>
        </mc:AlternateContent>
        <mc:AlternateContent xmlns:mc="http://schemas.openxmlformats.org/markup-compatibility/2006">
          <mc:Choice Requires="x14">
            <control shapeId="38930" r:id="rId21" name="Check Box 19">
              <controlPr defaultSize="0" autoFill="0" autoLine="0" autoPict="0">
                <anchor moveWithCells="1">
                  <from>
                    <xdr:col>1</xdr:col>
                    <xdr:colOff>152400</xdr:colOff>
                    <xdr:row>25</xdr:row>
                    <xdr:rowOff>0</xdr:rowOff>
                  </from>
                  <to>
                    <xdr:col>1</xdr:col>
                    <xdr:colOff>333375</xdr:colOff>
                    <xdr:row>26</xdr:row>
                    <xdr:rowOff>0</xdr:rowOff>
                  </to>
                </anchor>
              </controlPr>
            </control>
          </mc:Choice>
        </mc:AlternateContent>
        <mc:AlternateContent xmlns:mc="http://schemas.openxmlformats.org/markup-compatibility/2006">
          <mc:Choice Requires="x14">
            <control shapeId="38931" r:id="rId22" name="Check Box 20">
              <controlPr defaultSize="0" autoFill="0" autoLine="0" autoPict="0">
                <anchor moveWithCells="1">
                  <from>
                    <xdr:col>1</xdr:col>
                    <xdr:colOff>152400</xdr:colOff>
                    <xdr:row>26</xdr:row>
                    <xdr:rowOff>9525</xdr:rowOff>
                  </from>
                  <to>
                    <xdr:col>1</xdr:col>
                    <xdr:colOff>333375</xdr:colOff>
                    <xdr:row>27</xdr:row>
                    <xdr:rowOff>9525</xdr:rowOff>
                  </to>
                </anchor>
              </controlPr>
            </control>
          </mc:Choice>
        </mc:AlternateContent>
        <mc:AlternateContent xmlns:mc="http://schemas.openxmlformats.org/markup-compatibility/2006">
          <mc:Choice Requires="x14">
            <control shapeId="38932" r:id="rId23" name="Check Box 21">
              <controlPr defaultSize="0" autoFill="0" autoLine="0" autoPict="0">
                <anchor moveWithCells="1">
                  <from>
                    <xdr:col>1</xdr:col>
                    <xdr:colOff>152400</xdr:colOff>
                    <xdr:row>27</xdr:row>
                    <xdr:rowOff>9525</xdr:rowOff>
                  </from>
                  <to>
                    <xdr:col>1</xdr:col>
                    <xdr:colOff>333375</xdr:colOff>
                    <xdr:row>28</xdr:row>
                    <xdr:rowOff>9525</xdr:rowOff>
                  </to>
                </anchor>
              </controlPr>
            </control>
          </mc:Choice>
        </mc:AlternateContent>
        <mc:AlternateContent xmlns:mc="http://schemas.openxmlformats.org/markup-compatibility/2006">
          <mc:Choice Requires="x14">
            <control shapeId="38933" r:id="rId24" name="Check Box 21">
              <controlPr defaultSize="0" autoFill="0" autoLine="0" autoPict="0">
                <anchor moveWithCells="1">
                  <from>
                    <xdr:col>1</xdr:col>
                    <xdr:colOff>152400</xdr:colOff>
                    <xdr:row>27</xdr:row>
                    <xdr:rowOff>180975</xdr:rowOff>
                  </from>
                  <to>
                    <xdr:col>1</xdr:col>
                    <xdr:colOff>333375</xdr:colOff>
                    <xdr:row>28</xdr:row>
                    <xdr:rowOff>180975</xdr:rowOff>
                  </to>
                </anchor>
              </controlPr>
            </control>
          </mc:Choice>
        </mc:AlternateContent>
        <mc:AlternateContent xmlns:mc="http://schemas.openxmlformats.org/markup-compatibility/2006">
          <mc:Choice Requires="x14">
            <control shapeId="38934" r:id="rId25" name="Check Box 22">
              <controlPr defaultSize="0" autoFill="0" autoLine="0" autoPict="0">
                <anchor moveWithCells="1">
                  <from>
                    <xdr:col>1</xdr:col>
                    <xdr:colOff>152400</xdr:colOff>
                    <xdr:row>4</xdr:row>
                    <xdr:rowOff>0</xdr:rowOff>
                  </from>
                  <to>
                    <xdr:col>1</xdr:col>
                    <xdr:colOff>333375</xdr:colOff>
                    <xdr:row>5</xdr:row>
                    <xdr:rowOff>0</xdr:rowOff>
                  </to>
                </anchor>
              </controlPr>
            </control>
          </mc:Choice>
        </mc:AlternateContent>
        <mc:AlternateContent xmlns:mc="http://schemas.openxmlformats.org/markup-compatibility/2006">
          <mc:Choice Requires="x14">
            <control shapeId="38935" r:id="rId26" name="Check Box 23">
              <controlPr defaultSize="0" autoFill="0" autoLine="0" autoPict="0">
                <anchor moveWithCells="1">
                  <from>
                    <xdr:col>1</xdr:col>
                    <xdr:colOff>152400</xdr:colOff>
                    <xdr:row>18</xdr:row>
                    <xdr:rowOff>180975</xdr:rowOff>
                  </from>
                  <to>
                    <xdr:col>1</xdr:col>
                    <xdr:colOff>333375</xdr:colOff>
                    <xdr:row>19</xdr:row>
                    <xdr:rowOff>180975</xdr:rowOff>
                  </to>
                </anchor>
              </controlPr>
            </control>
          </mc:Choice>
        </mc:AlternateContent>
        <mc:AlternateContent xmlns:mc="http://schemas.openxmlformats.org/markup-compatibility/2006">
          <mc:Choice Requires="x14">
            <control shapeId="38936" r:id="rId27" name="Check Box 24">
              <controlPr defaultSize="0" autoFill="0" autoLine="0" autoPict="0">
                <anchor moveWithCells="1">
                  <from>
                    <xdr:col>1</xdr:col>
                    <xdr:colOff>152400</xdr:colOff>
                    <xdr:row>9</xdr:row>
                    <xdr:rowOff>152400</xdr:rowOff>
                  </from>
                  <to>
                    <xdr:col>1</xdr:col>
                    <xdr:colOff>333375</xdr:colOff>
                    <xdr:row>10</xdr:row>
                    <xdr:rowOff>152400</xdr:rowOff>
                  </to>
                </anchor>
              </controlPr>
            </control>
          </mc:Choice>
        </mc:AlternateContent>
        <mc:AlternateContent xmlns:mc="http://schemas.openxmlformats.org/markup-compatibility/2006">
          <mc:Choice Requires="x14">
            <control shapeId="38937" r:id="rId28" name="Check Box 25">
              <controlPr defaultSize="0" autoFill="0" autoLine="0" autoPict="0">
                <anchor moveWithCells="1">
                  <from>
                    <xdr:col>1</xdr:col>
                    <xdr:colOff>152400</xdr:colOff>
                    <xdr:row>30</xdr:row>
                    <xdr:rowOff>0</xdr:rowOff>
                  </from>
                  <to>
                    <xdr:col>1</xdr:col>
                    <xdr:colOff>333375</xdr:colOff>
                    <xdr:row>31</xdr:row>
                    <xdr:rowOff>0</xdr:rowOff>
                  </to>
                </anchor>
              </controlPr>
            </control>
          </mc:Choice>
        </mc:AlternateContent>
        <mc:AlternateContent xmlns:mc="http://schemas.openxmlformats.org/markup-compatibility/2006">
          <mc:Choice Requires="x14">
            <control shapeId="38938" r:id="rId29" name="Check Box 26">
              <controlPr defaultSize="0" autoFill="0" autoLine="0" autoPict="0">
                <anchor moveWithCells="1">
                  <from>
                    <xdr:col>1</xdr:col>
                    <xdr:colOff>152400</xdr:colOff>
                    <xdr:row>31</xdr:row>
                    <xdr:rowOff>0</xdr:rowOff>
                  </from>
                  <to>
                    <xdr:col>1</xdr:col>
                    <xdr:colOff>333375</xdr:colOff>
                    <xdr:row>32</xdr:row>
                    <xdr:rowOff>0</xdr:rowOff>
                  </to>
                </anchor>
              </controlPr>
            </control>
          </mc:Choice>
        </mc:AlternateContent>
        <mc:AlternateContent xmlns:mc="http://schemas.openxmlformats.org/markup-compatibility/2006">
          <mc:Choice Requires="x14">
            <control shapeId="38939" r:id="rId30" name="Check Box 27">
              <controlPr defaultSize="0" autoFill="0" autoLine="0" autoPict="0">
                <anchor moveWithCells="1">
                  <from>
                    <xdr:col>1</xdr:col>
                    <xdr:colOff>152400</xdr:colOff>
                    <xdr:row>32</xdr:row>
                    <xdr:rowOff>0</xdr:rowOff>
                  </from>
                  <to>
                    <xdr:col>1</xdr:col>
                    <xdr:colOff>333375</xdr:colOff>
                    <xdr:row>33</xdr:row>
                    <xdr:rowOff>0</xdr:rowOff>
                  </to>
                </anchor>
              </controlPr>
            </control>
          </mc:Choice>
        </mc:AlternateContent>
        <mc:AlternateContent xmlns:mc="http://schemas.openxmlformats.org/markup-compatibility/2006">
          <mc:Choice Requires="x14">
            <control shapeId="38940" r:id="rId31" name="Check Box 28">
              <controlPr defaultSize="0" autoFill="0" autoLine="0" autoPict="0">
                <anchor moveWithCells="1">
                  <from>
                    <xdr:col>1</xdr:col>
                    <xdr:colOff>152400</xdr:colOff>
                    <xdr:row>32</xdr:row>
                    <xdr:rowOff>171450</xdr:rowOff>
                  </from>
                  <to>
                    <xdr:col>1</xdr:col>
                    <xdr:colOff>333375</xdr:colOff>
                    <xdr:row>33</xdr:row>
                    <xdr:rowOff>171450</xdr:rowOff>
                  </to>
                </anchor>
              </controlPr>
            </control>
          </mc:Choice>
        </mc:AlternateContent>
        <mc:AlternateContent xmlns:mc="http://schemas.openxmlformats.org/markup-compatibility/2006">
          <mc:Choice Requires="x14">
            <control shapeId="38941" r:id="rId32" name="Check Box 29">
              <controlPr defaultSize="0" autoFill="0" autoLine="0" autoPict="0">
                <anchor moveWithCells="1">
                  <from>
                    <xdr:col>1</xdr:col>
                    <xdr:colOff>152400</xdr:colOff>
                    <xdr:row>5</xdr:row>
                    <xdr:rowOff>0</xdr:rowOff>
                  </from>
                  <to>
                    <xdr:col>1</xdr:col>
                    <xdr:colOff>333375</xdr:colOff>
                    <xdr:row>6</xdr:row>
                    <xdr:rowOff>0</xdr:rowOff>
                  </to>
                </anchor>
              </controlPr>
            </control>
          </mc:Choice>
        </mc:AlternateContent>
        <mc:AlternateContent xmlns:mc="http://schemas.openxmlformats.org/markup-compatibility/2006">
          <mc:Choice Requires="x14">
            <control shapeId="38942" r:id="rId33" name="Check Box 30">
              <controlPr defaultSize="0" autoFill="0" autoLine="0" autoPict="0">
                <anchor moveWithCells="1">
                  <from>
                    <xdr:col>1</xdr:col>
                    <xdr:colOff>152400</xdr:colOff>
                    <xdr:row>8</xdr:row>
                    <xdr:rowOff>180975</xdr:rowOff>
                  </from>
                  <to>
                    <xdr:col>1</xdr:col>
                    <xdr:colOff>333375</xdr:colOff>
                    <xdr:row>9</xdr:row>
                    <xdr:rowOff>180975</xdr:rowOff>
                  </to>
                </anchor>
              </controlPr>
            </control>
          </mc:Choice>
        </mc:AlternateContent>
        <mc:AlternateContent xmlns:mc="http://schemas.openxmlformats.org/markup-compatibility/2006">
          <mc:Choice Requires="x14">
            <control shapeId="38943" r:id="rId34" name="Check Box 31">
              <controlPr defaultSize="0" autoFill="0" autoLine="0" autoPict="0">
                <anchor moveWithCells="1">
                  <from>
                    <xdr:col>1</xdr:col>
                    <xdr:colOff>152400</xdr:colOff>
                    <xdr:row>11</xdr:row>
                    <xdr:rowOff>171450</xdr:rowOff>
                  </from>
                  <to>
                    <xdr:col>1</xdr:col>
                    <xdr:colOff>333375</xdr:colOff>
                    <xdr:row>12</xdr:row>
                    <xdr:rowOff>180975</xdr:rowOff>
                  </to>
                </anchor>
              </controlPr>
            </control>
          </mc:Choice>
        </mc:AlternateContent>
        <mc:AlternateContent xmlns:mc="http://schemas.openxmlformats.org/markup-compatibility/2006">
          <mc:Choice Requires="x14">
            <control shapeId="38944" r:id="rId35" name="Check Box 32">
              <controlPr defaultSize="0" autoFill="0" autoLine="0" autoPict="0">
                <anchor moveWithCells="1">
                  <from>
                    <xdr:col>1</xdr:col>
                    <xdr:colOff>152400</xdr:colOff>
                    <xdr:row>33</xdr:row>
                    <xdr:rowOff>180975</xdr:rowOff>
                  </from>
                  <to>
                    <xdr:col>1</xdr:col>
                    <xdr:colOff>333375</xdr:colOff>
                    <xdr:row>34</xdr:row>
                    <xdr:rowOff>180975</xdr:rowOff>
                  </to>
                </anchor>
              </controlPr>
            </control>
          </mc:Choice>
        </mc:AlternateContent>
        <mc:AlternateContent xmlns:mc="http://schemas.openxmlformats.org/markup-compatibility/2006">
          <mc:Choice Requires="x14">
            <control shapeId="38945" r:id="rId36" name="Check Box 33">
              <controlPr defaultSize="0" autoFill="0" autoLine="0" autoPict="0">
                <anchor moveWithCells="1">
                  <from>
                    <xdr:col>1</xdr:col>
                    <xdr:colOff>152400</xdr:colOff>
                    <xdr:row>34</xdr:row>
                    <xdr:rowOff>180975</xdr:rowOff>
                  </from>
                  <to>
                    <xdr:col>1</xdr:col>
                    <xdr:colOff>333375</xdr:colOff>
                    <xdr:row>35</xdr:row>
                    <xdr:rowOff>180975</xdr:rowOff>
                  </to>
                </anchor>
              </controlPr>
            </control>
          </mc:Choice>
        </mc:AlternateContent>
        <mc:AlternateContent xmlns:mc="http://schemas.openxmlformats.org/markup-compatibility/2006">
          <mc:Choice Requires="x14">
            <control shapeId="38946" r:id="rId37" name="Check Box 34">
              <controlPr defaultSize="0" autoFill="0" autoLine="0" autoPict="0">
                <anchor moveWithCells="1">
                  <from>
                    <xdr:col>1</xdr:col>
                    <xdr:colOff>152400</xdr:colOff>
                    <xdr:row>12</xdr:row>
                    <xdr:rowOff>161925</xdr:rowOff>
                  </from>
                  <to>
                    <xdr:col>1</xdr:col>
                    <xdr:colOff>333375</xdr:colOff>
                    <xdr:row>13</xdr:row>
                    <xdr:rowOff>171450</xdr:rowOff>
                  </to>
                </anchor>
              </controlPr>
            </control>
          </mc:Choice>
        </mc:AlternateContent>
        <mc:AlternateContent xmlns:mc="http://schemas.openxmlformats.org/markup-compatibility/2006">
          <mc:Choice Requires="x14">
            <control shapeId="38947" r:id="rId38" name="Check Box 35">
              <controlPr defaultSize="0" autoFill="0" autoLine="0" autoPict="0">
                <anchor moveWithCells="1">
                  <from>
                    <xdr:col>1</xdr:col>
                    <xdr:colOff>142875</xdr:colOff>
                    <xdr:row>35</xdr:row>
                    <xdr:rowOff>180975</xdr:rowOff>
                  </from>
                  <to>
                    <xdr:col>1</xdr:col>
                    <xdr:colOff>323850</xdr:colOff>
                    <xdr:row>36</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dimension ref="A3:P51"/>
  <sheetViews>
    <sheetView zoomScale="85" zoomScaleNormal="85" workbookViewId="0">
      <selection activeCell="C26" sqref="C26"/>
    </sheetView>
  </sheetViews>
  <sheetFormatPr defaultColWidth="11.42578125" defaultRowHeight="15" x14ac:dyDescent="0.25"/>
  <cols>
    <col min="1" max="1" width="18.5703125" customWidth="1"/>
    <col min="2" max="2" width="5.85546875" customWidth="1"/>
    <col min="3" max="3" width="11.42578125" style="2"/>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6" x14ac:dyDescent="0.25">
      <c r="C3" s="3" t="s">
        <v>1</v>
      </c>
      <c r="D3" s="3" t="s">
        <v>24</v>
      </c>
      <c r="E3" s="19" t="s">
        <v>16</v>
      </c>
      <c r="F3" s="16" t="s">
        <v>15</v>
      </c>
      <c r="G3" s="21" t="s">
        <v>14</v>
      </c>
      <c r="H3" s="17" t="s">
        <v>0</v>
      </c>
      <c r="I3" s="19" t="s">
        <v>29</v>
      </c>
      <c r="J3" s="16" t="s">
        <v>30</v>
      </c>
      <c r="K3" s="21" t="s">
        <v>14</v>
      </c>
      <c r="L3" s="17" t="s">
        <v>31</v>
      </c>
    </row>
    <row r="4" spans="1:16" x14ac:dyDescent="0.25">
      <c r="A4" s="32" t="s">
        <v>3</v>
      </c>
      <c r="B4" s="32"/>
      <c r="C4" s="33">
        <f>60</f>
        <v>60</v>
      </c>
      <c r="E4" s="20">
        <f>12/100</f>
        <v>0.12</v>
      </c>
      <c r="F4" s="6">
        <f>60/100</f>
        <v>0.6</v>
      </c>
      <c r="G4" s="22">
        <f>7.1/100</f>
        <v>7.0999999999999994E-2</v>
      </c>
      <c r="H4" s="18">
        <f>371/100</f>
        <v>3.71</v>
      </c>
      <c r="I4" s="20">
        <f t="shared" ref="I4:K34" si="0">IF($M4=TRUE,E4*$C4,0)</f>
        <v>7.1999999999999993</v>
      </c>
      <c r="J4" s="6">
        <f t="shared" si="0"/>
        <v>36</v>
      </c>
      <c r="K4" s="22">
        <f t="shared" si="0"/>
        <v>4.26</v>
      </c>
      <c r="L4" s="18">
        <f t="shared" ref="L4:L38" si="1">IF($M4=TRUE, H4*C4,0)</f>
        <v>222.6</v>
      </c>
      <c r="M4" t="b">
        <v>1</v>
      </c>
    </row>
    <row r="5" spans="1:16" x14ac:dyDescent="0.25">
      <c r="A5" s="34" t="s">
        <v>33</v>
      </c>
      <c r="B5" s="32"/>
      <c r="C5" s="33">
        <f>156</f>
        <v>156</v>
      </c>
      <c r="E5" s="20">
        <f>11/100</f>
        <v>0.11</v>
      </c>
      <c r="F5" s="6">
        <f>0.7/100</f>
        <v>6.9999999999999993E-3</v>
      </c>
      <c r="G5" s="22">
        <f>0.2/100</f>
        <v>2E-3</v>
      </c>
      <c r="H5" s="18">
        <f>52/100</f>
        <v>0.52</v>
      </c>
      <c r="I5" s="20">
        <f t="shared" si="0"/>
        <v>17.16</v>
      </c>
      <c r="J5" s="6">
        <f t="shared" si="0"/>
        <v>1.0919999999999999</v>
      </c>
      <c r="K5" s="22">
        <f t="shared" si="0"/>
        <v>0.312</v>
      </c>
      <c r="L5" s="18">
        <f>IF($M5=TRUE, H5*C5,0)</f>
        <v>81.12</v>
      </c>
      <c r="M5" t="b">
        <v>1</v>
      </c>
    </row>
    <row r="6" spans="1:16" x14ac:dyDescent="0.25">
      <c r="A6" s="34" t="s">
        <v>67</v>
      </c>
      <c r="B6" s="32"/>
      <c r="C6" s="33">
        <f>45</f>
        <v>45</v>
      </c>
      <c r="E6" s="20">
        <f>2.4/100</f>
        <v>2.4E-2</v>
      </c>
      <c r="F6" s="6">
        <v>0</v>
      </c>
      <c r="G6" s="22">
        <f>27/100</f>
        <v>0.27</v>
      </c>
      <c r="H6" s="18">
        <f>350/100</f>
        <v>3.5</v>
      </c>
      <c r="I6" s="20">
        <f t="shared" si="0"/>
        <v>1.08</v>
      </c>
      <c r="J6" s="6">
        <f t="shared" si="0"/>
        <v>0</v>
      </c>
      <c r="K6" s="22">
        <f t="shared" si="0"/>
        <v>12.15</v>
      </c>
      <c r="L6" s="18">
        <f>IF($M6=TRUE, H6*C6,0)</f>
        <v>157.5</v>
      </c>
      <c r="M6" t="b">
        <v>1</v>
      </c>
      <c r="P6">
        <v>1</v>
      </c>
    </row>
    <row r="7" spans="1:16" x14ac:dyDescent="0.25">
      <c r="A7" s="32" t="s">
        <v>18</v>
      </c>
      <c r="B7" s="32"/>
      <c r="C7" s="33">
        <f>295</f>
        <v>295</v>
      </c>
      <c r="E7" s="20">
        <f>3.2/100</f>
        <v>3.2000000000000001E-2</v>
      </c>
      <c r="F7" s="6">
        <f>4.8/100</f>
        <v>4.8000000000000001E-2</v>
      </c>
      <c r="G7" s="22">
        <f>1.6/100</f>
        <v>1.6E-2</v>
      </c>
      <c r="H7" s="18">
        <f>46/100</f>
        <v>0.46</v>
      </c>
      <c r="I7" s="20">
        <f t="shared" si="0"/>
        <v>9.44</v>
      </c>
      <c r="J7" s="6">
        <f t="shared" si="0"/>
        <v>14.16</v>
      </c>
      <c r="K7" s="22">
        <f t="shared" si="0"/>
        <v>4.72</v>
      </c>
      <c r="L7" s="18">
        <f>IF($M7=TRUE, H7*C7,0)</f>
        <v>135.70000000000002</v>
      </c>
      <c r="M7" t="b">
        <v>1</v>
      </c>
    </row>
    <row r="8" spans="1:16" x14ac:dyDescent="0.25">
      <c r="A8" s="36" t="s">
        <v>5</v>
      </c>
      <c r="B8" s="36"/>
      <c r="C8" s="38">
        <f>130</f>
        <v>130</v>
      </c>
      <c r="E8" s="20">
        <f>20.7/100</f>
        <v>0.20699999999999999</v>
      </c>
      <c r="F8" s="6">
        <f>2.2/100</f>
        <v>2.2000000000000002E-2</v>
      </c>
      <c r="G8" s="22">
        <f>0.9/100</f>
        <v>9.0000000000000011E-3</v>
      </c>
      <c r="H8" s="18">
        <f>94/100</f>
        <v>0.94</v>
      </c>
      <c r="I8" s="20">
        <f t="shared" si="0"/>
        <v>26.91</v>
      </c>
      <c r="J8" s="6">
        <f t="shared" si="0"/>
        <v>2.8600000000000003</v>
      </c>
      <c r="K8" s="22">
        <f t="shared" si="0"/>
        <v>1.1700000000000002</v>
      </c>
      <c r="L8" s="18">
        <f t="shared" si="1"/>
        <v>122.19999999999999</v>
      </c>
      <c r="M8" t="b">
        <v>1</v>
      </c>
    </row>
    <row r="9" spans="1:16" x14ac:dyDescent="0.25">
      <c r="A9" s="36" t="s">
        <v>6</v>
      </c>
      <c r="B9" s="36"/>
      <c r="C9" s="38">
        <f>256/2*2</f>
        <v>256</v>
      </c>
      <c r="E9" s="20">
        <f>20/100</f>
        <v>0.2</v>
      </c>
      <c r="F9" s="6">
        <f>0.2/100</f>
        <v>2E-3</v>
      </c>
      <c r="G9" s="22">
        <f>5/100</f>
        <v>0.05</v>
      </c>
      <c r="H9" s="18">
        <f>126/100</f>
        <v>1.26</v>
      </c>
      <c r="I9" s="20">
        <f t="shared" si="0"/>
        <v>51.2</v>
      </c>
      <c r="J9" s="6">
        <f t="shared" si="0"/>
        <v>0.51200000000000001</v>
      </c>
      <c r="K9" s="22">
        <f t="shared" si="0"/>
        <v>12.8</v>
      </c>
      <c r="L9" s="18">
        <f t="shared" si="1"/>
        <v>322.56</v>
      </c>
      <c r="M9" t="b">
        <v>1</v>
      </c>
    </row>
    <row r="10" spans="1:16" x14ac:dyDescent="0.25">
      <c r="A10" s="36" t="s">
        <v>57</v>
      </c>
      <c r="B10" s="36"/>
      <c r="C10" s="38">
        <v>155</v>
      </c>
      <c r="E10" s="20">
        <f>19/100</f>
        <v>0.19</v>
      </c>
      <c r="F10" s="6">
        <v>0</v>
      </c>
      <c r="G10" s="22">
        <f>12/100</f>
        <v>0.12</v>
      </c>
      <c r="H10" s="18">
        <f>184/100</f>
        <v>1.84</v>
      </c>
      <c r="I10" s="20">
        <f t="shared" si="0"/>
        <v>0</v>
      </c>
      <c r="J10" s="6">
        <f t="shared" si="0"/>
        <v>0</v>
      </c>
      <c r="K10" s="22">
        <f t="shared" si="0"/>
        <v>0</v>
      </c>
      <c r="L10" s="18">
        <f>IF($M10=TRUE, H10*C10,0)</f>
        <v>0</v>
      </c>
      <c r="M10" t="b">
        <v>0</v>
      </c>
    </row>
    <row r="11" spans="1:16" x14ac:dyDescent="0.25">
      <c r="A11" s="36" t="s">
        <v>59</v>
      </c>
      <c r="B11" s="36"/>
      <c r="C11" s="38">
        <v>360</v>
      </c>
      <c r="E11" s="20">
        <f>20/100</f>
        <v>0.2</v>
      </c>
      <c r="F11" s="6">
        <v>0</v>
      </c>
      <c r="G11" s="22">
        <f>5/100</f>
        <v>0.05</v>
      </c>
      <c r="H11" s="18">
        <f>121/100</f>
        <v>1.21</v>
      </c>
      <c r="I11" s="20">
        <f t="shared" si="0"/>
        <v>0</v>
      </c>
      <c r="J11" s="6">
        <f t="shared" si="0"/>
        <v>0</v>
      </c>
      <c r="K11" s="22">
        <f t="shared" si="0"/>
        <v>0</v>
      </c>
      <c r="L11" s="18">
        <f>IF($M11=TRUE, H11*C11,0)</f>
        <v>0</v>
      </c>
      <c r="M11" t="b">
        <v>0</v>
      </c>
    </row>
    <row r="12" spans="1:16" x14ac:dyDescent="0.25">
      <c r="A12" s="36" t="s">
        <v>13</v>
      </c>
      <c r="B12" s="36"/>
      <c r="C12" s="38">
        <v>1</v>
      </c>
      <c r="E12" s="20">
        <v>20</v>
      </c>
      <c r="F12" s="6">
        <v>1</v>
      </c>
      <c r="G12" s="22">
        <v>1</v>
      </c>
      <c r="H12" s="18">
        <v>93</v>
      </c>
      <c r="I12" s="20">
        <f t="shared" si="0"/>
        <v>0</v>
      </c>
      <c r="J12" s="6">
        <f t="shared" si="0"/>
        <v>0</v>
      </c>
      <c r="K12" s="22">
        <f t="shared" si="0"/>
        <v>0</v>
      </c>
      <c r="L12" s="18">
        <f>IF($M12=TRUE, H12*C12,0)</f>
        <v>0</v>
      </c>
      <c r="M12" t="b">
        <v>0</v>
      </c>
    </row>
    <row r="13" spans="1:16" x14ac:dyDescent="0.25">
      <c r="A13" s="36" t="s">
        <v>80</v>
      </c>
      <c r="B13" s="36"/>
      <c r="C13" s="38">
        <v>126</v>
      </c>
      <c r="E13" s="20">
        <f>24/100</f>
        <v>0.24</v>
      </c>
      <c r="F13" s="6">
        <f>1/100</f>
        <v>0.01</v>
      </c>
      <c r="G13" s="22">
        <f>1/100</f>
        <v>0.01</v>
      </c>
      <c r="H13" s="18">
        <f>105/100</f>
        <v>1.05</v>
      </c>
      <c r="I13" s="20">
        <f t="shared" si="0"/>
        <v>0</v>
      </c>
      <c r="J13" s="6">
        <f t="shared" si="0"/>
        <v>0</v>
      </c>
      <c r="K13" s="22">
        <f t="shared" si="0"/>
        <v>0</v>
      </c>
      <c r="L13" s="18">
        <f>IF($M13=TRUE, H13*C13,0)</f>
        <v>0</v>
      </c>
      <c r="M13" t="b">
        <v>0</v>
      </c>
    </row>
    <row r="14" spans="1:16" x14ac:dyDescent="0.25">
      <c r="A14" s="36" t="s">
        <v>82</v>
      </c>
      <c r="B14" s="36"/>
      <c r="C14" s="38">
        <v>168</v>
      </c>
      <c r="E14" s="20">
        <f>24/100</f>
        <v>0.24</v>
      </c>
      <c r="F14" s="6">
        <v>0</v>
      </c>
      <c r="G14" s="22">
        <f>0</f>
        <v>0</v>
      </c>
      <c r="H14" s="18">
        <f>24*4/100</f>
        <v>0.96</v>
      </c>
      <c r="I14" s="20">
        <f t="shared" si="0"/>
        <v>40.32</v>
      </c>
      <c r="J14" s="6">
        <f t="shared" si="0"/>
        <v>0</v>
      </c>
      <c r="K14" s="22">
        <f t="shared" si="0"/>
        <v>0</v>
      </c>
      <c r="L14" s="18">
        <f>IF($M14=TRUE, H14*C14,0)</f>
        <v>161.28</v>
      </c>
      <c r="M14" t="b">
        <v>1</v>
      </c>
    </row>
    <row r="15" spans="1:16" x14ac:dyDescent="0.25">
      <c r="A15" t="s">
        <v>7</v>
      </c>
      <c r="C15" s="28">
        <v>50</v>
      </c>
      <c r="E15" s="20">
        <f>12.68/100</f>
        <v>0.1268</v>
      </c>
      <c r="F15" s="6">
        <f>72.83/100</f>
        <v>0.72829999999999995</v>
      </c>
      <c r="G15" s="22">
        <f>1.05/100</f>
        <v>1.0500000000000001E-2</v>
      </c>
      <c r="H15" s="18">
        <f>360/100</f>
        <v>3.6</v>
      </c>
      <c r="I15" s="20">
        <f t="shared" si="0"/>
        <v>0</v>
      </c>
      <c r="J15" s="6">
        <f t="shared" si="0"/>
        <v>0</v>
      </c>
      <c r="K15" s="22">
        <f t="shared" si="0"/>
        <v>0</v>
      </c>
      <c r="L15" s="18">
        <f t="shared" si="1"/>
        <v>0</v>
      </c>
      <c r="M15" t="b">
        <v>0</v>
      </c>
    </row>
    <row r="16" spans="1:16" x14ac:dyDescent="0.25">
      <c r="A16" t="s">
        <v>8</v>
      </c>
      <c r="C16" s="28">
        <v>39</v>
      </c>
      <c r="E16" s="20">
        <f>8.8/100</f>
        <v>8.8000000000000009E-2</v>
      </c>
      <c r="F16" s="6">
        <f>72/100</f>
        <v>0.72</v>
      </c>
      <c r="G16" s="22">
        <f>2.2/100</f>
        <v>2.2000000000000002E-2</v>
      </c>
      <c r="H16" s="18">
        <f>343/100</f>
        <v>3.43</v>
      </c>
      <c r="I16" s="20">
        <f t="shared" si="0"/>
        <v>0</v>
      </c>
      <c r="J16" s="6">
        <f t="shared" si="0"/>
        <v>0</v>
      </c>
      <c r="K16" s="22">
        <f t="shared" si="0"/>
        <v>0</v>
      </c>
      <c r="L16" s="18">
        <f t="shared" si="1"/>
        <v>0</v>
      </c>
      <c r="M16" t="b">
        <v>0</v>
      </c>
    </row>
    <row r="17" spans="1:13" x14ac:dyDescent="0.25">
      <c r="A17" s="35" t="s">
        <v>9</v>
      </c>
      <c r="B17" s="35"/>
      <c r="C17" s="39">
        <f>99</f>
        <v>99</v>
      </c>
      <c r="E17" s="20">
        <f>1.5/100</f>
        <v>1.4999999999999999E-2</v>
      </c>
      <c r="F17" s="6">
        <f>20/100</f>
        <v>0.2</v>
      </c>
      <c r="G17" s="22">
        <v>0</v>
      </c>
      <c r="H17" s="18">
        <f>90/100</f>
        <v>0.9</v>
      </c>
      <c r="I17" s="20">
        <f t="shared" si="0"/>
        <v>1.4849999999999999</v>
      </c>
      <c r="J17" s="6">
        <f t="shared" si="0"/>
        <v>19.8</v>
      </c>
      <c r="K17" s="22">
        <f t="shared" si="0"/>
        <v>0</v>
      </c>
      <c r="L17" s="18">
        <f t="shared" si="1"/>
        <v>89.100000000000009</v>
      </c>
      <c r="M17" t="b">
        <v>1</v>
      </c>
    </row>
    <row r="18" spans="1:13" x14ac:dyDescent="0.25">
      <c r="A18" s="35" t="s">
        <v>10</v>
      </c>
      <c r="B18" s="35"/>
      <c r="C18" s="39">
        <v>69</v>
      </c>
      <c r="E18" s="20">
        <f>1.6/100</f>
        <v>1.6E-2</v>
      </c>
      <c r="F18" s="6">
        <f>11/100</f>
        <v>0.11</v>
      </c>
      <c r="G18" s="22">
        <f>0.3/100</f>
        <v>3.0000000000000001E-3</v>
      </c>
      <c r="H18" s="18">
        <f>53/100</f>
        <v>0.53</v>
      </c>
      <c r="I18" s="20">
        <f t="shared" si="0"/>
        <v>0</v>
      </c>
      <c r="J18" s="6">
        <f t="shared" si="0"/>
        <v>0</v>
      </c>
      <c r="K18" s="22">
        <f t="shared" si="0"/>
        <v>0</v>
      </c>
      <c r="L18" s="18">
        <f t="shared" si="1"/>
        <v>0</v>
      </c>
      <c r="M18" t="b">
        <v>0</v>
      </c>
    </row>
    <row r="19" spans="1:13" x14ac:dyDescent="0.25">
      <c r="A19" s="35" t="s">
        <v>11</v>
      </c>
      <c r="B19" s="35"/>
      <c r="C19" s="39">
        <v>221</v>
      </c>
      <c r="E19" s="20">
        <f>1/100</f>
        <v>0.01</v>
      </c>
      <c r="F19" s="6">
        <f>9/100</f>
        <v>0.09</v>
      </c>
      <c r="G19" s="22">
        <f>0.2/100</f>
        <v>2E-3</v>
      </c>
      <c r="H19" s="18">
        <f>45/100</f>
        <v>0.45</v>
      </c>
      <c r="I19" s="20">
        <f t="shared" si="0"/>
        <v>2.21</v>
      </c>
      <c r="J19" s="6">
        <f t="shared" si="0"/>
        <v>19.89</v>
      </c>
      <c r="K19" s="22">
        <f t="shared" si="0"/>
        <v>0.442</v>
      </c>
      <c r="L19" s="18">
        <f t="shared" si="1"/>
        <v>99.45</v>
      </c>
      <c r="M19" t="b">
        <v>1</v>
      </c>
    </row>
    <row r="20" spans="1:13" x14ac:dyDescent="0.25">
      <c r="A20" t="s">
        <v>58</v>
      </c>
      <c r="C20" s="28">
        <v>180</v>
      </c>
      <c r="E20" s="20">
        <f>1.6/100</f>
        <v>1.6E-2</v>
      </c>
      <c r="F20" s="6">
        <f>20/100</f>
        <v>0.2</v>
      </c>
      <c r="G20" s="22">
        <f>0.1/100</f>
        <v>1E-3</v>
      </c>
      <c r="H20" s="18">
        <f>86/100</f>
        <v>0.86</v>
      </c>
      <c r="I20" s="20">
        <f>IF($M20=TRUE,E20*$C20,0)</f>
        <v>0</v>
      </c>
      <c r="J20" s="6">
        <f>IF($M20=TRUE,F20*$C20,0)</f>
        <v>0</v>
      </c>
      <c r="K20" s="22">
        <f>IF($M20=TRUE,G20*$C20,0)</f>
        <v>0</v>
      </c>
      <c r="L20" s="18">
        <f>IF($M20=TRUE, H20*C20,0)</f>
        <v>0</v>
      </c>
      <c r="M20" t="b">
        <v>0</v>
      </c>
    </row>
    <row r="21" spans="1:13" x14ac:dyDescent="0.25">
      <c r="A21" t="s">
        <v>12</v>
      </c>
      <c r="C21" s="28">
        <f>70+40</f>
        <v>110</v>
      </c>
      <c r="E21" s="20">
        <f>11/100</f>
        <v>0.11</v>
      </c>
      <c r="F21" s="6">
        <f>54/100</f>
        <v>0.54</v>
      </c>
      <c r="G21" s="22">
        <f>3.3/100</f>
        <v>3.3000000000000002E-2</v>
      </c>
      <c r="H21" s="18">
        <f>293/100</f>
        <v>2.93</v>
      </c>
      <c r="I21" s="20">
        <f t="shared" si="0"/>
        <v>12.1</v>
      </c>
      <c r="J21" s="6">
        <f t="shared" si="0"/>
        <v>59.400000000000006</v>
      </c>
      <c r="K21" s="22">
        <f t="shared" si="0"/>
        <v>3.6300000000000003</v>
      </c>
      <c r="L21" s="18">
        <f t="shared" si="1"/>
        <v>322.3</v>
      </c>
      <c r="M21" t="b">
        <v>1</v>
      </c>
    </row>
    <row r="22" spans="1:13" x14ac:dyDescent="0.25">
      <c r="A22" t="s">
        <v>17</v>
      </c>
      <c r="C22" s="28">
        <v>24</v>
      </c>
      <c r="D22" s="2" t="s">
        <v>23</v>
      </c>
      <c r="E22" s="20">
        <f>3/100</f>
        <v>0.03</v>
      </c>
      <c r="F22" s="6">
        <f>11/100</f>
        <v>0.11</v>
      </c>
      <c r="G22" s="22">
        <f>1.5/100</f>
        <v>1.4999999999999999E-2</v>
      </c>
      <c r="H22" s="18">
        <f>74/100</f>
        <v>0.74</v>
      </c>
      <c r="I22" s="20">
        <f t="shared" si="0"/>
        <v>0</v>
      </c>
      <c r="J22" s="6">
        <f t="shared" si="0"/>
        <v>0</v>
      </c>
      <c r="K22" s="22">
        <f t="shared" si="0"/>
        <v>0</v>
      </c>
      <c r="L22" s="18">
        <f t="shared" si="1"/>
        <v>0</v>
      </c>
      <c r="M22" t="b">
        <v>0</v>
      </c>
    </row>
    <row r="23" spans="1:13" x14ac:dyDescent="0.25">
      <c r="A23" t="s">
        <v>19</v>
      </c>
      <c r="C23" s="28">
        <v>137</v>
      </c>
      <c r="D23" s="2" t="s">
        <v>25</v>
      </c>
      <c r="E23" s="20">
        <f>2/100</f>
        <v>0.02</v>
      </c>
      <c r="F23" s="6">
        <f>17/100</f>
        <v>0.17</v>
      </c>
      <c r="G23" s="22">
        <f>0.1/100</f>
        <v>1E-3</v>
      </c>
      <c r="H23" s="18">
        <f>77/100</f>
        <v>0.77</v>
      </c>
      <c r="I23" s="20">
        <f t="shared" si="0"/>
        <v>0</v>
      </c>
      <c r="J23" s="6">
        <f t="shared" si="0"/>
        <v>0</v>
      </c>
      <c r="K23" s="22">
        <f t="shared" si="0"/>
        <v>0</v>
      </c>
      <c r="L23" s="18">
        <f t="shared" si="1"/>
        <v>0</v>
      </c>
      <c r="M23" t="b">
        <v>0</v>
      </c>
    </row>
    <row r="24" spans="1:13" x14ac:dyDescent="0.25">
      <c r="A24" t="s">
        <v>20</v>
      </c>
      <c r="C24" s="28">
        <f>110</f>
        <v>110</v>
      </c>
      <c r="E24" s="20">
        <f>25/100</f>
        <v>0.25</v>
      </c>
      <c r="F24" s="6">
        <v>0</v>
      </c>
      <c r="G24" s="22">
        <f>1/100</f>
        <v>0.01</v>
      </c>
      <c r="H24" s="18">
        <f>109/100</f>
        <v>1.0900000000000001</v>
      </c>
      <c r="I24" s="20">
        <f t="shared" si="0"/>
        <v>27.5</v>
      </c>
      <c r="J24" s="6">
        <f t="shared" si="0"/>
        <v>0</v>
      </c>
      <c r="K24" s="22">
        <f t="shared" si="0"/>
        <v>1.1000000000000001</v>
      </c>
      <c r="L24" s="18">
        <f t="shared" si="1"/>
        <v>119.9</v>
      </c>
      <c r="M24" t="b">
        <v>1</v>
      </c>
    </row>
    <row r="25" spans="1:13" x14ac:dyDescent="0.25">
      <c r="A25" s="35" t="s">
        <v>21</v>
      </c>
      <c r="B25" s="35"/>
      <c r="C25" s="39">
        <v>130</v>
      </c>
      <c r="D25" s="2" t="s">
        <v>22</v>
      </c>
      <c r="E25" s="20">
        <f>2.3/100</f>
        <v>2.3E-2</v>
      </c>
      <c r="F25" s="6">
        <f>7.2/100</f>
        <v>7.2000000000000008E-2</v>
      </c>
      <c r="G25" s="22">
        <f>0.5/100</f>
        <v>5.0000000000000001E-3</v>
      </c>
      <c r="H25" s="18">
        <f>44/100</f>
        <v>0.44</v>
      </c>
      <c r="I25" s="20">
        <f t="shared" si="0"/>
        <v>0</v>
      </c>
      <c r="J25" s="6">
        <f t="shared" si="0"/>
        <v>0</v>
      </c>
      <c r="K25" s="22">
        <f t="shared" si="0"/>
        <v>0</v>
      </c>
      <c r="L25" s="18">
        <f t="shared" si="1"/>
        <v>0</v>
      </c>
      <c r="M25" t="b">
        <v>0</v>
      </c>
    </row>
    <row r="26" spans="1:13" x14ac:dyDescent="0.25">
      <c r="A26" t="s">
        <v>26</v>
      </c>
      <c r="C26" s="28"/>
      <c r="E26" s="20">
        <v>0</v>
      </c>
      <c r="F26" s="6">
        <v>0</v>
      </c>
      <c r="G26" s="22">
        <v>0</v>
      </c>
      <c r="H26" s="18">
        <f>275/100</f>
        <v>2.75</v>
      </c>
      <c r="I26" s="20">
        <f t="shared" si="0"/>
        <v>0</v>
      </c>
      <c r="J26" s="6">
        <f t="shared" si="0"/>
        <v>0</v>
      </c>
      <c r="K26" s="22">
        <f t="shared" si="0"/>
        <v>0</v>
      </c>
      <c r="L26" s="18">
        <f t="shared" si="1"/>
        <v>0</v>
      </c>
      <c r="M26" t="b">
        <v>0</v>
      </c>
    </row>
    <row r="27" spans="1:13" x14ac:dyDescent="0.25">
      <c r="A27" t="s">
        <v>32</v>
      </c>
      <c r="C27" s="28">
        <v>20</v>
      </c>
      <c r="E27" s="20">
        <f>22/100</f>
        <v>0.22</v>
      </c>
      <c r="F27" s="6">
        <f>6.9/100</f>
        <v>6.9000000000000006E-2</v>
      </c>
      <c r="G27" s="22">
        <f>54/100</f>
        <v>0.54</v>
      </c>
      <c r="H27" s="18">
        <f>620/100</f>
        <v>6.2</v>
      </c>
      <c r="I27" s="20">
        <f t="shared" si="0"/>
        <v>0</v>
      </c>
      <c r="J27" s="6">
        <f t="shared" si="0"/>
        <v>0</v>
      </c>
      <c r="K27" s="22">
        <f t="shared" si="0"/>
        <v>0</v>
      </c>
      <c r="L27" s="18">
        <f t="shared" si="1"/>
        <v>0</v>
      </c>
      <c r="M27" t="b">
        <v>0</v>
      </c>
    </row>
    <row r="28" spans="1:13" x14ac:dyDescent="0.25">
      <c r="A28" t="s">
        <v>33</v>
      </c>
      <c r="C28" s="28">
        <v>143</v>
      </c>
      <c r="E28" s="20">
        <v>3.6</v>
      </c>
      <c r="F28" s="6">
        <v>0.2</v>
      </c>
      <c r="G28" s="22">
        <v>0.1</v>
      </c>
      <c r="H28" s="18">
        <f>17</f>
        <v>17</v>
      </c>
      <c r="I28" s="20">
        <f t="shared" si="0"/>
        <v>0</v>
      </c>
      <c r="J28" s="6">
        <f t="shared" si="0"/>
        <v>0</v>
      </c>
      <c r="K28" s="22">
        <f t="shared" si="0"/>
        <v>0</v>
      </c>
      <c r="L28" s="18">
        <f t="shared" si="1"/>
        <v>0</v>
      </c>
      <c r="M28" t="b">
        <v>0</v>
      </c>
    </row>
    <row r="29" spans="1:13" x14ac:dyDescent="0.25">
      <c r="A29" t="s">
        <v>34</v>
      </c>
      <c r="C29" s="28">
        <v>50</v>
      </c>
      <c r="E29" s="20">
        <f>7.4/100</f>
        <v>7.400000000000001E-2</v>
      </c>
      <c r="F29" s="6">
        <f>78.7/100</f>
        <v>0.78700000000000003</v>
      </c>
      <c r="G29" s="22">
        <f>0.7/100</f>
        <v>6.9999999999999993E-3</v>
      </c>
      <c r="H29" s="18">
        <f>351/100</f>
        <v>3.51</v>
      </c>
      <c r="I29" s="20">
        <f t="shared" si="0"/>
        <v>0</v>
      </c>
      <c r="J29" s="6">
        <f t="shared" si="0"/>
        <v>0</v>
      </c>
      <c r="K29" s="22">
        <f t="shared" si="0"/>
        <v>0</v>
      </c>
      <c r="L29" s="18">
        <f t="shared" si="1"/>
        <v>0</v>
      </c>
      <c r="M29" t="b">
        <v>0</v>
      </c>
    </row>
    <row r="30" spans="1:13" x14ac:dyDescent="0.25">
      <c r="A30" t="s">
        <v>55</v>
      </c>
      <c r="C30" s="28"/>
      <c r="E30" s="20">
        <f>19/100</f>
        <v>0.19</v>
      </c>
      <c r="F30" s="6">
        <f>61/100</f>
        <v>0.61</v>
      </c>
      <c r="G30" s="22">
        <f>6/100</f>
        <v>0.06</v>
      </c>
      <c r="H30" s="18">
        <f>364/100</f>
        <v>3.64</v>
      </c>
      <c r="I30" s="20">
        <f t="shared" si="0"/>
        <v>0</v>
      </c>
      <c r="J30" s="6">
        <f t="shared" si="0"/>
        <v>0</v>
      </c>
      <c r="K30" s="22">
        <f t="shared" si="0"/>
        <v>0</v>
      </c>
      <c r="L30" s="18">
        <f t="shared" si="1"/>
        <v>0</v>
      </c>
      <c r="M30" t="b">
        <v>0</v>
      </c>
    </row>
    <row r="31" spans="1:13" x14ac:dyDescent="0.25">
      <c r="A31" t="s">
        <v>60</v>
      </c>
      <c r="C31" s="28">
        <v>60</v>
      </c>
      <c r="E31" s="20">
        <f>7.5/100</f>
        <v>7.4999999999999997E-2</v>
      </c>
      <c r="F31" s="6">
        <f>78/100</f>
        <v>0.78</v>
      </c>
      <c r="G31" s="22">
        <f>0.6/100</f>
        <v>6.0000000000000001E-3</v>
      </c>
      <c r="H31" s="18">
        <f>347/100</f>
        <v>3.47</v>
      </c>
      <c r="I31" s="20">
        <f t="shared" si="0"/>
        <v>0</v>
      </c>
      <c r="J31" s="6">
        <f t="shared" si="0"/>
        <v>0</v>
      </c>
      <c r="K31" s="22">
        <f t="shared" si="0"/>
        <v>0</v>
      </c>
      <c r="L31" s="18">
        <f t="shared" si="1"/>
        <v>0</v>
      </c>
      <c r="M31" t="b">
        <v>0</v>
      </c>
    </row>
    <row r="32" spans="1:13" x14ac:dyDescent="0.25">
      <c r="A32" t="s">
        <v>63</v>
      </c>
      <c r="C32" s="28">
        <v>39</v>
      </c>
      <c r="E32" s="20">
        <f>1.4/100</f>
        <v>1.3999999999999999E-2</v>
      </c>
      <c r="F32" s="6">
        <f>9/100</f>
        <v>0.09</v>
      </c>
      <c r="G32" s="22">
        <f>0.2/100</f>
        <v>2E-3</v>
      </c>
      <c r="H32" s="18">
        <f>43/100</f>
        <v>0.43</v>
      </c>
      <c r="I32" s="20">
        <f t="shared" si="0"/>
        <v>0</v>
      </c>
      <c r="J32" s="6">
        <f t="shared" si="0"/>
        <v>0</v>
      </c>
      <c r="K32" s="22">
        <f t="shared" si="0"/>
        <v>0</v>
      </c>
      <c r="L32" s="18">
        <f t="shared" si="1"/>
        <v>0</v>
      </c>
      <c r="M32" t="b">
        <v>0</v>
      </c>
    </row>
    <row r="33" spans="1:16" x14ac:dyDescent="0.25">
      <c r="A33" t="s">
        <v>64</v>
      </c>
      <c r="C33" s="28">
        <v>10</v>
      </c>
      <c r="E33" s="20">
        <f>4.1/100</f>
        <v>4.0999999999999995E-2</v>
      </c>
      <c r="F33" s="6">
        <f>6.6/100</f>
        <v>6.6000000000000003E-2</v>
      </c>
      <c r="G33" s="22">
        <f>5/100</f>
        <v>0.05</v>
      </c>
      <c r="H33" s="18">
        <f>84/100</f>
        <v>0.84</v>
      </c>
      <c r="I33" s="20">
        <f t="shared" si="0"/>
        <v>0</v>
      </c>
      <c r="J33" s="6">
        <f t="shared" si="0"/>
        <v>0</v>
      </c>
      <c r="K33" s="22">
        <f t="shared" si="0"/>
        <v>0</v>
      </c>
      <c r="L33" s="18">
        <f t="shared" si="1"/>
        <v>0</v>
      </c>
      <c r="M33" t="b">
        <v>0</v>
      </c>
    </row>
    <row r="34" spans="1:16" x14ac:dyDescent="0.25">
      <c r="A34" t="s">
        <v>66</v>
      </c>
      <c r="C34" s="28">
        <v>70</v>
      </c>
      <c r="E34" s="20">
        <f>14.1/100</f>
        <v>0.14099999999999999</v>
      </c>
      <c r="F34" s="6">
        <f>68.9/100</f>
        <v>0.68900000000000006</v>
      </c>
      <c r="G34" s="22">
        <f>5.8/100</f>
        <v>5.7999999999999996E-2</v>
      </c>
      <c r="H34" s="18">
        <f>380/100</f>
        <v>3.8</v>
      </c>
      <c r="I34" s="20">
        <f t="shared" si="0"/>
        <v>0</v>
      </c>
      <c r="J34" s="6">
        <f t="shared" si="0"/>
        <v>0</v>
      </c>
      <c r="K34" s="22">
        <f t="shared" si="0"/>
        <v>0</v>
      </c>
      <c r="L34" s="18">
        <f t="shared" si="1"/>
        <v>0</v>
      </c>
      <c r="M34" t="b">
        <v>0</v>
      </c>
    </row>
    <row r="35" spans="1:16" x14ac:dyDescent="0.25">
      <c r="A35" t="s">
        <v>79</v>
      </c>
      <c r="C35" s="28"/>
      <c r="E35" s="20"/>
      <c r="F35" s="6"/>
      <c r="G35" s="22"/>
      <c r="H35" s="18"/>
      <c r="I35" s="20">
        <f t="shared" ref="I35:K37" si="2">IF($M35=TRUE,E35*$C35,0)</f>
        <v>0</v>
      </c>
      <c r="J35" s="6">
        <f t="shared" si="2"/>
        <v>0</v>
      </c>
      <c r="K35" s="22">
        <f t="shared" si="2"/>
        <v>0</v>
      </c>
      <c r="L35" s="18">
        <f t="shared" si="1"/>
        <v>0</v>
      </c>
      <c r="M35" t="b">
        <v>0</v>
      </c>
      <c r="P35">
        <v>2.2046199999999998</v>
      </c>
    </row>
    <row r="36" spans="1:16" x14ac:dyDescent="0.25">
      <c r="A36" t="s">
        <v>81</v>
      </c>
      <c r="C36" s="28">
        <v>66</v>
      </c>
      <c r="E36" s="20">
        <f>1.4/100</f>
        <v>1.3999999999999999E-2</v>
      </c>
      <c r="F36" s="6">
        <f>7/100</f>
        <v>7.0000000000000007E-2</v>
      </c>
      <c r="G36" s="22">
        <f>0.2/100</f>
        <v>2E-3</v>
      </c>
      <c r="H36" s="18"/>
      <c r="I36" s="20">
        <f t="shared" si="2"/>
        <v>0</v>
      </c>
      <c r="J36" s="6">
        <f t="shared" si="2"/>
        <v>0</v>
      </c>
      <c r="K36" s="22">
        <f t="shared" si="2"/>
        <v>0</v>
      </c>
      <c r="L36" s="18">
        <f t="shared" si="1"/>
        <v>0</v>
      </c>
      <c r="M36" t="b">
        <v>0</v>
      </c>
    </row>
    <row r="37" spans="1:16" x14ac:dyDescent="0.25">
      <c r="A37" t="s">
        <v>83</v>
      </c>
      <c r="C37" s="28">
        <v>1</v>
      </c>
      <c r="E37" s="20">
        <f>0.1</f>
        <v>0.1</v>
      </c>
      <c r="F37" s="6">
        <f>2.7</f>
        <v>2.7</v>
      </c>
      <c r="G37" s="22">
        <f>0</f>
        <v>0</v>
      </c>
      <c r="H37" s="18"/>
      <c r="I37" s="20">
        <f t="shared" si="2"/>
        <v>0</v>
      </c>
      <c r="J37" s="6">
        <f t="shared" si="2"/>
        <v>0</v>
      </c>
      <c r="K37" s="22">
        <f t="shared" si="2"/>
        <v>0</v>
      </c>
      <c r="L37" s="18">
        <f t="shared" si="1"/>
        <v>0</v>
      </c>
      <c r="M37" t="b">
        <v>0</v>
      </c>
      <c r="N37" s="2" t="s">
        <v>68</v>
      </c>
    </row>
    <row r="38" spans="1:16" x14ac:dyDescent="0.25">
      <c r="A38" t="s">
        <v>86</v>
      </c>
      <c r="E38" s="20">
        <f>0.7/100</f>
        <v>6.9999999999999993E-3</v>
      </c>
      <c r="F38" s="6">
        <f>3.4/100</f>
        <v>3.4000000000000002E-2</v>
      </c>
      <c r="G38" s="22">
        <f>0.1/100</f>
        <v>1E-3</v>
      </c>
      <c r="H38" s="18"/>
      <c r="I38" s="20">
        <f t="shared" ref="I38:K39" si="3">IF($M38=TRUE,E38*$C38,0)</f>
        <v>0</v>
      </c>
      <c r="J38" s="6">
        <f t="shared" si="3"/>
        <v>0</v>
      </c>
      <c r="K38" s="22">
        <f t="shared" si="3"/>
        <v>0</v>
      </c>
      <c r="L38" s="18">
        <f t="shared" si="1"/>
        <v>0</v>
      </c>
      <c r="M38" t="b">
        <v>0</v>
      </c>
      <c r="N38" s="2"/>
    </row>
    <row r="39" spans="1:16" x14ac:dyDescent="0.25">
      <c r="A39" t="s">
        <v>85</v>
      </c>
      <c r="E39" s="20">
        <f>2/100</f>
        <v>0.02</v>
      </c>
      <c r="F39" s="6">
        <f>9/100</f>
        <v>0.09</v>
      </c>
      <c r="G39" s="22">
        <f>15/100</f>
        <v>0.15</v>
      </c>
      <c r="H39" s="18"/>
      <c r="I39" s="20">
        <f t="shared" si="3"/>
        <v>0</v>
      </c>
      <c r="J39" s="6">
        <f t="shared" si="3"/>
        <v>0</v>
      </c>
      <c r="K39" s="22">
        <f t="shared" si="3"/>
        <v>0</v>
      </c>
      <c r="L39" s="18">
        <f>IF($M39=TRUE, H39*C39,0)</f>
        <v>0</v>
      </c>
      <c r="M39" t="b">
        <v>0</v>
      </c>
      <c r="N39" s="2"/>
    </row>
    <row r="40" spans="1:16" x14ac:dyDescent="0.25">
      <c r="H40" t="s">
        <v>73</v>
      </c>
      <c r="I40" s="46">
        <f>SUM(I4:I37)</f>
        <v>196.60500000000002</v>
      </c>
      <c r="J40" s="47">
        <f>SUM(J4:J37)</f>
        <v>153.714</v>
      </c>
      <c r="K40" s="48">
        <f>SUM(K4:K37)</f>
        <v>40.58400000000001</v>
      </c>
      <c r="L40" t="s">
        <v>65</v>
      </c>
      <c r="N40" s="2">
        <v>67</v>
      </c>
    </row>
    <row r="41" spans="1:16" x14ac:dyDescent="0.25">
      <c r="I41" s="49">
        <f>I40-I43</f>
        <v>11.968075000000027</v>
      </c>
      <c r="J41" s="49">
        <f>J40-J43</f>
        <v>6.004460000000023</v>
      </c>
      <c r="K41" s="49">
        <f>K40-K43</f>
        <v>0.70242420000001005</v>
      </c>
    </row>
    <row r="42" spans="1:16" x14ac:dyDescent="0.25">
      <c r="L42" s="4">
        <f>SUM(L4:L34)</f>
        <v>1833.71</v>
      </c>
    </row>
    <row r="43" spans="1:16" x14ac:dyDescent="0.25">
      <c r="H43" t="s">
        <v>70</v>
      </c>
      <c r="I43" s="43">
        <f>1.25 * $P$35 * $N$40</f>
        <v>184.63692499999999</v>
      </c>
      <c r="J43" s="44">
        <f>1 * $P$35 * $N$40</f>
        <v>147.70953999999998</v>
      </c>
      <c r="K43" s="45">
        <f>0.27 * $P$35 * $N$40</f>
        <v>39.8815758</v>
      </c>
      <c r="L43">
        <f>11.43*P35* N40</f>
        <v>1688.3200421999998</v>
      </c>
    </row>
    <row r="44" spans="1:16" x14ac:dyDescent="0.25">
      <c r="H44" t="s">
        <v>71</v>
      </c>
      <c r="I44" s="43">
        <f>1.15 * $P$35 * $N$40</f>
        <v>169.86597099999997</v>
      </c>
      <c r="J44" s="44">
        <f>1.25 * $P$35 * $N$40</f>
        <v>184.63692499999999</v>
      </c>
      <c r="K44" s="45">
        <f>0.35 * $P$35 * $N$40</f>
        <v>51.69833899999999</v>
      </c>
      <c r="L44">
        <f>11.43*P35* N40</f>
        <v>1688.3200421999998</v>
      </c>
    </row>
    <row r="45" spans="1:16" x14ac:dyDescent="0.25">
      <c r="H45" t="s">
        <v>72</v>
      </c>
      <c r="I45" s="43">
        <f>1.1 * $P$35 * $N$40</f>
        <v>162.48049400000002</v>
      </c>
      <c r="J45" s="44">
        <f>2 * $P$35 * $N$40</f>
        <v>295.41907999999995</v>
      </c>
      <c r="K45" s="45">
        <f>0.5* $P$35 * $N$40</f>
        <v>73.854769999999988</v>
      </c>
      <c r="L45">
        <f>11.43*P35* N40</f>
        <v>1688.3200421999998</v>
      </c>
    </row>
    <row r="46" spans="1:16" x14ac:dyDescent="0.25">
      <c r="A46" t="s">
        <v>77</v>
      </c>
      <c r="B46" t="s">
        <v>78</v>
      </c>
    </row>
    <row r="47" spans="1:16" x14ac:dyDescent="0.25">
      <c r="A47" t="s">
        <v>75</v>
      </c>
    </row>
    <row r="48" spans="1:16" x14ac:dyDescent="0.25">
      <c r="A48" t="s">
        <v>74</v>
      </c>
    </row>
    <row r="49" spans="1:1" x14ac:dyDescent="0.25">
      <c r="A49">
        <f>0.25*J43</f>
        <v>36.927384999999994</v>
      </c>
    </row>
    <row r="50" spans="1:1" x14ac:dyDescent="0.25">
      <c r="A50">
        <f>0.35*J43</f>
        <v>51.69833899999999</v>
      </c>
    </row>
    <row r="51" spans="1:1" x14ac:dyDescent="0.25">
      <c r="A51" t="s">
        <v>76</v>
      </c>
    </row>
  </sheetData>
  <conditionalFormatting sqref="I41">
    <cfRule type="colorScale" priority="3">
      <colorScale>
        <cfvo type="formula" val="-$I$43"/>
        <cfvo type="num" val="0"/>
        <cfvo type="num" val="20"/>
        <color rgb="FFFF8B8B"/>
        <color rgb="FF00B050"/>
        <color rgb="FFFF8B8B"/>
      </colorScale>
    </cfRule>
  </conditionalFormatting>
  <conditionalFormatting sqref="J41">
    <cfRule type="colorScale" priority="2">
      <colorScale>
        <cfvo type="formula" val="-$J$43"/>
        <cfvo type="percentile" val="0"/>
        <cfvo type="num" val="20"/>
        <color rgb="FFFF8B8B"/>
        <color rgb="FF00B050"/>
        <color rgb="FFFF8B8B"/>
      </colorScale>
    </cfRule>
  </conditionalFormatting>
  <conditionalFormatting sqref="K41">
    <cfRule type="colorScale" priority="1">
      <colorScale>
        <cfvo type="formula" val="-$K$43"/>
        <cfvo type="percentile" val="0"/>
        <cfvo type="num" val="20"/>
        <color rgb="FFFF8B8B"/>
        <color rgb="FF00B050"/>
        <color rgb="FFFF8B8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Case à cocher 1">
              <controlPr defaultSize="0" autoFill="0" autoLine="0" autoPict="0">
                <anchor moveWithCells="1">
                  <from>
                    <xdr:col>1</xdr:col>
                    <xdr:colOff>161925</xdr:colOff>
                    <xdr:row>3</xdr:row>
                    <xdr:rowOff>0</xdr:rowOff>
                  </from>
                  <to>
                    <xdr:col>1</xdr:col>
                    <xdr:colOff>342900</xdr:colOff>
                    <xdr:row>4</xdr:row>
                    <xdr:rowOff>0</xdr:rowOff>
                  </to>
                </anchor>
              </controlPr>
            </control>
          </mc:Choice>
        </mc:AlternateContent>
        <mc:AlternateContent xmlns:mc="http://schemas.openxmlformats.org/markup-compatibility/2006">
          <mc:Choice Requires="x14">
            <control shapeId="40962" r:id="rId5" name="Case à cocher 2">
              <controlPr defaultSize="0" autoFill="0" autoLine="0" autoPict="0">
                <anchor moveWithCells="1">
                  <from>
                    <xdr:col>1</xdr:col>
                    <xdr:colOff>152400</xdr:colOff>
                    <xdr:row>3</xdr:row>
                    <xdr:rowOff>9525</xdr:rowOff>
                  </from>
                  <to>
                    <xdr:col>1</xdr:col>
                    <xdr:colOff>333375</xdr:colOff>
                    <xdr:row>4</xdr:row>
                    <xdr:rowOff>9525</xdr:rowOff>
                  </to>
                </anchor>
              </controlPr>
            </control>
          </mc:Choice>
        </mc:AlternateContent>
        <mc:AlternateContent xmlns:mc="http://schemas.openxmlformats.org/markup-compatibility/2006">
          <mc:Choice Requires="x14">
            <control shapeId="40963" r:id="rId6" name="Case à cocher 4">
              <controlPr defaultSize="0" autoFill="0" autoLine="0" autoPict="0">
                <anchor moveWithCells="1">
                  <from>
                    <xdr:col>1</xdr:col>
                    <xdr:colOff>152400</xdr:colOff>
                    <xdr:row>7</xdr:row>
                    <xdr:rowOff>0</xdr:rowOff>
                  </from>
                  <to>
                    <xdr:col>1</xdr:col>
                    <xdr:colOff>333375</xdr:colOff>
                    <xdr:row>8</xdr:row>
                    <xdr:rowOff>0</xdr:rowOff>
                  </to>
                </anchor>
              </controlPr>
            </control>
          </mc:Choice>
        </mc:AlternateContent>
        <mc:AlternateContent xmlns:mc="http://schemas.openxmlformats.org/markup-compatibility/2006">
          <mc:Choice Requires="x14">
            <control shapeId="40964" r:id="rId7" name="Case à cocher 5">
              <controlPr defaultSize="0" autoFill="0" autoLine="0" autoPict="0">
                <anchor moveWithCells="1">
                  <from>
                    <xdr:col>1</xdr:col>
                    <xdr:colOff>152400</xdr:colOff>
                    <xdr:row>8</xdr:row>
                    <xdr:rowOff>9525</xdr:rowOff>
                  </from>
                  <to>
                    <xdr:col>1</xdr:col>
                    <xdr:colOff>333375</xdr:colOff>
                    <xdr:row>9</xdr:row>
                    <xdr:rowOff>9525</xdr:rowOff>
                  </to>
                </anchor>
              </controlPr>
            </control>
          </mc:Choice>
        </mc:AlternateContent>
        <mc:AlternateContent xmlns:mc="http://schemas.openxmlformats.org/markup-compatibility/2006">
          <mc:Choice Requires="x14">
            <control shapeId="40965" r:id="rId8" name="Case à cocher 6">
              <controlPr defaultSize="0" autoFill="0" autoLine="0" autoPict="0">
                <anchor moveWithCells="1">
                  <from>
                    <xdr:col>1</xdr:col>
                    <xdr:colOff>152400</xdr:colOff>
                    <xdr:row>28</xdr:row>
                    <xdr:rowOff>190500</xdr:rowOff>
                  </from>
                  <to>
                    <xdr:col>1</xdr:col>
                    <xdr:colOff>333375</xdr:colOff>
                    <xdr:row>30</xdr:row>
                    <xdr:rowOff>0</xdr:rowOff>
                  </to>
                </anchor>
              </controlPr>
            </control>
          </mc:Choice>
        </mc:AlternateContent>
        <mc:AlternateContent xmlns:mc="http://schemas.openxmlformats.org/markup-compatibility/2006">
          <mc:Choice Requires="x14">
            <control shapeId="40966" r:id="rId9" name="Case à cocher 7">
              <controlPr defaultSize="0" autoFill="0" autoLine="0" autoPict="0">
                <anchor moveWithCells="1">
                  <from>
                    <xdr:col>1</xdr:col>
                    <xdr:colOff>152400</xdr:colOff>
                    <xdr:row>14</xdr:row>
                    <xdr:rowOff>19050</xdr:rowOff>
                  </from>
                  <to>
                    <xdr:col>1</xdr:col>
                    <xdr:colOff>333375</xdr:colOff>
                    <xdr:row>15</xdr:row>
                    <xdr:rowOff>19050</xdr:rowOff>
                  </to>
                </anchor>
              </controlPr>
            </control>
          </mc:Choice>
        </mc:AlternateContent>
        <mc:AlternateContent xmlns:mc="http://schemas.openxmlformats.org/markup-compatibility/2006">
          <mc:Choice Requires="x14">
            <control shapeId="40967" r:id="rId10" name="Case à cocher 8">
              <controlPr defaultSize="0" autoFill="0" autoLine="0" autoPict="0">
                <anchor moveWithCells="1">
                  <from>
                    <xdr:col>1</xdr:col>
                    <xdr:colOff>152400</xdr:colOff>
                    <xdr:row>15</xdr:row>
                    <xdr:rowOff>9525</xdr:rowOff>
                  </from>
                  <to>
                    <xdr:col>1</xdr:col>
                    <xdr:colOff>333375</xdr:colOff>
                    <xdr:row>16</xdr:row>
                    <xdr:rowOff>9525</xdr:rowOff>
                  </to>
                </anchor>
              </controlPr>
            </control>
          </mc:Choice>
        </mc:AlternateContent>
        <mc:AlternateContent xmlns:mc="http://schemas.openxmlformats.org/markup-compatibility/2006">
          <mc:Choice Requires="x14">
            <control shapeId="40968" r:id="rId11" name="Case à cocher 9">
              <controlPr defaultSize="0" autoFill="0" autoLine="0" autoPict="0">
                <anchor moveWithCells="1">
                  <from>
                    <xdr:col>1</xdr:col>
                    <xdr:colOff>152400</xdr:colOff>
                    <xdr:row>16</xdr:row>
                    <xdr:rowOff>9525</xdr:rowOff>
                  </from>
                  <to>
                    <xdr:col>1</xdr:col>
                    <xdr:colOff>333375</xdr:colOff>
                    <xdr:row>17</xdr:row>
                    <xdr:rowOff>9525</xdr:rowOff>
                  </to>
                </anchor>
              </controlPr>
            </control>
          </mc:Choice>
        </mc:AlternateContent>
        <mc:AlternateContent xmlns:mc="http://schemas.openxmlformats.org/markup-compatibility/2006">
          <mc:Choice Requires="x14">
            <control shapeId="40969" r:id="rId12" name="Case à cocher 10">
              <controlPr defaultSize="0" autoFill="0" autoLine="0" autoPict="0">
                <anchor moveWithCells="1">
                  <from>
                    <xdr:col>1</xdr:col>
                    <xdr:colOff>152400</xdr:colOff>
                    <xdr:row>16</xdr:row>
                    <xdr:rowOff>171450</xdr:rowOff>
                  </from>
                  <to>
                    <xdr:col>1</xdr:col>
                    <xdr:colOff>333375</xdr:colOff>
                    <xdr:row>17</xdr:row>
                    <xdr:rowOff>171450</xdr:rowOff>
                  </to>
                </anchor>
              </controlPr>
            </control>
          </mc:Choice>
        </mc:AlternateContent>
        <mc:AlternateContent xmlns:mc="http://schemas.openxmlformats.org/markup-compatibility/2006">
          <mc:Choice Requires="x14">
            <control shapeId="40970" r:id="rId13" name="Case à cocher 11">
              <controlPr defaultSize="0" autoFill="0" autoLine="0" autoPict="0">
                <anchor moveWithCells="1">
                  <from>
                    <xdr:col>1</xdr:col>
                    <xdr:colOff>152400</xdr:colOff>
                    <xdr:row>17</xdr:row>
                    <xdr:rowOff>171450</xdr:rowOff>
                  </from>
                  <to>
                    <xdr:col>1</xdr:col>
                    <xdr:colOff>333375</xdr:colOff>
                    <xdr:row>18</xdr:row>
                    <xdr:rowOff>171450</xdr:rowOff>
                  </to>
                </anchor>
              </controlPr>
            </control>
          </mc:Choice>
        </mc:AlternateContent>
        <mc:AlternateContent xmlns:mc="http://schemas.openxmlformats.org/markup-compatibility/2006">
          <mc:Choice Requires="x14">
            <control shapeId="40971" r:id="rId14" name="Check Box 11">
              <controlPr defaultSize="0" autoFill="0" autoLine="0" autoPict="0">
                <anchor moveWithCells="1">
                  <from>
                    <xdr:col>1</xdr:col>
                    <xdr:colOff>152400</xdr:colOff>
                    <xdr:row>19</xdr:row>
                    <xdr:rowOff>180975</xdr:rowOff>
                  </from>
                  <to>
                    <xdr:col>1</xdr:col>
                    <xdr:colOff>333375</xdr:colOff>
                    <xdr:row>20</xdr:row>
                    <xdr:rowOff>180975</xdr:rowOff>
                  </to>
                </anchor>
              </controlPr>
            </control>
          </mc:Choice>
        </mc:AlternateContent>
        <mc:AlternateContent xmlns:mc="http://schemas.openxmlformats.org/markup-compatibility/2006">
          <mc:Choice Requires="x14">
            <control shapeId="40972" r:id="rId15" name="Check Box 13">
              <controlPr defaultSize="0" autoFill="0" autoLine="0" autoPict="0">
                <anchor moveWithCells="1">
                  <from>
                    <xdr:col>1</xdr:col>
                    <xdr:colOff>152400</xdr:colOff>
                    <xdr:row>10</xdr:row>
                    <xdr:rowOff>180975</xdr:rowOff>
                  </from>
                  <to>
                    <xdr:col>1</xdr:col>
                    <xdr:colOff>333375</xdr:colOff>
                    <xdr:row>12</xdr:row>
                    <xdr:rowOff>0</xdr:rowOff>
                  </to>
                </anchor>
              </controlPr>
            </control>
          </mc:Choice>
        </mc:AlternateContent>
        <mc:AlternateContent xmlns:mc="http://schemas.openxmlformats.org/markup-compatibility/2006">
          <mc:Choice Requires="x14">
            <control shapeId="40973" r:id="rId16" name="Check Box 14">
              <controlPr defaultSize="0" autoFill="0" autoLine="0" autoPict="0">
                <anchor moveWithCells="1">
                  <from>
                    <xdr:col>1</xdr:col>
                    <xdr:colOff>152400</xdr:colOff>
                    <xdr:row>20</xdr:row>
                    <xdr:rowOff>180975</xdr:rowOff>
                  </from>
                  <to>
                    <xdr:col>1</xdr:col>
                    <xdr:colOff>333375</xdr:colOff>
                    <xdr:row>22</xdr:row>
                    <xdr:rowOff>0</xdr:rowOff>
                  </to>
                </anchor>
              </controlPr>
            </control>
          </mc:Choice>
        </mc:AlternateContent>
        <mc:AlternateContent xmlns:mc="http://schemas.openxmlformats.org/markup-compatibility/2006">
          <mc:Choice Requires="x14">
            <control shapeId="40974" r:id="rId17" name="Check Box 15">
              <controlPr defaultSize="0" autoFill="0" autoLine="0" autoPict="0">
                <anchor moveWithCells="1">
                  <from>
                    <xdr:col>1</xdr:col>
                    <xdr:colOff>152400</xdr:colOff>
                    <xdr:row>6</xdr:row>
                    <xdr:rowOff>0</xdr:rowOff>
                  </from>
                  <to>
                    <xdr:col>1</xdr:col>
                    <xdr:colOff>333375</xdr:colOff>
                    <xdr:row>7</xdr:row>
                    <xdr:rowOff>0</xdr:rowOff>
                  </to>
                </anchor>
              </controlPr>
            </control>
          </mc:Choice>
        </mc:AlternateContent>
        <mc:AlternateContent xmlns:mc="http://schemas.openxmlformats.org/markup-compatibility/2006">
          <mc:Choice Requires="x14">
            <control shapeId="40975" r:id="rId18" name="Check Box 16">
              <controlPr defaultSize="0" autoFill="0" autoLine="0" autoPict="0">
                <anchor moveWithCells="1">
                  <from>
                    <xdr:col>1</xdr:col>
                    <xdr:colOff>152400</xdr:colOff>
                    <xdr:row>22</xdr:row>
                    <xdr:rowOff>0</xdr:rowOff>
                  </from>
                  <to>
                    <xdr:col>1</xdr:col>
                    <xdr:colOff>333375</xdr:colOff>
                    <xdr:row>23</xdr:row>
                    <xdr:rowOff>9525</xdr:rowOff>
                  </to>
                </anchor>
              </controlPr>
            </control>
          </mc:Choice>
        </mc:AlternateContent>
        <mc:AlternateContent xmlns:mc="http://schemas.openxmlformats.org/markup-compatibility/2006">
          <mc:Choice Requires="x14">
            <control shapeId="40976" r:id="rId19" name="Check Box 17">
              <controlPr defaultSize="0" autoFill="0" autoLine="0" autoPict="0">
                <anchor moveWithCells="1">
                  <from>
                    <xdr:col>1</xdr:col>
                    <xdr:colOff>152400</xdr:colOff>
                    <xdr:row>22</xdr:row>
                    <xdr:rowOff>180975</xdr:rowOff>
                  </from>
                  <to>
                    <xdr:col>1</xdr:col>
                    <xdr:colOff>333375</xdr:colOff>
                    <xdr:row>24</xdr:row>
                    <xdr:rowOff>0</xdr:rowOff>
                  </to>
                </anchor>
              </controlPr>
            </control>
          </mc:Choice>
        </mc:AlternateContent>
        <mc:AlternateContent xmlns:mc="http://schemas.openxmlformats.org/markup-compatibility/2006">
          <mc:Choice Requires="x14">
            <control shapeId="40977" r:id="rId20" name="Check Box 18">
              <controlPr defaultSize="0" autoFill="0" autoLine="0" autoPict="0">
                <anchor moveWithCells="1">
                  <from>
                    <xdr:col>1</xdr:col>
                    <xdr:colOff>152400</xdr:colOff>
                    <xdr:row>24</xdr:row>
                    <xdr:rowOff>0</xdr:rowOff>
                  </from>
                  <to>
                    <xdr:col>1</xdr:col>
                    <xdr:colOff>333375</xdr:colOff>
                    <xdr:row>25</xdr:row>
                    <xdr:rowOff>0</xdr:rowOff>
                  </to>
                </anchor>
              </controlPr>
            </control>
          </mc:Choice>
        </mc:AlternateContent>
        <mc:AlternateContent xmlns:mc="http://schemas.openxmlformats.org/markup-compatibility/2006">
          <mc:Choice Requires="x14">
            <control shapeId="40978" r:id="rId21" name="Check Box 19">
              <controlPr defaultSize="0" autoFill="0" autoLine="0" autoPict="0">
                <anchor moveWithCells="1">
                  <from>
                    <xdr:col>1</xdr:col>
                    <xdr:colOff>152400</xdr:colOff>
                    <xdr:row>25</xdr:row>
                    <xdr:rowOff>0</xdr:rowOff>
                  </from>
                  <to>
                    <xdr:col>1</xdr:col>
                    <xdr:colOff>333375</xdr:colOff>
                    <xdr:row>26</xdr:row>
                    <xdr:rowOff>0</xdr:rowOff>
                  </to>
                </anchor>
              </controlPr>
            </control>
          </mc:Choice>
        </mc:AlternateContent>
        <mc:AlternateContent xmlns:mc="http://schemas.openxmlformats.org/markup-compatibility/2006">
          <mc:Choice Requires="x14">
            <control shapeId="40979" r:id="rId22" name="Check Box 20">
              <controlPr defaultSize="0" autoFill="0" autoLine="0" autoPict="0">
                <anchor moveWithCells="1">
                  <from>
                    <xdr:col>1</xdr:col>
                    <xdr:colOff>152400</xdr:colOff>
                    <xdr:row>26</xdr:row>
                    <xdr:rowOff>9525</xdr:rowOff>
                  </from>
                  <to>
                    <xdr:col>1</xdr:col>
                    <xdr:colOff>333375</xdr:colOff>
                    <xdr:row>27</xdr:row>
                    <xdr:rowOff>9525</xdr:rowOff>
                  </to>
                </anchor>
              </controlPr>
            </control>
          </mc:Choice>
        </mc:AlternateContent>
        <mc:AlternateContent xmlns:mc="http://schemas.openxmlformats.org/markup-compatibility/2006">
          <mc:Choice Requires="x14">
            <control shapeId="40980" r:id="rId23" name="Check Box 21">
              <controlPr defaultSize="0" autoFill="0" autoLine="0" autoPict="0">
                <anchor moveWithCells="1">
                  <from>
                    <xdr:col>1</xdr:col>
                    <xdr:colOff>152400</xdr:colOff>
                    <xdr:row>27</xdr:row>
                    <xdr:rowOff>9525</xdr:rowOff>
                  </from>
                  <to>
                    <xdr:col>1</xdr:col>
                    <xdr:colOff>333375</xdr:colOff>
                    <xdr:row>28</xdr:row>
                    <xdr:rowOff>9525</xdr:rowOff>
                  </to>
                </anchor>
              </controlPr>
            </control>
          </mc:Choice>
        </mc:AlternateContent>
        <mc:AlternateContent xmlns:mc="http://schemas.openxmlformats.org/markup-compatibility/2006">
          <mc:Choice Requires="x14">
            <control shapeId="40981" r:id="rId24" name="Check Box 21">
              <controlPr defaultSize="0" autoFill="0" autoLine="0" autoPict="0">
                <anchor moveWithCells="1">
                  <from>
                    <xdr:col>1</xdr:col>
                    <xdr:colOff>152400</xdr:colOff>
                    <xdr:row>27</xdr:row>
                    <xdr:rowOff>180975</xdr:rowOff>
                  </from>
                  <to>
                    <xdr:col>1</xdr:col>
                    <xdr:colOff>333375</xdr:colOff>
                    <xdr:row>28</xdr:row>
                    <xdr:rowOff>180975</xdr:rowOff>
                  </to>
                </anchor>
              </controlPr>
            </control>
          </mc:Choice>
        </mc:AlternateContent>
        <mc:AlternateContent xmlns:mc="http://schemas.openxmlformats.org/markup-compatibility/2006">
          <mc:Choice Requires="x14">
            <control shapeId="40982" r:id="rId25" name="Check Box 22">
              <controlPr defaultSize="0" autoFill="0" autoLine="0" autoPict="0">
                <anchor moveWithCells="1">
                  <from>
                    <xdr:col>1</xdr:col>
                    <xdr:colOff>152400</xdr:colOff>
                    <xdr:row>4</xdr:row>
                    <xdr:rowOff>0</xdr:rowOff>
                  </from>
                  <to>
                    <xdr:col>1</xdr:col>
                    <xdr:colOff>333375</xdr:colOff>
                    <xdr:row>5</xdr:row>
                    <xdr:rowOff>0</xdr:rowOff>
                  </to>
                </anchor>
              </controlPr>
            </control>
          </mc:Choice>
        </mc:AlternateContent>
        <mc:AlternateContent xmlns:mc="http://schemas.openxmlformats.org/markup-compatibility/2006">
          <mc:Choice Requires="x14">
            <control shapeId="40983" r:id="rId26" name="Check Box 23">
              <controlPr defaultSize="0" autoFill="0" autoLine="0" autoPict="0">
                <anchor moveWithCells="1">
                  <from>
                    <xdr:col>1</xdr:col>
                    <xdr:colOff>152400</xdr:colOff>
                    <xdr:row>18</xdr:row>
                    <xdr:rowOff>180975</xdr:rowOff>
                  </from>
                  <to>
                    <xdr:col>1</xdr:col>
                    <xdr:colOff>333375</xdr:colOff>
                    <xdr:row>19</xdr:row>
                    <xdr:rowOff>180975</xdr:rowOff>
                  </to>
                </anchor>
              </controlPr>
            </control>
          </mc:Choice>
        </mc:AlternateContent>
        <mc:AlternateContent xmlns:mc="http://schemas.openxmlformats.org/markup-compatibility/2006">
          <mc:Choice Requires="x14">
            <control shapeId="40984" r:id="rId27" name="Check Box 24">
              <controlPr defaultSize="0" autoFill="0" autoLine="0" autoPict="0">
                <anchor moveWithCells="1">
                  <from>
                    <xdr:col>1</xdr:col>
                    <xdr:colOff>152400</xdr:colOff>
                    <xdr:row>9</xdr:row>
                    <xdr:rowOff>152400</xdr:rowOff>
                  </from>
                  <to>
                    <xdr:col>1</xdr:col>
                    <xdr:colOff>333375</xdr:colOff>
                    <xdr:row>10</xdr:row>
                    <xdr:rowOff>152400</xdr:rowOff>
                  </to>
                </anchor>
              </controlPr>
            </control>
          </mc:Choice>
        </mc:AlternateContent>
        <mc:AlternateContent xmlns:mc="http://schemas.openxmlformats.org/markup-compatibility/2006">
          <mc:Choice Requires="x14">
            <control shapeId="40985" r:id="rId28" name="Check Box 25">
              <controlPr defaultSize="0" autoFill="0" autoLine="0" autoPict="0">
                <anchor moveWithCells="1">
                  <from>
                    <xdr:col>1</xdr:col>
                    <xdr:colOff>152400</xdr:colOff>
                    <xdr:row>30</xdr:row>
                    <xdr:rowOff>0</xdr:rowOff>
                  </from>
                  <to>
                    <xdr:col>1</xdr:col>
                    <xdr:colOff>333375</xdr:colOff>
                    <xdr:row>31</xdr:row>
                    <xdr:rowOff>0</xdr:rowOff>
                  </to>
                </anchor>
              </controlPr>
            </control>
          </mc:Choice>
        </mc:AlternateContent>
        <mc:AlternateContent xmlns:mc="http://schemas.openxmlformats.org/markup-compatibility/2006">
          <mc:Choice Requires="x14">
            <control shapeId="40986" r:id="rId29" name="Check Box 26">
              <controlPr defaultSize="0" autoFill="0" autoLine="0" autoPict="0">
                <anchor moveWithCells="1">
                  <from>
                    <xdr:col>1</xdr:col>
                    <xdr:colOff>152400</xdr:colOff>
                    <xdr:row>31</xdr:row>
                    <xdr:rowOff>0</xdr:rowOff>
                  </from>
                  <to>
                    <xdr:col>1</xdr:col>
                    <xdr:colOff>333375</xdr:colOff>
                    <xdr:row>32</xdr:row>
                    <xdr:rowOff>0</xdr:rowOff>
                  </to>
                </anchor>
              </controlPr>
            </control>
          </mc:Choice>
        </mc:AlternateContent>
        <mc:AlternateContent xmlns:mc="http://schemas.openxmlformats.org/markup-compatibility/2006">
          <mc:Choice Requires="x14">
            <control shapeId="40987" r:id="rId30" name="Check Box 27">
              <controlPr defaultSize="0" autoFill="0" autoLine="0" autoPict="0">
                <anchor moveWithCells="1">
                  <from>
                    <xdr:col>1</xdr:col>
                    <xdr:colOff>152400</xdr:colOff>
                    <xdr:row>32</xdr:row>
                    <xdr:rowOff>0</xdr:rowOff>
                  </from>
                  <to>
                    <xdr:col>1</xdr:col>
                    <xdr:colOff>333375</xdr:colOff>
                    <xdr:row>33</xdr:row>
                    <xdr:rowOff>0</xdr:rowOff>
                  </to>
                </anchor>
              </controlPr>
            </control>
          </mc:Choice>
        </mc:AlternateContent>
        <mc:AlternateContent xmlns:mc="http://schemas.openxmlformats.org/markup-compatibility/2006">
          <mc:Choice Requires="x14">
            <control shapeId="40988" r:id="rId31" name="Check Box 28">
              <controlPr defaultSize="0" autoFill="0" autoLine="0" autoPict="0">
                <anchor moveWithCells="1">
                  <from>
                    <xdr:col>1</xdr:col>
                    <xdr:colOff>152400</xdr:colOff>
                    <xdr:row>32</xdr:row>
                    <xdr:rowOff>171450</xdr:rowOff>
                  </from>
                  <to>
                    <xdr:col>1</xdr:col>
                    <xdr:colOff>333375</xdr:colOff>
                    <xdr:row>33</xdr:row>
                    <xdr:rowOff>171450</xdr:rowOff>
                  </to>
                </anchor>
              </controlPr>
            </control>
          </mc:Choice>
        </mc:AlternateContent>
        <mc:AlternateContent xmlns:mc="http://schemas.openxmlformats.org/markup-compatibility/2006">
          <mc:Choice Requires="x14">
            <control shapeId="40989" r:id="rId32" name="Check Box 29">
              <controlPr defaultSize="0" autoFill="0" autoLine="0" autoPict="0">
                <anchor moveWithCells="1">
                  <from>
                    <xdr:col>1</xdr:col>
                    <xdr:colOff>152400</xdr:colOff>
                    <xdr:row>5</xdr:row>
                    <xdr:rowOff>0</xdr:rowOff>
                  </from>
                  <to>
                    <xdr:col>1</xdr:col>
                    <xdr:colOff>333375</xdr:colOff>
                    <xdr:row>6</xdr:row>
                    <xdr:rowOff>0</xdr:rowOff>
                  </to>
                </anchor>
              </controlPr>
            </control>
          </mc:Choice>
        </mc:AlternateContent>
        <mc:AlternateContent xmlns:mc="http://schemas.openxmlformats.org/markup-compatibility/2006">
          <mc:Choice Requires="x14">
            <control shapeId="40990" r:id="rId33" name="Check Box 30">
              <controlPr defaultSize="0" autoFill="0" autoLine="0" autoPict="0">
                <anchor moveWithCells="1">
                  <from>
                    <xdr:col>1</xdr:col>
                    <xdr:colOff>152400</xdr:colOff>
                    <xdr:row>8</xdr:row>
                    <xdr:rowOff>180975</xdr:rowOff>
                  </from>
                  <to>
                    <xdr:col>1</xdr:col>
                    <xdr:colOff>333375</xdr:colOff>
                    <xdr:row>9</xdr:row>
                    <xdr:rowOff>180975</xdr:rowOff>
                  </to>
                </anchor>
              </controlPr>
            </control>
          </mc:Choice>
        </mc:AlternateContent>
        <mc:AlternateContent xmlns:mc="http://schemas.openxmlformats.org/markup-compatibility/2006">
          <mc:Choice Requires="x14">
            <control shapeId="40991" r:id="rId34" name="Check Box 31">
              <controlPr defaultSize="0" autoFill="0" autoLine="0" autoPict="0">
                <anchor moveWithCells="1">
                  <from>
                    <xdr:col>1</xdr:col>
                    <xdr:colOff>152400</xdr:colOff>
                    <xdr:row>11</xdr:row>
                    <xdr:rowOff>171450</xdr:rowOff>
                  </from>
                  <to>
                    <xdr:col>1</xdr:col>
                    <xdr:colOff>333375</xdr:colOff>
                    <xdr:row>12</xdr:row>
                    <xdr:rowOff>180975</xdr:rowOff>
                  </to>
                </anchor>
              </controlPr>
            </control>
          </mc:Choice>
        </mc:AlternateContent>
        <mc:AlternateContent xmlns:mc="http://schemas.openxmlformats.org/markup-compatibility/2006">
          <mc:Choice Requires="x14">
            <control shapeId="40992" r:id="rId35" name="Check Box 32">
              <controlPr defaultSize="0" autoFill="0" autoLine="0" autoPict="0">
                <anchor moveWithCells="1">
                  <from>
                    <xdr:col>1</xdr:col>
                    <xdr:colOff>152400</xdr:colOff>
                    <xdr:row>33</xdr:row>
                    <xdr:rowOff>180975</xdr:rowOff>
                  </from>
                  <to>
                    <xdr:col>1</xdr:col>
                    <xdr:colOff>333375</xdr:colOff>
                    <xdr:row>34</xdr:row>
                    <xdr:rowOff>180975</xdr:rowOff>
                  </to>
                </anchor>
              </controlPr>
            </control>
          </mc:Choice>
        </mc:AlternateContent>
        <mc:AlternateContent xmlns:mc="http://schemas.openxmlformats.org/markup-compatibility/2006">
          <mc:Choice Requires="x14">
            <control shapeId="40993" r:id="rId36" name="Check Box 33">
              <controlPr defaultSize="0" autoFill="0" autoLine="0" autoPict="0">
                <anchor moveWithCells="1">
                  <from>
                    <xdr:col>1</xdr:col>
                    <xdr:colOff>152400</xdr:colOff>
                    <xdr:row>34</xdr:row>
                    <xdr:rowOff>180975</xdr:rowOff>
                  </from>
                  <to>
                    <xdr:col>1</xdr:col>
                    <xdr:colOff>333375</xdr:colOff>
                    <xdr:row>35</xdr:row>
                    <xdr:rowOff>180975</xdr:rowOff>
                  </to>
                </anchor>
              </controlPr>
            </control>
          </mc:Choice>
        </mc:AlternateContent>
        <mc:AlternateContent xmlns:mc="http://schemas.openxmlformats.org/markup-compatibility/2006">
          <mc:Choice Requires="x14">
            <control shapeId="40994" r:id="rId37" name="Check Box 34">
              <controlPr defaultSize="0" autoFill="0" autoLine="0" autoPict="0">
                <anchor moveWithCells="1">
                  <from>
                    <xdr:col>1</xdr:col>
                    <xdr:colOff>152400</xdr:colOff>
                    <xdr:row>12</xdr:row>
                    <xdr:rowOff>161925</xdr:rowOff>
                  </from>
                  <to>
                    <xdr:col>1</xdr:col>
                    <xdr:colOff>333375</xdr:colOff>
                    <xdr:row>13</xdr:row>
                    <xdr:rowOff>171450</xdr:rowOff>
                  </to>
                </anchor>
              </controlPr>
            </control>
          </mc:Choice>
        </mc:AlternateContent>
        <mc:AlternateContent xmlns:mc="http://schemas.openxmlformats.org/markup-compatibility/2006">
          <mc:Choice Requires="x14">
            <control shapeId="40995" r:id="rId38" name="Check Box 35">
              <controlPr defaultSize="0" autoFill="0" autoLine="0" autoPict="0">
                <anchor moveWithCells="1">
                  <from>
                    <xdr:col>1</xdr:col>
                    <xdr:colOff>142875</xdr:colOff>
                    <xdr:row>35</xdr:row>
                    <xdr:rowOff>180975</xdr:rowOff>
                  </from>
                  <to>
                    <xdr:col>1</xdr:col>
                    <xdr:colOff>323850</xdr:colOff>
                    <xdr:row>36</xdr:row>
                    <xdr:rowOff>180975</xdr:rowOff>
                  </to>
                </anchor>
              </controlPr>
            </control>
          </mc:Choice>
        </mc:AlternateContent>
        <mc:AlternateContent xmlns:mc="http://schemas.openxmlformats.org/markup-compatibility/2006">
          <mc:Choice Requires="x14">
            <control shapeId="40997" r:id="rId39" name="Check Box 37">
              <controlPr defaultSize="0" autoFill="0" autoLine="0" autoPict="0">
                <anchor moveWithCells="1">
                  <from>
                    <xdr:col>1</xdr:col>
                    <xdr:colOff>142875</xdr:colOff>
                    <xdr:row>37</xdr:row>
                    <xdr:rowOff>171450</xdr:rowOff>
                  </from>
                  <to>
                    <xdr:col>1</xdr:col>
                    <xdr:colOff>323850</xdr:colOff>
                    <xdr:row>38</xdr:row>
                    <xdr:rowOff>171450</xdr:rowOff>
                  </to>
                </anchor>
              </controlPr>
            </control>
          </mc:Choice>
        </mc:AlternateContent>
        <mc:AlternateContent xmlns:mc="http://schemas.openxmlformats.org/markup-compatibility/2006">
          <mc:Choice Requires="x14">
            <control shapeId="40998" r:id="rId40" name="Check Box 38">
              <controlPr defaultSize="0" autoFill="0" autoLine="0" autoPict="0">
                <anchor moveWithCells="1">
                  <from>
                    <xdr:col>1</xdr:col>
                    <xdr:colOff>161925</xdr:colOff>
                    <xdr:row>36</xdr:row>
                    <xdr:rowOff>180975</xdr:rowOff>
                  </from>
                  <to>
                    <xdr:col>1</xdr:col>
                    <xdr:colOff>342900</xdr:colOff>
                    <xdr:row>37</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0"/>
  <dimension ref="A3:P52"/>
  <sheetViews>
    <sheetView zoomScale="85" zoomScaleNormal="85" workbookViewId="0">
      <selection activeCell="I48" sqref="I48:K48"/>
    </sheetView>
  </sheetViews>
  <sheetFormatPr defaultColWidth="11.42578125" defaultRowHeight="15" x14ac:dyDescent="0.25"/>
  <cols>
    <col min="1" max="1" width="18.5703125" customWidth="1"/>
    <col min="2" max="2" width="5.85546875" customWidth="1"/>
    <col min="3" max="3" width="11.42578125" style="2"/>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6" x14ac:dyDescent="0.25">
      <c r="C3" s="3" t="s">
        <v>1</v>
      </c>
      <c r="D3" s="3" t="s">
        <v>24</v>
      </c>
      <c r="E3" s="19" t="s">
        <v>16</v>
      </c>
      <c r="F3" s="16" t="s">
        <v>15</v>
      </c>
      <c r="G3" s="21" t="s">
        <v>14</v>
      </c>
      <c r="H3" s="17" t="s">
        <v>0</v>
      </c>
      <c r="I3" s="19" t="s">
        <v>29</v>
      </c>
      <c r="J3" s="16" t="s">
        <v>30</v>
      </c>
      <c r="K3" s="21" t="s">
        <v>14</v>
      </c>
      <c r="L3" s="17" t="s">
        <v>31</v>
      </c>
    </row>
    <row r="4" spans="1:16" x14ac:dyDescent="0.25">
      <c r="A4" s="32" t="s">
        <v>3</v>
      </c>
      <c r="B4" s="32"/>
      <c r="C4" s="33">
        <f>53+63</f>
        <v>116</v>
      </c>
      <c r="E4" s="20">
        <f>12/100</f>
        <v>0.12</v>
      </c>
      <c r="F4" s="6">
        <f>60/100</f>
        <v>0.6</v>
      </c>
      <c r="G4" s="22">
        <f>7.1/100</f>
        <v>7.0999999999999994E-2</v>
      </c>
      <c r="H4" s="18">
        <f>371/100</f>
        <v>3.71</v>
      </c>
      <c r="I4" s="20">
        <f t="shared" ref="I4:K35" si="0">IF($M4=TRUE,E4*$C4,0)</f>
        <v>13.92</v>
      </c>
      <c r="J4" s="6">
        <f t="shared" si="0"/>
        <v>69.599999999999994</v>
      </c>
      <c r="K4" s="22">
        <f t="shared" si="0"/>
        <v>8.2359999999999989</v>
      </c>
      <c r="L4" s="18">
        <f t="shared" ref="L4:L40" si="1">IF($M4=TRUE, H4*C4,0)</f>
        <v>430.36</v>
      </c>
      <c r="M4" t="b">
        <v>1</v>
      </c>
    </row>
    <row r="5" spans="1:16" x14ac:dyDescent="0.25">
      <c r="A5" s="34" t="s">
        <v>33</v>
      </c>
      <c r="B5" s="32"/>
      <c r="C5" s="33">
        <f>140</f>
        <v>140</v>
      </c>
      <c r="E5" s="20">
        <f>11/100</f>
        <v>0.11</v>
      </c>
      <c r="F5" s="6">
        <f>0.7/100</f>
        <v>6.9999999999999993E-3</v>
      </c>
      <c r="G5" s="22">
        <f>0.2/100</f>
        <v>2E-3</v>
      </c>
      <c r="H5" s="18">
        <f>52/100</f>
        <v>0.52</v>
      </c>
      <c r="I5" s="20">
        <f t="shared" si="0"/>
        <v>15.4</v>
      </c>
      <c r="J5" s="6">
        <f t="shared" si="0"/>
        <v>0.97999999999999987</v>
      </c>
      <c r="K5" s="22">
        <f t="shared" si="0"/>
        <v>0.28000000000000003</v>
      </c>
      <c r="L5" s="18">
        <f>IF($M5=TRUE, H5*C5,0)</f>
        <v>72.8</v>
      </c>
      <c r="M5" t="b">
        <v>1</v>
      </c>
    </row>
    <row r="6" spans="1:16" x14ac:dyDescent="0.25">
      <c r="A6" s="34" t="s">
        <v>67</v>
      </c>
      <c r="B6" s="32"/>
      <c r="C6" s="33">
        <f>30</f>
        <v>30</v>
      </c>
      <c r="E6" s="20">
        <f>2.4/100</f>
        <v>2.4E-2</v>
      </c>
      <c r="F6" s="6">
        <v>0</v>
      </c>
      <c r="G6" s="22">
        <f>27/100</f>
        <v>0.27</v>
      </c>
      <c r="H6" s="18">
        <f>350/100</f>
        <v>3.5</v>
      </c>
      <c r="I6" s="20">
        <f t="shared" si="0"/>
        <v>0.72</v>
      </c>
      <c r="J6" s="6">
        <f t="shared" si="0"/>
        <v>0</v>
      </c>
      <c r="K6" s="22">
        <f t="shared" si="0"/>
        <v>8.1000000000000014</v>
      </c>
      <c r="L6" s="18">
        <f>IF($M6=TRUE, H6*C6,0)</f>
        <v>105</v>
      </c>
      <c r="M6" t="b">
        <v>1</v>
      </c>
      <c r="P6">
        <v>1</v>
      </c>
    </row>
    <row r="7" spans="1:16" x14ac:dyDescent="0.25">
      <c r="A7" s="32" t="s">
        <v>18</v>
      </c>
      <c r="B7" s="32"/>
      <c r="C7" s="33">
        <f>280+120</f>
        <v>400</v>
      </c>
      <c r="E7" s="20">
        <f>3.2/100</f>
        <v>3.2000000000000001E-2</v>
      </c>
      <c r="F7" s="6">
        <f>4.8/100</f>
        <v>4.8000000000000001E-2</v>
      </c>
      <c r="G7" s="22">
        <f>1.6/100</f>
        <v>1.6E-2</v>
      </c>
      <c r="H7" s="18">
        <f>46/100</f>
        <v>0.46</v>
      </c>
      <c r="I7" s="20">
        <f t="shared" si="0"/>
        <v>12.8</v>
      </c>
      <c r="J7" s="6">
        <f t="shared" si="0"/>
        <v>19.2</v>
      </c>
      <c r="K7" s="22">
        <f t="shared" si="0"/>
        <v>6.4</v>
      </c>
      <c r="L7" s="18">
        <f>IF($M7=TRUE, H7*C7,0)</f>
        <v>184</v>
      </c>
      <c r="M7" t="b">
        <v>1</v>
      </c>
    </row>
    <row r="8" spans="1:16" x14ac:dyDescent="0.25">
      <c r="A8" s="36" t="s">
        <v>5</v>
      </c>
      <c r="B8" s="36"/>
      <c r="C8" s="38">
        <f>178</f>
        <v>178</v>
      </c>
      <c r="E8" s="20">
        <f>20.7/100</f>
        <v>0.20699999999999999</v>
      </c>
      <c r="F8" s="6">
        <f>2.2/100</f>
        <v>2.2000000000000002E-2</v>
      </c>
      <c r="G8" s="22">
        <f>0.9/100</f>
        <v>9.0000000000000011E-3</v>
      </c>
      <c r="H8" s="18">
        <f>94/100</f>
        <v>0.94</v>
      </c>
      <c r="I8" s="20">
        <f t="shared" si="0"/>
        <v>36.845999999999997</v>
      </c>
      <c r="J8" s="6">
        <f t="shared" si="0"/>
        <v>3.9160000000000004</v>
      </c>
      <c r="K8" s="22">
        <f t="shared" si="0"/>
        <v>1.6020000000000001</v>
      </c>
      <c r="L8" s="18">
        <f t="shared" si="1"/>
        <v>167.32</v>
      </c>
      <c r="M8" t="b">
        <v>1</v>
      </c>
    </row>
    <row r="9" spans="1:16" x14ac:dyDescent="0.25">
      <c r="A9" s="36" t="s">
        <v>6</v>
      </c>
      <c r="B9" s="36"/>
      <c r="C9" s="38">
        <f>256/2*2</f>
        <v>256</v>
      </c>
      <c r="E9" s="20">
        <f>20/100</f>
        <v>0.2</v>
      </c>
      <c r="F9" s="6">
        <f>0.2/100</f>
        <v>2E-3</v>
      </c>
      <c r="G9" s="22">
        <f>5/100</f>
        <v>0.05</v>
      </c>
      <c r="H9" s="18">
        <f>126/100</f>
        <v>1.26</v>
      </c>
      <c r="I9" s="20">
        <f t="shared" si="0"/>
        <v>0</v>
      </c>
      <c r="J9" s="6">
        <f t="shared" si="0"/>
        <v>0</v>
      </c>
      <c r="K9" s="22">
        <f t="shared" si="0"/>
        <v>0</v>
      </c>
      <c r="L9" s="18">
        <f t="shared" si="1"/>
        <v>0</v>
      </c>
      <c r="M9" t="b">
        <v>0</v>
      </c>
    </row>
    <row r="10" spans="1:16" x14ac:dyDescent="0.25">
      <c r="A10" s="36" t="s">
        <v>57</v>
      </c>
      <c r="B10" s="36"/>
      <c r="C10" s="38">
        <v>130</v>
      </c>
      <c r="E10" s="20">
        <f>19/100</f>
        <v>0.19</v>
      </c>
      <c r="F10" s="6">
        <v>0</v>
      </c>
      <c r="G10" s="22">
        <f>12/100</f>
        <v>0.12</v>
      </c>
      <c r="H10" s="18">
        <f>184/100</f>
        <v>1.84</v>
      </c>
      <c r="I10" s="20">
        <f t="shared" si="0"/>
        <v>24.7</v>
      </c>
      <c r="J10" s="6">
        <f t="shared" si="0"/>
        <v>0</v>
      </c>
      <c r="K10" s="22">
        <f t="shared" si="0"/>
        <v>15.6</v>
      </c>
      <c r="L10" s="18">
        <f t="shared" ref="L10:L15" si="2">IF($M10=TRUE, H10*C10,0)</f>
        <v>239.20000000000002</v>
      </c>
      <c r="M10" t="b">
        <v>1</v>
      </c>
    </row>
    <row r="11" spans="1:16" x14ac:dyDescent="0.25">
      <c r="A11" s="36" t="s">
        <v>87</v>
      </c>
      <c r="B11" s="36"/>
      <c r="C11" s="38"/>
      <c r="E11" s="20">
        <f>25/100</f>
        <v>0.25</v>
      </c>
      <c r="F11" s="6">
        <f>0</f>
        <v>0</v>
      </c>
      <c r="G11" s="22">
        <f>11/100</f>
        <v>0.11</v>
      </c>
      <c r="H11" s="18">
        <f>208/100</f>
        <v>2.08</v>
      </c>
      <c r="I11" s="20">
        <f>IF($M11=TRUE,E11*$C11,0)</f>
        <v>0</v>
      </c>
      <c r="J11" s="6">
        <f>IF($M11=TRUE,F11*$C11,0)</f>
        <v>0</v>
      </c>
      <c r="K11" s="22">
        <f>IF($M11=TRUE,G11*$C11,0)</f>
        <v>0</v>
      </c>
      <c r="L11" s="18">
        <f t="shared" si="2"/>
        <v>0</v>
      </c>
      <c r="M11" t="b">
        <v>0</v>
      </c>
    </row>
    <row r="12" spans="1:16" x14ac:dyDescent="0.25">
      <c r="A12" s="36" t="s">
        <v>59</v>
      </c>
      <c r="B12" s="36"/>
      <c r="C12" s="38">
        <v>360</v>
      </c>
      <c r="E12" s="20">
        <f>20/100</f>
        <v>0.2</v>
      </c>
      <c r="F12" s="6">
        <v>0</v>
      </c>
      <c r="G12" s="22">
        <f>5/100</f>
        <v>0.05</v>
      </c>
      <c r="H12" s="18">
        <f>121/100</f>
        <v>1.21</v>
      </c>
      <c r="I12" s="20">
        <f t="shared" si="0"/>
        <v>0</v>
      </c>
      <c r="J12" s="6">
        <f t="shared" si="0"/>
        <v>0</v>
      </c>
      <c r="K12" s="22">
        <f t="shared" si="0"/>
        <v>0</v>
      </c>
      <c r="L12" s="18">
        <f t="shared" si="2"/>
        <v>0</v>
      </c>
      <c r="M12" t="b">
        <v>0</v>
      </c>
    </row>
    <row r="13" spans="1:16" x14ac:dyDescent="0.25">
      <c r="A13" s="36" t="s">
        <v>13</v>
      </c>
      <c r="B13" s="36"/>
      <c r="C13" s="38">
        <v>1</v>
      </c>
      <c r="E13" s="20">
        <v>20</v>
      </c>
      <c r="F13" s="6">
        <v>1</v>
      </c>
      <c r="G13" s="22">
        <v>1</v>
      </c>
      <c r="H13" s="18">
        <v>93</v>
      </c>
      <c r="I13" s="20">
        <f t="shared" si="0"/>
        <v>0</v>
      </c>
      <c r="J13" s="6">
        <f t="shared" si="0"/>
        <v>0</v>
      </c>
      <c r="K13" s="22">
        <f t="shared" si="0"/>
        <v>0</v>
      </c>
      <c r="L13" s="18">
        <f t="shared" si="2"/>
        <v>0</v>
      </c>
      <c r="M13" t="b">
        <v>0</v>
      </c>
    </row>
    <row r="14" spans="1:16" x14ac:dyDescent="0.25">
      <c r="A14" s="36" t="s">
        <v>80</v>
      </c>
      <c r="B14" s="36"/>
      <c r="C14" s="38">
        <v>126</v>
      </c>
      <c r="E14" s="20">
        <f>24/100</f>
        <v>0.24</v>
      </c>
      <c r="F14" s="6">
        <f>1/100</f>
        <v>0.01</v>
      </c>
      <c r="G14" s="22">
        <f>1/100</f>
        <v>0.01</v>
      </c>
      <c r="H14" s="18">
        <f>105/100</f>
        <v>1.05</v>
      </c>
      <c r="I14" s="20">
        <f t="shared" si="0"/>
        <v>0</v>
      </c>
      <c r="J14" s="6">
        <f t="shared" si="0"/>
        <v>0</v>
      </c>
      <c r="K14" s="22">
        <f t="shared" si="0"/>
        <v>0</v>
      </c>
      <c r="L14" s="18">
        <f t="shared" si="2"/>
        <v>0</v>
      </c>
      <c r="M14" t="b">
        <v>0</v>
      </c>
    </row>
    <row r="15" spans="1:16" x14ac:dyDescent="0.25">
      <c r="A15" s="36" t="s">
        <v>82</v>
      </c>
      <c r="B15" s="36"/>
      <c r="C15" s="38">
        <f>200</f>
        <v>200</v>
      </c>
      <c r="E15" s="20">
        <f>24/100</f>
        <v>0.24</v>
      </c>
      <c r="F15" s="6">
        <v>0</v>
      </c>
      <c r="G15" s="22">
        <f>0</f>
        <v>0</v>
      </c>
      <c r="H15" s="18">
        <f>24*4/100</f>
        <v>0.96</v>
      </c>
      <c r="I15" s="20">
        <f t="shared" si="0"/>
        <v>48</v>
      </c>
      <c r="J15" s="6">
        <f t="shared" si="0"/>
        <v>0</v>
      </c>
      <c r="K15" s="22">
        <f t="shared" si="0"/>
        <v>0</v>
      </c>
      <c r="L15" s="18">
        <f t="shared" si="2"/>
        <v>192</v>
      </c>
      <c r="M15" t="b">
        <v>1</v>
      </c>
    </row>
    <row r="16" spans="1:16" x14ac:dyDescent="0.25">
      <c r="A16" t="s">
        <v>7</v>
      </c>
      <c r="C16" s="28">
        <v>50</v>
      </c>
      <c r="E16" s="20">
        <f>12.68/100</f>
        <v>0.1268</v>
      </c>
      <c r="F16" s="6">
        <f>72.83/100</f>
        <v>0.72829999999999995</v>
      </c>
      <c r="G16" s="22">
        <f>1.05/100</f>
        <v>1.0500000000000001E-2</v>
      </c>
      <c r="H16" s="18">
        <f>360/100</f>
        <v>3.6</v>
      </c>
      <c r="I16" s="20">
        <f t="shared" si="0"/>
        <v>0</v>
      </c>
      <c r="J16" s="6">
        <f t="shared" si="0"/>
        <v>0</v>
      </c>
      <c r="K16" s="22">
        <f t="shared" si="0"/>
        <v>0</v>
      </c>
      <c r="L16" s="18">
        <f t="shared" si="1"/>
        <v>0</v>
      </c>
      <c r="M16" t="b">
        <v>0</v>
      </c>
    </row>
    <row r="17" spans="1:13" x14ac:dyDescent="0.25">
      <c r="A17" t="s">
        <v>8</v>
      </c>
      <c r="C17" s="28">
        <v>39</v>
      </c>
      <c r="E17" s="20">
        <f>8.8/100</f>
        <v>8.8000000000000009E-2</v>
      </c>
      <c r="F17" s="6">
        <f>72/100</f>
        <v>0.72</v>
      </c>
      <c r="G17" s="22">
        <f>2.2/100</f>
        <v>2.2000000000000002E-2</v>
      </c>
      <c r="H17" s="18">
        <f>343/100</f>
        <v>3.43</v>
      </c>
      <c r="I17" s="20">
        <f t="shared" si="0"/>
        <v>0</v>
      </c>
      <c r="J17" s="6">
        <f t="shared" si="0"/>
        <v>0</v>
      </c>
      <c r="K17" s="22">
        <f t="shared" si="0"/>
        <v>0</v>
      </c>
      <c r="L17" s="18">
        <f t="shared" si="1"/>
        <v>0</v>
      </c>
      <c r="M17" t="b">
        <v>0</v>
      </c>
    </row>
    <row r="18" spans="1:13" x14ac:dyDescent="0.25">
      <c r="A18" s="35" t="s">
        <v>9</v>
      </c>
      <c r="B18" s="35"/>
      <c r="C18" s="39">
        <f>170</f>
        <v>170</v>
      </c>
      <c r="E18" s="20">
        <f>1.5/100</f>
        <v>1.4999999999999999E-2</v>
      </c>
      <c r="F18" s="6">
        <f>20/100</f>
        <v>0.2</v>
      </c>
      <c r="G18" s="22">
        <v>0</v>
      </c>
      <c r="H18" s="18">
        <f>90/100</f>
        <v>0.9</v>
      </c>
      <c r="I18" s="20">
        <f t="shared" si="0"/>
        <v>2.5499999999999998</v>
      </c>
      <c r="J18" s="6">
        <f t="shared" si="0"/>
        <v>34</v>
      </c>
      <c r="K18" s="22">
        <f t="shared" si="0"/>
        <v>0</v>
      </c>
      <c r="L18" s="18">
        <f t="shared" si="1"/>
        <v>153</v>
      </c>
      <c r="M18" t="b">
        <v>1</v>
      </c>
    </row>
    <row r="19" spans="1:13" x14ac:dyDescent="0.25">
      <c r="A19" s="35" t="s">
        <v>10</v>
      </c>
      <c r="B19" s="35"/>
      <c r="C19" s="39">
        <v>69</v>
      </c>
      <c r="E19" s="20">
        <f>1.6/100</f>
        <v>1.6E-2</v>
      </c>
      <c r="F19" s="6">
        <f>11/100</f>
        <v>0.11</v>
      </c>
      <c r="G19" s="22">
        <f>0.3/100</f>
        <v>3.0000000000000001E-3</v>
      </c>
      <c r="H19" s="18">
        <f>53/100</f>
        <v>0.53</v>
      </c>
      <c r="I19" s="20">
        <f t="shared" si="0"/>
        <v>0</v>
      </c>
      <c r="J19" s="6">
        <f t="shared" si="0"/>
        <v>0</v>
      </c>
      <c r="K19" s="22">
        <f t="shared" si="0"/>
        <v>0</v>
      </c>
      <c r="L19" s="18">
        <f t="shared" si="1"/>
        <v>0</v>
      </c>
      <c r="M19" t="b">
        <v>0</v>
      </c>
    </row>
    <row r="20" spans="1:13" x14ac:dyDescent="0.25">
      <c r="A20" s="35" t="s">
        <v>11</v>
      </c>
      <c r="B20" s="35"/>
      <c r="C20" s="39">
        <v>221</v>
      </c>
      <c r="E20" s="20">
        <f>1/100</f>
        <v>0.01</v>
      </c>
      <c r="F20" s="6">
        <f>9/100</f>
        <v>0.09</v>
      </c>
      <c r="G20" s="22">
        <f>0.2/100</f>
        <v>2E-3</v>
      </c>
      <c r="H20" s="18">
        <f>45/100</f>
        <v>0.45</v>
      </c>
      <c r="I20" s="20">
        <f t="shared" si="0"/>
        <v>0</v>
      </c>
      <c r="J20" s="6">
        <f t="shared" si="0"/>
        <v>0</v>
      </c>
      <c r="K20" s="22">
        <f t="shared" si="0"/>
        <v>0</v>
      </c>
      <c r="L20" s="18">
        <f t="shared" si="1"/>
        <v>0</v>
      </c>
      <c r="M20" t="b">
        <v>0</v>
      </c>
    </row>
    <row r="21" spans="1:13" x14ac:dyDescent="0.25">
      <c r="A21" t="s">
        <v>58</v>
      </c>
      <c r="C21" s="28">
        <v>180</v>
      </c>
      <c r="E21" s="20">
        <f>1.6/100</f>
        <v>1.6E-2</v>
      </c>
      <c r="F21" s="6">
        <f>20/100</f>
        <v>0.2</v>
      </c>
      <c r="G21" s="22">
        <f>0.1/100</f>
        <v>1E-3</v>
      </c>
      <c r="H21" s="18">
        <f>86/100</f>
        <v>0.86</v>
      </c>
      <c r="I21" s="20">
        <f>IF($M21=TRUE,E21*$C21,0)</f>
        <v>0</v>
      </c>
      <c r="J21" s="6">
        <f>IF($M21=TRUE,F21*$C21,0)</f>
        <v>0</v>
      </c>
      <c r="K21" s="22">
        <f>IF($M21=TRUE,G21*$C21,0)</f>
        <v>0</v>
      </c>
      <c r="L21" s="18">
        <f>IF($M21=TRUE, H21*C21,0)</f>
        <v>0</v>
      </c>
      <c r="M21" t="b">
        <v>0</v>
      </c>
    </row>
    <row r="22" spans="1:13" x14ac:dyDescent="0.25">
      <c r="A22" t="s">
        <v>12</v>
      </c>
      <c r="C22" s="28">
        <f>50+50</f>
        <v>100</v>
      </c>
      <c r="E22" s="20">
        <f>11/100</f>
        <v>0.11</v>
      </c>
      <c r="F22" s="6">
        <f>54/100</f>
        <v>0.54</v>
      </c>
      <c r="G22" s="22">
        <f>3.3/100</f>
        <v>3.3000000000000002E-2</v>
      </c>
      <c r="H22" s="18">
        <f>293/100</f>
        <v>2.93</v>
      </c>
      <c r="I22" s="20">
        <f t="shared" si="0"/>
        <v>11</v>
      </c>
      <c r="J22" s="6">
        <f t="shared" si="0"/>
        <v>54</v>
      </c>
      <c r="K22" s="22">
        <f t="shared" si="0"/>
        <v>3.3000000000000003</v>
      </c>
      <c r="L22" s="18">
        <f t="shared" si="1"/>
        <v>293</v>
      </c>
      <c r="M22" t="b">
        <v>1</v>
      </c>
    </row>
    <row r="23" spans="1:13" x14ac:dyDescent="0.25">
      <c r="A23" t="s">
        <v>17</v>
      </c>
      <c r="C23" s="28">
        <v>24</v>
      </c>
      <c r="D23" s="2" t="s">
        <v>23</v>
      </c>
      <c r="E23" s="20">
        <f>3/100</f>
        <v>0.03</v>
      </c>
      <c r="F23" s="6">
        <f>11/100</f>
        <v>0.11</v>
      </c>
      <c r="G23" s="22">
        <f>1.5/100</f>
        <v>1.4999999999999999E-2</v>
      </c>
      <c r="H23" s="18">
        <f>74/100</f>
        <v>0.74</v>
      </c>
      <c r="I23" s="20">
        <f t="shared" si="0"/>
        <v>0</v>
      </c>
      <c r="J23" s="6">
        <f t="shared" si="0"/>
        <v>0</v>
      </c>
      <c r="K23" s="22">
        <f t="shared" si="0"/>
        <v>0</v>
      </c>
      <c r="L23" s="18">
        <f t="shared" si="1"/>
        <v>0</v>
      </c>
      <c r="M23" t="b">
        <v>0</v>
      </c>
    </row>
    <row r="24" spans="1:13" x14ac:dyDescent="0.25">
      <c r="A24" t="s">
        <v>19</v>
      </c>
      <c r="C24" s="28">
        <v>137</v>
      </c>
      <c r="D24" s="2" t="s">
        <v>25</v>
      </c>
      <c r="E24" s="20">
        <f>2/100</f>
        <v>0.02</v>
      </c>
      <c r="F24" s="6">
        <f>17/100</f>
        <v>0.17</v>
      </c>
      <c r="G24" s="22">
        <f>0.1/100</f>
        <v>1E-3</v>
      </c>
      <c r="H24" s="18">
        <f>77/100</f>
        <v>0.77</v>
      </c>
      <c r="I24" s="20">
        <f t="shared" si="0"/>
        <v>0</v>
      </c>
      <c r="J24" s="6">
        <f t="shared" si="0"/>
        <v>0</v>
      </c>
      <c r="K24" s="22">
        <f t="shared" si="0"/>
        <v>0</v>
      </c>
      <c r="L24" s="18">
        <f t="shared" si="1"/>
        <v>0</v>
      </c>
      <c r="M24" t="b">
        <v>0</v>
      </c>
    </row>
    <row r="25" spans="1:13" x14ac:dyDescent="0.25">
      <c r="A25" t="s">
        <v>20</v>
      </c>
      <c r="C25" s="28">
        <f>110</f>
        <v>110</v>
      </c>
      <c r="E25" s="20">
        <f>25/100</f>
        <v>0.25</v>
      </c>
      <c r="F25" s="6">
        <v>0</v>
      </c>
      <c r="G25" s="22">
        <f>1/100</f>
        <v>0.01</v>
      </c>
      <c r="H25" s="18">
        <f>109/100</f>
        <v>1.0900000000000001</v>
      </c>
      <c r="I25" s="20">
        <f t="shared" si="0"/>
        <v>0</v>
      </c>
      <c r="J25" s="6">
        <f t="shared" si="0"/>
        <v>0</v>
      </c>
      <c r="K25" s="22">
        <f t="shared" si="0"/>
        <v>0</v>
      </c>
      <c r="L25" s="18">
        <f t="shared" si="1"/>
        <v>0</v>
      </c>
      <c r="M25" t="b">
        <v>0</v>
      </c>
    </row>
    <row r="26" spans="1:13" x14ac:dyDescent="0.25">
      <c r="A26" s="35" t="s">
        <v>21</v>
      </c>
      <c r="B26" s="35"/>
      <c r="C26" s="39">
        <v>130</v>
      </c>
      <c r="D26" s="2" t="s">
        <v>22</v>
      </c>
      <c r="E26" s="20">
        <f>2.3/100</f>
        <v>2.3E-2</v>
      </c>
      <c r="F26" s="6">
        <f>7.2/100</f>
        <v>7.2000000000000008E-2</v>
      </c>
      <c r="G26" s="22">
        <f>0.5/100</f>
        <v>5.0000000000000001E-3</v>
      </c>
      <c r="H26" s="18">
        <f>44/100</f>
        <v>0.44</v>
      </c>
      <c r="I26" s="20">
        <f t="shared" si="0"/>
        <v>0</v>
      </c>
      <c r="J26" s="6">
        <f t="shared" si="0"/>
        <v>0</v>
      </c>
      <c r="K26" s="22">
        <f t="shared" si="0"/>
        <v>0</v>
      </c>
      <c r="L26" s="18">
        <f t="shared" si="1"/>
        <v>0</v>
      </c>
      <c r="M26" t="b">
        <v>0</v>
      </c>
    </row>
    <row r="27" spans="1:13" x14ac:dyDescent="0.25">
      <c r="A27" t="s">
        <v>26</v>
      </c>
      <c r="C27" s="28"/>
      <c r="E27" s="20">
        <v>0</v>
      </c>
      <c r="F27" s="6">
        <v>0</v>
      </c>
      <c r="G27" s="22">
        <v>0</v>
      </c>
      <c r="H27" s="18">
        <f>275/100</f>
        <v>2.75</v>
      </c>
      <c r="I27" s="20">
        <f t="shared" si="0"/>
        <v>0</v>
      </c>
      <c r="J27" s="6">
        <f t="shared" si="0"/>
        <v>0</v>
      </c>
      <c r="K27" s="22">
        <f t="shared" si="0"/>
        <v>0</v>
      </c>
      <c r="L27" s="18">
        <f t="shared" si="1"/>
        <v>0</v>
      </c>
      <c r="M27" t="b">
        <v>0</v>
      </c>
    </row>
    <row r="28" spans="1:13" x14ac:dyDescent="0.25">
      <c r="A28" t="s">
        <v>32</v>
      </c>
      <c r="C28" s="28">
        <v>20</v>
      </c>
      <c r="E28" s="20">
        <f>22/100</f>
        <v>0.22</v>
      </c>
      <c r="F28" s="6">
        <f>6.9/100</f>
        <v>6.9000000000000006E-2</v>
      </c>
      <c r="G28" s="22">
        <f>54/100</f>
        <v>0.54</v>
      </c>
      <c r="H28" s="18">
        <f>620/100</f>
        <v>6.2</v>
      </c>
      <c r="I28" s="20">
        <f t="shared" si="0"/>
        <v>0</v>
      </c>
      <c r="J28" s="6">
        <f t="shared" si="0"/>
        <v>0</v>
      </c>
      <c r="K28" s="22">
        <f t="shared" si="0"/>
        <v>0</v>
      </c>
      <c r="L28" s="18">
        <f t="shared" si="1"/>
        <v>0</v>
      </c>
      <c r="M28" t="b">
        <v>0</v>
      </c>
    </row>
    <row r="29" spans="1:13" x14ac:dyDescent="0.25">
      <c r="A29" t="s">
        <v>33</v>
      </c>
      <c r="C29" s="28">
        <v>143</v>
      </c>
      <c r="E29" s="20">
        <v>3.6</v>
      </c>
      <c r="F29" s="6">
        <v>0.2</v>
      </c>
      <c r="G29" s="22">
        <v>0.1</v>
      </c>
      <c r="H29" s="18">
        <f>17</f>
        <v>17</v>
      </c>
      <c r="I29" s="20">
        <f t="shared" si="0"/>
        <v>0</v>
      </c>
      <c r="J29" s="6">
        <f t="shared" si="0"/>
        <v>0</v>
      </c>
      <c r="K29" s="22">
        <f t="shared" si="0"/>
        <v>0</v>
      </c>
      <c r="L29" s="18">
        <f t="shared" si="1"/>
        <v>0</v>
      </c>
      <c r="M29" t="b">
        <v>0</v>
      </c>
    </row>
    <row r="30" spans="1:13" x14ac:dyDescent="0.25">
      <c r="A30" t="s">
        <v>34</v>
      </c>
      <c r="C30" s="28">
        <v>50</v>
      </c>
      <c r="E30" s="20">
        <f>7.4/100</f>
        <v>7.400000000000001E-2</v>
      </c>
      <c r="F30" s="6">
        <f>78.7/100</f>
        <v>0.78700000000000003</v>
      </c>
      <c r="G30" s="22">
        <f>0.7/100</f>
        <v>6.9999999999999993E-3</v>
      </c>
      <c r="H30" s="18">
        <f>351/100</f>
        <v>3.51</v>
      </c>
      <c r="I30" s="20">
        <f t="shared" si="0"/>
        <v>0</v>
      </c>
      <c r="J30" s="6">
        <f t="shared" si="0"/>
        <v>0</v>
      </c>
      <c r="K30" s="22">
        <f t="shared" si="0"/>
        <v>0</v>
      </c>
      <c r="L30" s="18">
        <f t="shared" si="1"/>
        <v>0</v>
      </c>
      <c r="M30" t="b">
        <v>0</v>
      </c>
    </row>
    <row r="31" spans="1:13" x14ac:dyDescent="0.25">
      <c r="A31" t="s">
        <v>55</v>
      </c>
      <c r="C31" s="28"/>
      <c r="E31" s="20">
        <f>19/100</f>
        <v>0.19</v>
      </c>
      <c r="F31" s="6">
        <f>61/100</f>
        <v>0.61</v>
      </c>
      <c r="G31" s="22">
        <f>6/100</f>
        <v>0.06</v>
      </c>
      <c r="H31" s="18">
        <f>364/100</f>
        <v>3.64</v>
      </c>
      <c r="I31" s="20">
        <f t="shared" si="0"/>
        <v>0</v>
      </c>
      <c r="J31" s="6">
        <f t="shared" si="0"/>
        <v>0</v>
      </c>
      <c r="K31" s="22">
        <f t="shared" si="0"/>
        <v>0</v>
      </c>
      <c r="L31" s="18">
        <f t="shared" si="1"/>
        <v>0</v>
      </c>
      <c r="M31" t="b">
        <v>0</v>
      </c>
    </row>
    <row r="32" spans="1:13" x14ac:dyDescent="0.25">
      <c r="A32" t="s">
        <v>60</v>
      </c>
      <c r="C32" s="28">
        <v>60</v>
      </c>
      <c r="E32" s="20">
        <f>7.5/100</f>
        <v>7.4999999999999997E-2</v>
      </c>
      <c r="F32" s="6">
        <f>78/100</f>
        <v>0.78</v>
      </c>
      <c r="G32" s="22">
        <f>0.6/100</f>
        <v>6.0000000000000001E-3</v>
      </c>
      <c r="H32" s="18">
        <f>347/100</f>
        <v>3.47</v>
      </c>
      <c r="I32" s="20">
        <f t="shared" si="0"/>
        <v>0</v>
      </c>
      <c r="J32" s="6">
        <f t="shared" si="0"/>
        <v>0</v>
      </c>
      <c r="K32" s="22">
        <f t="shared" si="0"/>
        <v>0</v>
      </c>
      <c r="L32" s="18">
        <f t="shared" si="1"/>
        <v>0</v>
      </c>
      <c r="M32" t="b">
        <v>0</v>
      </c>
    </row>
    <row r="33" spans="1:16" x14ac:dyDescent="0.25">
      <c r="A33" t="s">
        <v>63</v>
      </c>
      <c r="C33" s="28">
        <v>39</v>
      </c>
      <c r="E33" s="20">
        <f>1.4/100</f>
        <v>1.3999999999999999E-2</v>
      </c>
      <c r="F33" s="6">
        <f>9/100</f>
        <v>0.09</v>
      </c>
      <c r="G33" s="22">
        <f>0.2/100</f>
        <v>2E-3</v>
      </c>
      <c r="H33" s="18">
        <f>43/100</f>
        <v>0.43</v>
      </c>
      <c r="I33" s="20">
        <f t="shared" si="0"/>
        <v>0</v>
      </c>
      <c r="J33" s="6">
        <f t="shared" si="0"/>
        <v>0</v>
      </c>
      <c r="K33" s="22">
        <f t="shared" si="0"/>
        <v>0</v>
      </c>
      <c r="L33" s="18">
        <f t="shared" si="1"/>
        <v>0</v>
      </c>
      <c r="M33" t="b">
        <v>0</v>
      </c>
    </row>
    <row r="34" spans="1:16" x14ac:dyDescent="0.25">
      <c r="A34" t="s">
        <v>64</v>
      </c>
      <c r="C34" s="28">
        <v>10</v>
      </c>
      <c r="E34" s="20">
        <f>4.1/100</f>
        <v>4.0999999999999995E-2</v>
      </c>
      <c r="F34" s="6">
        <f>6.6/100</f>
        <v>6.6000000000000003E-2</v>
      </c>
      <c r="G34" s="22">
        <f>5/100</f>
        <v>0.05</v>
      </c>
      <c r="H34" s="18">
        <f>84/100</f>
        <v>0.84</v>
      </c>
      <c r="I34" s="20">
        <f t="shared" si="0"/>
        <v>0</v>
      </c>
      <c r="J34" s="6">
        <f t="shared" si="0"/>
        <v>0</v>
      </c>
      <c r="K34" s="22">
        <f t="shared" si="0"/>
        <v>0</v>
      </c>
      <c r="L34" s="18">
        <f t="shared" si="1"/>
        <v>0</v>
      </c>
      <c r="M34" t="b">
        <v>0</v>
      </c>
    </row>
    <row r="35" spans="1:16" x14ac:dyDescent="0.25">
      <c r="A35" t="s">
        <v>66</v>
      </c>
      <c r="C35" s="28">
        <v>70</v>
      </c>
      <c r="E35" s="20">
        <f>14.1/100</f>
        <v>0.14099999999999999</v>
      </c>
      <c r="F35" s="6">
        <f>68.9/100</f>
        <v>0.68900000000000006</v>
      </c>
      <c r="G35" s="22">
        <f>5.8/100</f>
        <v>5.7999999999999996E-2</v>
      </c>
      <c r="H35" s="18">
        <f>380/100</f>
        <v>3.8</v>
      </c>
      <c r="I35" s="20">
        <f t="shared" si="0"/>
        <v>0</v>
      </c>
      <c r="J35" s="6">
        <f t="shared" si="0"/>
        <v>0</v>
      </c>
      <c r="K35" s="22">
        <f t="shared" si="0"/>
        <v>0</v>
      </c>
      <c r="L35" s="18">
        <f t="shared" si="1"/>
        <v>0</v>
      </c>
      <c r="M35" t="b">
        <v>0</v>
      </c>
    </row>
    <row r="36" spans="1:16" x14ac:dyDescent="0.25">
      <c r="A36" t="s">
        <v>79</v>
      </c>
      <c r="C36" s="28"/>
      <c r="E36" s="20"/>
      <c r="F36" s="6"/>
      <c r="G36" s="22"/>
      <c r="H36" s="18"/>
      <c r="I36" s="20">
        <f t="shared" ref="I36:K40" si="3">IF($M36=TRUE,E36*$C36,0)</f>
        <v>0</v>
      </c>
      <c r="J36" s="6">
        <f t="shared" si="3"/>
        <v>0</v>
      </c>
      <c r="K36" s="22">
        <f t="shared" si="3"/>
        <v>0</v>
      </c>
      <c r="L36" s="18">
        <f t="shared" si="1"/>
        <v>0</v>
      </c>
      <c r="M36" t="b">
        <v>0</v>
      </c>
      <c r="P36">
        <v>2.2046199999999998</v>
      </c>
    </row>
    <row r="37" spans="1:16" x14ac:dyDescent="0.25">
      <c r="A37" t="s">
        <v>81</v>
      </c>
      <c r="C37" s="28">
        <v>66</v>
      </c>
      <c r="E37" s="20">
        <f>1.4/100</f>
        <v>1.3999999999999999E-2</v>
      </c>
      <c r="F37" s="6">
        <f>7/100</f>
        <v>7.0000000000000007E-2</v>
      </c>
      <c r="G37" s="22">
        <f>0.2/100</f>
        <v>2E-3</v>
      </c>
      <c r="H37" s="18"/>
      <c r="I37" s="20">
        <f t="shared" si="3"/>
        <v>0</v>
      </c>
      <c r="J37" s="6">
        <f t="shared" si="3"/>
        <v>0</v>
      </c>
      <c r="K37" s="22">
        <f t="shared" si="3"/>
        <v>0</v>
      </c>
      <c r="L37" s="18">
        <f t="shared" si="1"/>
        <v>0</v>
      </c>
      <c r="M37" t="b">
        <v>0</v>
      </c>
    </row>
    <row r="38" spans="1:16" x14ac:dyDescent="0.25">
      <c r="A38" t="s">
        <v>83</v>
      </c>
      <c r="C38" s="28">
        <v>1</v>
      </c>
      <c r="E38" s="20">
        <f>0.1</f>
        <v>0.1</v>
      </c>
      <c r="F38" s="6">
        <f>2.7</f>
        <v>2.7</v>
      </c>
      <c r="G38" s="22">
        <f>0</f>
        <v>0</v>
      </c>
      <c r="H38" s="18"/>
      <c r="I38" s="20">
        <f t="shared" si="3"/>
        <v>0</v>
      </c>
      <c r="J38" s="6">
        <f t="shared" si="3"/>
        <v>0</v>
      </c>
      <c r="K38" s="22">
        <f t="shared" si="3"/>
        <v>0</v>
      </c>
      <c r="L38" s="18">
        <f t="shared" si="1"/>
        <v>0</v>
      </c>
      <c r="M38" t="b">
        <v>0</v>
      </c>
      <c r="N38" s="2" t="s">
        <v>68</v>
      </c>
    </row>
    <row r="39" spans="1:16" x14ac:dyDescent="0.25">
      <c r="A39" t="s">
        <v>86</v>
      </c>
      <c r="C39" s="2">
        <v>38</v>
      </c>
      <c r="E39" s="20">
        <f>0.7/100</f>
        <v>6.9999999999999993E-3</v>
      </c>
      <c r="F39" s="6">
        <f>3.4/100</f>
        <v>3.4000000000000002E-2</v>
      </c>
      <c r="G39" s="22">
        <f>0.1/100</f>
        <v>1E-3</v>
      </c>
      <c r="H39" s="18"/>
      <c r="I39" s="20">
        <f t="shared" si="3"/>
        <v>0.26599999999999996</v>
      </c>
      <c r="J39" s="6">
        <f t="shared" si="3"/>
        <v>1.292</v>
      </c>
      <c r="K39" s="22">
        <f t="shared" si="3"/>
        <v>3.7999999999999999E-2</v>
      </c>
      <c r="L39" s="18">
        <f t="shared" si="1"/>
        <v>0</v>
      </c>
      <c r="M39" t="b">
        <v>1</v>
      </c>
      <c r="N39" s="2"/>
    </row>
    <row r="40" spans="1:16" x14ac:dyDescent="0.25">
      <c r="A40" t="s">
        <v>85</v>
      </c>
      <c r="E40" s="20">
        <f>2/100</f>
        <v>0.02</v>
      </c>
      <c r="F40" s="6">
        <f>9/100</f>
        <v>0.09</v>
      </c>
      <c r="G40" s="22">
        <f>15/100</f>
        <v>0.15</v>
      </c>
      <c r="H40" s="18"/>
      <c r="I40" s="20">
        <f t="shared" si="3"/>
        <v>0</v>
      </c>
      <c r="J40" s="6">
        <f t="shared" si="3"/>
        <v>0</v>
      </c>
      <c r="K40" s="22">
        <f t="shared" si="3"/>
        <v>0</v>
      </c>
      <c r="L40" s="18">
        <f t="shared" si="1"/>
        <v>0</v>
      </c>
      <c r="M40" t="b">
        <v>0</v>
      </c>
      <c r="N40" s="2"/>
    </row>
    <row r="41" spans="1:16" x14ac:dyDescent="0.25">
      <c r="H41" t="s">
        <v>73</v>
      </c>
      <c r="I41" s="46">
        <f>SUM(I4:I38)</f>
        <v>165.93600000000004</v>
      </c>
      <c r="J41" s="47">
        <f>SUM(J4:J38)</f>
        <v>181.696</v>
      </c>
      <c r="K41" s="48">
        <f>SUM(K4:K38)</f>
        <v>43.517999999999994</v>
      </c>
      <c r="L41" t="s">
        <v>65</v>
      </c>
      <c r="N41" s="2">
        <v>67</v>
      </c>
    </row>
    <row r="42" spans="1:16" x14ac:dyDescent="0.25">
      <c r="I42" s="49">
        <f>I41-I44</f>
        <v>-18.700924999999955</v>
      </c>
      <c r="J42" s="49">
        <f>J41-J44</f>
        <v>33.986460000000022</v>
      </c>
      <c r="K42" s="49">
        <f>K41-K44</f>
        <v>3.6364241999999933</v>
      </c>
    </row>
    <row r="43" spans="1:16" x14ac:dyDescent="0.25">
      <c r="L43" s="4">
        <f>SUM(L4:L35)</f>
        <v>1836.68</v>
      </c>
    </row>
    <row r="44" spans="1:16" x14ac:dyDescent="0.25">
      <c r="H44" t="s">
        <v>70</v>
      </c>
      <c r="I44" s="43">
        <f>1.25 * $P$36 * $N$41</f>
        <v>184.63692499999999</v>
      </c>
      <c r="J44" s="44">
        <f>1 * $P$36 * $N$41</f>
        <v>147.70953999999998</v>
      </c>
      <c r="K44" s="45">
        <f>0.27 * $P$36 * $N$41</f>
        <v>39.8815758</v>
      </c>
      <c r="L44">
        <f>11.43*P36* N41</f>
        <v>1688.3200421999998</v>
      </c>
    </row>
    <row r="45" spans="1:16" x14ac:dyDescent="0.25">
      <c r="H45" t="s">
        <v>71</v>
      </c>
      <c r="I45" s="43">
        <f>1.15 * $P$36 * $N$41</f>
        <v>169.86597099999997</v>
      </c>
      <c r="J45" s="44">
        <f>1.25 * $P$36 * $N$41</f>
        <v>184.63692499999999</v>
      </c>
      <c r="K45" s="45">
        <f>0.35 * $P$36 * $N$41</f>
        <v>51.69833899999999</v>
      </c>
      <c r="L45">
        <f>11.43*P36* N41</f>
        <v>1688.3200421999998</v>
      </c>
    </row>
    <row r="46" spans="1:16" x14ac:dyDescent="0.25">
      <c r="H46" t="s">
        <v>72</v>
      </c>
      <c r="I46" s="43">
        <f>1.1 * $P$36 * $N$41</f>
        <v>162.48049400000002</v>
      </c>
      <c r="J46" s="44">
        <f>2 * $P$36 * $N$41</f>
        <v>295.41907999999995</v>
      </c>
      <c r="K46" s="45">
        <f>0.5* $P$36 * $N$41</f>
        <v>73.854769999999988</v>
      </c>
      <c r="L46">
        <f>11.43*P36* N41</f>
        <v>1688.3200421999998</v>
      </c>
    </row>
    <row r="47" spans="1:16" x14ac:dyDescent="0.25">
      <c r="A47" t="s">
        <v>77</v>
      </c>
      <c r="B47" t="s">
        <v>78</v>
      </c>
    </row>
    <row r="48" spans="1:16" x14ac:dyDescent="0.25">
      <c r="A48" t="s">
        <v>75</v>
      </c>
    </row>
    <row r="49" spans="1:1" x14ac:dyDescent="0.25">
      <c r="A49" t="s">
        <v>74</v>
      </c>
    </row>
    <row r="50" spans="1:1" x14ac:dyDescent="0.25">
      <c r="A50">
        <f>0.25*J44</f>
        <v>36.927384999999994</v>
      </c>
    </row>
    <row r="51" spans="1:1" x14ac:dyDescent="0.25">
      <c r="A51">
        <f>0.35*J44</f>
        <v>51.69833899999999</v>
      </c>
    </row>
    <row r="52" spans="1:1" x14ac:dyDescent="0.25">
      <c r="A52" t="s">
        <v>76</v>
      </c>
    </row>
  </sheetData>
  <conditionalFormatting sqref="I42">
    <cfRule type="colorScale" priority="3">
      <colorScale>
        <cfvo type="formula" val="-$I$44"/>
        <cfvo type="num" val="0"/>
        <cfvo type="num" val="20"/>
        <color rgb="FFFF8B8B"/>
        <color rgb="FF00B050"/>
        <color rgb="FFFF8B8B"/>
      </colorScale>
    </cfRule>
  </conditionalFormatting>
  <conditionalFormatting sqref="J42">
    <cfRule type="colorScale" priority="2">
      <colorScale>
        <cfvo type="formula" val="-$J$44"/>
        <cfvo type="percentile" val="0"/>
        <cfvo type="num" val="20"/>
        <color rgb="FFFF8B8B"/>
        <color rgb="FF00B050"/>
        <color rgb="FFFF8B8B"/>
      </colorScale>
    </cfRule>
  </conditionalFormatting>
  <conditionalFormatting sqref="K42">
    <cfRule type="colorScale" priority="1">
      <colorScale>
        <cfvo type="formula" val="-$K$44"/>
        <cfvo type="percentile" val="0"/>
        <cfvo type="num" val="20"/>
        <color rgb="FFFF8B8B"/>
        <color rgb="FF00B050"/>
        <color rgb="FFFF8B8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Case à cocher 1">
              <controlPr defaultSize="0" autoFill="0" autoLine="0" autoPict="0">
                <anchor moveWithCells="1">
                  <from>
                    <xdr:col>1</xdr:col>
                    <xdr:colOff>161925</xdr:colOff>
                    <xdr:row>3</xdr:row>
                    <xdr:rowOff>0</xdr:rowOff>
                  </from>
                  <to>
                    <xdr:col>1</xdr:col>
                    <xdr:colOff>342900</xdr:colOff>
                    <xdr:row>4</xdr:row>
                    <xdr:rowOff>0</xdr:rowOff>
                  </to>
                </anchor>
              </controlPr>
            </control>
          </mc:Choice>
        </mc:AlternateContent>
        <mc:AlternateContent xmlns:mc="http://schemas.openxmlformats.org/markup-compatibility/2006">
          <mc:Choice Requires="x14">
            <control shapeId="41986" r:id="rId5" name="Case à cocher 2">
              <controlPr defaultSize="0" autoFill="0" autoLine="0" autoPict="0">
                <anchor moveWithCells="1">
                  <from>
                    <xdr:col>1</xdr:col>
                    <xdr:colOff>152400</xdr:colOff>
                    <xdr:row>3</xdr:row>
                    <xdr:rowOff>9525</xdr:rowOff>
                  </from>
                  <to>
                    <xdr:col>1</xdr:col>
                    <xdr:colOff>333375</xdr:colOff>
                    <xdr:row>4</xdr:row>
                    <xdr:rowOff>9525</xdr:rowOff>
                  </to>
                </anchor>
              </controlPr>
            </control>
          </mc:Choice>
        </mc:AlternateContent>
        <mc:AlternateContent xmlns:mc="http://schemas.openxmlformats.org/markup-compatibility/2006">
          <mc:Choice Requires="x14">
            <control shapeId="41987" r:id="rId6" name="Case à cocher 4">
              <controlPr defaultSize="0" autoFill="0" autoLine="0" autoPict="0">
                <anchor moveWithCells="1">
                  <from>
                    <xdr:col>1</xdr:col>
                    <xdr:colOff>152400</xdr:colOff>
                    <xdr:row>7</xdr:row>
                    <xdr:rowOff>0</xdr:rowOff>
                  </from>
                  <to>
                    <xdr:col>1</xdr:col>
                    <xdr:colOff>333375</xdr:colOff>
                    <xdr:row>8</xdr:row>
                    <xdr:rowOff>0</xdr:rowOff>
                  </to>
                </anchor>
              </controlPr>
            </control>
          </mc:Choice>
        </mc:AlternateContent>
        <mc:AlternateContent xmlns:mc="http://schemas.openxmlformats.org/markup-compatibility/2006">
          <mc:Choice Requires="x14">
            <control shapeId="41988" r:id="rId7" name="Case à cocher 5">
              <controlPr defaultSize="0" autoFill="0" autoLine="0" autoPict="0">
                <anchor moveWithCells="1">
                  <from>
                    <xdr:col>1</xdr:col>
                    <xdr:colOff>152400</xdr:colOff>
                    <xdr:row>8</xdr:row>
                    <xdr:rowOff>9525</xdr:rowOff>
                  </from>
                  <to>
                    <xdr:col>1</xdr:col>
                    <xdr:colOff>333375</xdr:colOff>
                    <xdr:row>9</xdr:row>
                    <xdr:rowOff>9525</xdr:rowOff>
                  </to>
                </anchor>
              </controlPr>
            </control>
          </mc:Choice>
        </mc:AlternateContent>
        <mc:AlternateContent xmlns:mc="http://schemas.openxmlformats.org/markup-compatibility/2006">
          <mc:Choice Requires="x14">
            <control shapeId="41989" r:id="rId8" name="Case à cocher 6">
              <controlPr defaultSize="0" autoFill="0" autoLine="0" autoPict="0">
                <anchor moveWithCells="1">
                  <from>
                    <xdr:col>1</xdr:col>
                    <xdr:colOff>152400</xdr:colOff>
                    <xdr:row>29</xdr:row>
                    <xdr:rowOff>190500</xdr:rowOff>
                  </from>
                  <to>
                    <xdr:col>1</xdr:col>
                    <xdr:colOff>333375</xdr:colOff>
                    <xdr:row>31</xdr:row>
                    <xdr:rowOff>0</xdr:rowOff>
                  </to>
                </anchor>
              </controlPr>
            </control>
          </mc:Choice>
        </mc:AlternateContent>
        <mc:AlternateContent xmlns:mc="http://schemas.openxmlformats.org/markup-compatibility/2006">
          <mc:Choice Requires="x14">
            <control shapeId="41990" r:id="rId9" name="Case à cocher 7">
              <controlPr defaultSize="0" autoFill="0" autoLine="0" autoPict="0">
                <anchor moveWithCells="1">
                  <from>
                    <xdr:col>1</xdr:col>
                    <xdr:colOff>152400</xdr:colOff>
                    <xdr:row>15</xdr:row>
                    <xdr:rowOff>19050</xdr:rowOff>
                  </from>
                  <to>
                    <xdr:col>1</xdr:col>
                    <xdr:colOff>333375</xdr:colOff>
                    <xdr:row>16</xdr:row>
                    <xdr:rowOff>19050</xdr:rowOff>
                  </to>
                </anchor>
              </controlPr>
            </control>
          </mc:Choice>
        </mc:AlternateContent>
        <mc:AlternateContent xmlns:mc="http://schemas.openxmlformats.org/markup-compatibility/2006">
          <mc:Choice Requires="x14">
            <control shapeId="41991" r:id="rId10" name="Case à cocher 8">
              <controlPr defaultSize="0" autoFill="0" autoLine="0" autoPict="0">
                <anchor moveWithCells="1">
                  <from>
                    <xdr:col>1</xdr:col>
                    <xdr:colOff>152400</xdr:colOff>
                    <xdr:row>16</xdr:row>
                    <xdr:rowOff>9525</xdr:rowOff>
                  </from>
                  <to>
                    <xdr:col>1</xdr:col>
                    <xdr:colOff>333375</xdr:colOff>
                    <xdr:row>17</xdr:row>
                    <xdr:rowOff>9525</xdr:rowOff>
                  </to>
                </anchor>
              </controlPr>
            </control>
          </mc:Choice>
        </mc:AlternateContent>
        <mc:AlternateContent xmlns:mc="http://schemas.openxmlformats.org/markup-compatibility/2006">
          <mc:Choice Requires="x14">
            <control shapeId="41992" r:id="rId11" name="Case à cocher 9">
              <controlPr defaultSize="0" autoFill="0" autoLine="0" autoPict="0">
                <anchor moveWithCells="1">
                  <from>
                    <xdr:col>1</xdr:col>
                    <xdr:colOff>152400</xdr:colOff>
                    <xdr:row>17</xdr:row>
                    <xdr:rowOff>9525</xdr:rowOff>
                  </from>
                  <to>
                    <xdr:col>1</xdr:col>
                    <xdr:colOff>333375</xdr:colOff>
                    <xdr:row>18</xdr:row>
                    <xdr:rowOff>9525</xdr:rowOff>
                  </to>
                </anchor>
              </controlPr>
            </control>
          </mc:Choice>
        </mc:AlternateContent>
        <mc:AlternateContent xmlns:mc="http://schemas.openxmlformats.org/markup-compatibility/2006">
          <mc:Choice Requires="x14">
            <control shapeId="41993" r:id="rId12" name="Case à cocher 10">
              <controlPr defaultSize="0" autoFill="0" autoLine="0" autoPict="0">
                <anchor moveWithCells="1">
                  <from>
                    <xdr:col>1</xdr:col>
                    <xdr:colOff>152400</xdr:colOff>
                    <xdr:row>17</xdr:row>
                    <xdr:rowOff>171450</xdr:rowOff>
                  </from>
                  <to>
                    <xdr:col>1</xdr:col>
                    <xdr:colOff>333375</xdr:colOff>
                    <xdr:row>18</xdr:row>
                    <xdr:rowOff>171450</xdr:rowOff>
                  </to>
                </anchor>
              </controlPr>
            </control>
          </mc:Choice>
        </mc:AlternateContent>
        <mc:AlternateContent xmlns:mc="http://schemas.openxmlformats.org/markup-compatibility/2006">
          <mc:Choice Requires="x14">
            <control shapeId="41994" r:id="rId13" name="Case à cocher 11">
              <controlPr defaultSize="0" autoFill="0" autoLine="0" autoPict="0">
                <anchor moveWithCells="1">
                  <from>
                    <xdr:col>1</xdr:col>
                    <xdr:colOff>152400</xdr:colOff>
                    <xdr:row>18</xdr:row>
                    <xdr:rowOff>171450</xdr:rowOff>
                  </from>
                  <to>
                    <xdr:col>1</xdr:col>
                    <xdr:colOff>333375</xdr:colOff>
                    <xdr:row>19</xdr:row>
                    <xdr:rowOff>171450</xdr:rowOff>
                  </to>
                </anchor>
              </controlPr>
            </control>
          </mc:Choice>
        </mc:AlternateContent>
        <mc:AlternateContent xmlns:mc="http://schemas.openxmlformats.org/markup-compatibility/2006">
          <mc:Choice Requires="x14">
            <control shapeId="41995" r:id="rId14" name="Check Box 11">
              <controlPr defaultSize="0" autoFill="0" autoLine="0" autoPict="0">
                <anchor moveWithCells="1">
                  <from>
                    <xdr:col>1</xdr:col>
                    <xdr:colOff>152400</xdr:colOff>
                    <xdr:row>20</xdr:row>
                    <xdr:rowOff>180975</xdr:rowOff>
                  </from>
                  <to>
                    <xdr:col>1</xdr:col>
                    <xdr:colOff>333375</xdr:colOff>
                    <xdr:row>21</xdr:row>
                    <xdr:rowOff>180975</xdr:rowOff>
                  </to>
                </anchor>
              </controlPr>
            </control>
          </mc:Choice>
        </mc:AlternateContent>
        <mc:AlternateContent xmlns:mc="http://schemas.openxmlformats.org/markup-compatibility/2006">
          <mc:Choice Requires="x14">
            <control shapeId="41996" r:id="rId15" name="Check Box 13">
              <controlPr defaultSize="0" autoFill="0" autoLine="0" autoPict="0">
                <anchor moveWithCells="1">
                  <from>
                    <xdr:col>1</xdr:col>
                    <xdr:colOff>152400</xdr:colOff>
                    <xdr:row>11</xdr:row>
                    <xdr:rowOff>180975</xdr:rowOff>
                  </from>
                  <to>
                    <xdr:col>1</xdr:col>
                    <xdr:colOff>333375</xdr:colOff>
                    <xdr:row>13</xdr:row>
                    <xdr:rowOff>0</xdr:rowOff>
                  </to>
                </anchor>
              </controlPr>
            </control>
          </mc:Choice>
        </mc:AlternateContent>
        <mc:AlternateContent xmlns:mc="http://schemas.openxmlformats.org/markup-compatibility/2006">
          <mc:Choice Requires="x14">
            <control shapeId="41997" r:id="rId16" name="Check Box 14">
              <controlPr defaultSize="0" autoFill="0" autoLine="0" autoPict="0">
                <anchor moveWithCells="1">
                  <from>
                    <xdr:col>1</xdr:col>
                    <xdr:colOff>152400</xdr:colOff>
                    <xdr:row>21</xdr:row>
                    <xdr:rowOff>180975</xdr:rowOff>
                  </from>
                  <to>
                    <xdr:col>1</xdr:col>
                    <xdr:colOff>333375</xdr:colOff>
                    <xdr:row>23</xdr:row>
                    <xdr:rowOff>0</xdr:rowOff>
                  </to>
                </anchor>
              </controlPr>
            </control>
          </mc:Choice>
        </mc:AlternateContent>
        <mc:AlternateContent xmlns:mc="http://schemas.openxmlformats.org/markup-compatibility/2006">
          <mc:Choice Requires="x14">
            <control shapeId="41998" r:id="rId17" name="Check Box 15">
              <controlPr defaultSize="0" autoFill="0" autoLine="0" autoPict="0">
                <anchor moveWithCells="1">
                  <from>
                    <xdr:col>1</xdr:col>
                    <xdr:colOff>152400</xdr:colOff>
                    <xdr:row>6</xdr:row>
                    <xdr:rowOff>0</xdr:rowOff>
                  </from>
                  <to>
                    <xdr:col>1</xdr:col>
                    <xdr:colOff>333375</xdr:colOff>
                    <xdr:row>7</xdr:row>
                    <xdr:rowOff>0</xdr:rowOff>
                  </to>
                </anchor>
              </controlPr>
            </control>
          </mc:Choice>
        </mc:AlternateContent>
        <mc:AlternateContent xmlns:mc="http://schemas.openxmlformats.org/markup-compatibility/2006">
          <mc:Choice Requires="x14">
            <control shapeId="41999" r:id="rId18" name="Check Box 16">
              <controlPr defaultSize="0" autoFill="0" autoLine="0" autoPict="0">
                <anchor moveWithCells="1">
                  <from>
                    <xdr:col>1</xdr:col>
                    <xdr:colOff>152400</xdr:colOff>
                    <xdr:row>23</xdr:row>
                    <xdr:rowOff>0</xdr:rowOff>
                  </from>
                  <to>
                    <xdr:col>1</xdr:col>
                    <xdr:colOff>333375</xdr:colOff>
                    <xdr:row>24</xdr:row>
                    <xdr:rowOff>9525</xdr:rowOff>
                  </to>
                </anchor>
              </controlPr>
            </control>
          </mc:Choice>
        </mc:AlternateContent>
        <mc:AlternateContent xmlns:mc="http://schemas.openxmlformats.org/markup-compatibility/2006">
          <mc:Choice Requires="x14">
            <control shapeId="42000" r:id="rId19" name="Check Box 17">
              <controlPr defaultSize="0" autoFill="0" autoLine="0" autoPict="0">
                <anchor moveWithCells="1">
                  <from>
                    <xdr:col>1</xdr:col>
                    <xdr:colOff>152400</xdr:colOff>
                    <xdr:row>23</xdr:row>
                    <xdr:rowOff>180975</xdr:rowOff>
                  </from>
                  <to>
                    <xdr:col>1</xdr:col>
                    <xdr:colOff>333375</xdr:colOff>
                    <xdr:row>25</xdr:row>
                    <xdr:rowOff>0</xdr:rowOff>
                  </to>
                </anchor>
              </controlPr>
            </control>
          </mc:Choice>
        </mc:AlternateContent>
        <mc:AlternateContent xmlns:mc="http://schemas.openxmlformats.org/markup-compatibility/2006">
          <mc:Choice Requires="x14">
            <control shapeId="42001" r:id="rId20" name="Check Box 18">
              <controlPr defaultSize="0" autoFill="0" autoLine="0" autoPict="0">
                <anchor moveWithCells="1">
                  <from>
                    <xdr:col>1</xdr:col>
                    <xdr:colOff>152400</xdr:colOff>
                    <xdr:row>25</xdr:row>
                    <xdr:rowOff>0</xdr:rowOff>
                  </from>
                  <to>
                    <xdr:col>1</xdr:col>
                    <xdr:colOff>333375</xdr:colOff>
                    <xdr:row>26</xdr:row>
                    <xdr:rowOff>0</xdr:rowOff>
                  </to>
                </anchor>
              </controlPr>
            </control>
          </mc:Choice>
        </mc:AlternateContent>
        <mc:AlternateContent xmlns:mc="http://schemas.openxmlformats.org/markup-compatibility/2006">
          <mc:Choice Requires="x14">
            <control shapeId="42002" r:id="rId21" name="Check Box 19">
              <controlPr defaultSize="0" autoFill="0" autoLine="0" autoPict="0">
                <anchor moveWithCells="1">
                  <from>
                    <xdr:col>1</xdr:col>
                    <xdr:colOff>152400</xdr:colOff>
                    <xdr:row>26</xdr:row>
                    <xdr:rowOff>0</xdr:rowOff>
                  </from>
                  <to>
                    <xdr:col>1</xdr:col>
                    <xdr:colOff>333375</xdr:colOff>
                    <xdr:row>27</xdr:row>
                    <xdr:rowOff>0</xdr:rowOff>
                  </to>
                </anchor>
              </controlPr>
            </control>
          </mc:Choice>
        </mc:AlternateContent>
        <mc:AlternateContent xmlns:mc="http://schemas.openxmlformats.org/markup-compatibility/2006">
          <mc:Choice Requires="x14">
            <control shapeId="42003" r:id="rId22" name="Check Box 20">
              <controlPr defaultSize="0" autoFill="0" autoLine="0" autoPict="0">
                <anchor moveWithCells="1">
                  <from>
                    <xdr:col>1</xdr:col>
                    <xdr:colOff>152400</xdr:colOff>
                    <xdr:row>27</xdr:row>
                    <xdr:rowOff>9525</xdr:rowOff>
                  </from>
                  <to>
                    <xdr:col>1</xdr:col>
                    <xdr:colOff>333375</xdr:colOff>
                    <xdr:row>28</xdr:row>
                    <xdr:rowOff>9525</xdr:rowOff>
                  </to>
                </anchor>
              </controlPr>
            </control>
          </mc:Choice>
        </mc:AlternateContent>
        <mc:AlternateContent xmlns:mc="http://schemas.openxmlformats.org/markup-compatibility/2006">
          <mc:Choice Requires="x14">
            <control shapeId="42004" r:id="rId23" name="Check Box 21">
              <controlPr defaultSize="0" autoFill="0" autoLine="0" autoPict="0">
                <anchor moveWithCells="1">
                  <from>
                    <xdr:col>1</xdr:col>
                    <xdr:colOff>152400</xdr:colOff>
                    <xdr:row>28</xdr:row>
                    <xdr:rowOff>9525</xdr:rowOff>
                  </from>
                  <to>
                    <xdr:col>1</xdr:col>
                    <xdr:colOff>333375</xdr:colOff>
                    <xdr:row>29</xdr:row>
                    <xdr:rowOff>9525</xdr:rowOff>
                  </to>
                </anchor>
              </controlPr>
            </control>
          </mc:Choice>
        </mc:AlternateContent>
        <mc:AlternateContent xmlns:mc="http://schemas.openxmlformats.org/markup-compatibility/2006">
          <mc:Choice Requires="x14">
            <control shapeId="42005" r:id="rId24" name="Check Box 21">
              <controlPr defaultSize="0" autoFill="0" autoLine="0" autoPict="0">
                <anchor moveWithCells="1">
                  <from>
                    <xdr:col>1</xdr:col>
                    <xdr:colOff>152400</xdr:colOff>
                    <xdr:row>28</xdr:row>
                    <xdr:rowOff>180975</xdr:rowOff>
                  </from>
                  <to>
                    <xdr:col>1</xdr:col>
                    <xdr:colOff>333375</xdr:colOff>
                    <xdr:row>29</xdr:row>
                    <xdr:rowOff>180975</xdr:rowOff>
                  </to>
                </anchor>
              </controlPr>
            </control>
          </mc:Choice>
        </mc:AlternateContent>
        <mc:AlternateContent xmlns:mc="http://schemas.openxmlformats.org/markup-compatibility/2006">
          <mc:Choice Requires="x14">
            <control shapeId="42006" r:id="rId25" name="Check Box 22">
              <controlPr defaultSize="0" autoFill="0" autoLine="0" autoPict="0">
                <anchor moveWithCells="1">
                  <from>
                    <xdr:col>1</xdr:col>
                    <xdr:colOff>152400</xdr:colOff>
                    <xdr:row>4</xdr:row>
                    <xdr:rowOff>0</xdr:rowOff>
                  </from>
                  <to>
                    <xdr:col>1</xdr:col>
                    <xdr:colOff>333375</xdr:colOff>
                    <xdr:row>5</xdr:row>
                    <xdr:rowOff>0</xdr:rowOff>
                  </to>
                </anchor>
              </controlPr>
            </control>
          </mc:Choice>
        </mc:AlternateContent>
        <mc:AlternateContent xmlns:mc="http://schemas.openxmlformats.org/markup-compatibility/2006">
          <mc:Choice Requires="x14">
            <control shapeId="42007" r:id="rId26" name="Check Box 23">
              <controlPr defaultSize="0" autoFill="0" autoLine="0" autoPict="0">
                <anchor moveWithCells="1">
                  <from>
                    <xdr:col>1</xdr:col>
                    <xdr:colOff>152400</xdr:colOff>
                    <xdr:row>19</xdr:row>
                    <xdr:rowOff>180975</xdr:rowOff>
                  </from>
                  <to>
                    <xdr:col>1</xdr:col>
                    <xdr:colOff>333375</xdr:colOff>
                    <xdr:row>20</xdr:row>
                    <xdr:rowOff>180975</xdr:rowOff>
                  </to>
                </anchor>
              </controlPr>
            </control>
          </mc:Choice>
        </mc:AlternateContent>
        <mc:AlternateContent xmlns:mc="http://schemas.openxmlformats.org/markup-compatibility/2006">
          <mc:Choice Requires="x14">
            <control shapeId="42008" r:id="rId27" name="Check Box 24">
              <controlPr defaultSize="0" autoFill="0" autoLine="0" autoPict="0">
                <anchor moveWithCells="1">
                  <from>
                    <xdr:col>1</xdr:col>
                    <xdr:colOff>152400</xdr:colOff>
                    <xdr:row>10</xdr:row>
                    <xdr:rowOff>190500</xdr:rowOff>
                  </from>
                  <to>
                    <xdr:col>1</xdr:col>
                    <xdr:colOff>333375</xdr:colOff>
                    <xdr:row>11</xdr:row>
                    <xdr:rowOff>190500</xdr:rowOff>
                  </to>
                </anchor>
              </controlPr>
            </control>
          </mc:Choice>
        </mc:AlternateContent>
        <mc:AlternateContent xmlns:mc="http://schemas.openxmlformats.org/markup-compatibility/2006">
          <mc:Choice Requires="x14">
            <control shapeId="42009" r:id="rId28" name="Check Box 25">
              <controlPr defaultSize="0" autoFill="0" autoLine="0" autoPict="0">
                <anchor moveWithCells="1">
                  <from>
                    <xdr:col>1</xdr:col>
                    <xdr:colOff>152400</xdr:colOff>
                    <xdr:row>31</xdr:row>
                    <xdr:rowOff>0</xdr:rowOff>
                  </from>
                  <to>
                    <xdr:col>1</xdr:col>
                    <xdr:colOff>333375</xdr:colOff>
                    <xdr:row>32</xdr:row>
                    <xdr:rowOff>0</xdr:rowOff>
                  </to>
                </anchor>
              </controlPr>
            </control>
          </mc:Choice>
        </mc:AlternateContent>
        <mc:AlternateContent xmlns:mc="http://schemas.openxmlformats.org/markup-compatibility/2006">
          <mc:Choice Requires="x14">
            <control shapeId="42010" r:id="rId29" name="Check Box 26">
              <controlPr defaultSize="0" autoFill="0" autoLine="0" autoPict="0">
                <anchor moveWithCells="1">
                  <from>
                    <xdr:col>1</xdr:col>
                    <xdr:colOff>152400</xdr:colOff>
                    <xdr:row>32</xdr:row>
                    <xdr:rowOff>0</xdr:rowOff>
                  </from>
                  <to>
                    <xdr:col>1</xdr:col>
                    <xdr:colOff>333375</xdr:colOff>
                    <xdr:row>33</xdr:row>
                    <xdr:rowOff>0</xdr:rowOff>
                  </to>
                </anchor>
              </controlPr>
            </control>
          </mc:Choice>
        </mc:AlternateContent>
        <mc:AlternateContent xmlns:mc="http://schemas.openxmlformats.org/markup-compatibility/2006">
          <mc:Choice Requires="x14">
            <control shapeId="42011" r:id="rId30" name="Check Box 27">
              <controlPr defaultSize="0" autoFill="0" autoLine="0" autoPict="0">
                <anchor moveWithCells="1">
                  <from>
                    <xdr:col>1</xdr:col>
                    <xdr:colOff>152400</xdr:colOff>
                    <xdr:row>33</xdr:row>
                    <xdr:rowOff>0</xdr:rowOff>
                  </from>
                  <to>
                    <xdr:col>1</xdr:col>
                    <xdr:colOff>333375</xdr:colOff>
                    <xdr:row>34</xdr:row>
                    <xdr:rowOff>0</xdr:rowOff>
                  </to>
                </anchor>
              </controlPr>
            </control>
          </mc:Choice>
        </mc:AlternateContent>
        <mc:AlternateContent xmlns:mc="http://schemas.openxmlformats.org/markup-compatibility/2006">
          <mc:Choice Requires="x14">
            <control shapeId="42012" r:id="rId31" name="Check Box 28">
              <controlPr defaultSize="0" autoFill="0" autoLine="0" autoPict="0">
                <anchor moveWithCells="1">
                  <from>
                    <xdr:col>1</xdr:col>
                    <xdr:colOff>152400</xdr:colOff>
                    <xdr:row>33</xdr:row>
                    <xdr:rowOff>171450</xdr:rowOff>
                  </from>
                  <to>
                    <xdr:col>1</xdr:col>
                    <xdr:colOff>333375</xdr:colOff>
                    <xdr:row>34</xdr:row>
                    <xdr:rowOff>171450</xdr:rowOff>
                  </to>
                </anchor>
              </controlPr>
            </control>
          </mc:Choice>
        </mc:AlternateContent>
        <mc:AlternateContent xmlns:mc="http://schemas.openxmlformats.org/markup-compatibility/2006">
          <mc:Choice Requires="x14">
            <control shapeId="42013" r:id="rId32" name="Check Box 29">
              <controlPr defaultSize="0" autoFill="0" autoLine="0" autoPict="0">
                <anchor moveWithCells="1">
                  <from>
                    <xdr:col>1</xdr:col>
                    <xdr:colOff>152400</xdr:colOff>
                    <xdr:row>5</xdr:row>
                    <xdr:rowOff>0</xdr:rowOff>
                  </from>
                  <to>
                    <xdr:col>1</xdr:col>
                    <xdr:colOff>333375</xdr:colOff>
                    <xdr:row>6</xdr:row>
                    <xdr:rowOff>0</xdr:rowOff>
                  </to>
                </anchor>
              </controlPr>
            </control>
          </mc:Choice>
        </mc:AlternateContent>
        <mc:AlternateContent xmlns:mc="http://schemas.openxmlformats.org/markup-compatibility/2006">
          <mc:Choice Requires="x14">
            <control shapeId="42014" r:id="rId33" name="Check Box 30">
              <controlPr defaultSize="0" autoFill="0" autoLine="0" autoPict="0">
                <anchor moveWithCells="1">
                  <from>
                    <xdr:col>1</xdr:col>
                    <xdr:colOff>152400</xdr:colOff>
                    <xdr:row>8</xdr:row>
                    <xdr:rowOff>180975</xdr:rowOff>
                  </from>
                  <to>
                    <xdr:col>1</xdr:col>
                    <xdr:colOff>333375</xdr:colOff>
                    <xdr:row>9</xdr:row>
                    <xdr:rowOff>180975</xdr:rowOff>
                  </to>
                </anchor>
              </controlPr>
            </control>
          </mc:Choice>
        </mc:AlternateContent>
        <mc:AlternateContent xmlns:mc="http://schemas.openxmlformats.org/markup-compatibility/2006">
          <mc:Choice Requires="x14">
            <control shapeId="42015" r:id="rId34" name="Check Box 31">
              <controlPr defaultSize="0" autoFill="0" autoLine="0" autoPict="0">
                <anchor moveWithCells="1">
                  <from>
                    <xdr:col>1</xdr:col>
                    <xdr:colOff>152400</xdr:colOff>
                    <xdr:row>12</xdr:row>
                    <xdr:rowOff>171450</xdr:rowOff>
                  </from>
                  <to>
                    <xdr:col>1</xdr:col>
                    <xdr:colOff>333375</xdr:colOff>
                    <xdr:row>13</xdr:row>
                    <xdr:rowOff>180975</xdr:rowOff>
                  </to>
                </anchor>
              </controlPr>
            </control>
          </mc:Choice>
        </mc:AlternateContent>
        <mc:AlternateContent xmlns:mc="http://schemas.openxmlformats.org/markup-compatibility/2006">
          <mc:Choice Requires="x14">
            <control shapeId="42016" r:id="rId35" name="Check Box 32">
              <controlPr defaultSize="0" autoFill="0" autoLine="0" autoPict="0">
                <anchor moveWithCells="1">
                  <from>
                    <xdr:col>1</xdr:col>
                    <xdr:colOff>152400</xdr:colOff>
                    <xdr:row>34</xdr:row>
                    <xdr:rowOff>180975</xdr:rowOff>
                  </from>
                  <to>
                    <xdr:col>1</xdr:col>
                    <xdr:colOff>333375</xdr:colOff>
                    <xdr:row>35</xdr:row>
                    <xdr:rowOff>180975</xdr:rowOff>
                  </to>
                </anchor>
              </controlPr>
            </control>
          </mc:Choice>
        </mc:AlternateContent>
        <mc:AlternateContent xmlns:mc="http://schemas.openxmlformats.org/markup-compatibility/2006">
          <mc:Choice Requires="x14">
            <control shapeId="42017" r:id="rId36" name="Check Box 33">
              <controlPr defaultSize="0" autoFill="0" autoLine="0" autoPict="0">
                <anchor moveWithCells="1">
                  <from>
                    <xdr:col>1</xdr:col>
                    <xdr:colOff>152400</xdr:colOff>
                    <xdr:row>35</xdr:row>
                    <xdr:rowOff>180975</xdr:rowOff>
                  </from>
                  <to>
                    <xdr:col>1</xdr:col>
                    <xdr:colOff>333375</xdr:colOff>
                    <xdr:row>36</xdr:row>
                    <xdr:rowOff>180975</xdr:rowOff>
                  </to>
                </anchor>
              </controlPr>
            </control>
          </mc:Choice>
        </mc:AlternateContent>
        <mc:AlternateContent xmlns:mc="http://schemas.openxmlformats.org/markup-compatibility/2006">
          <mc:Choice Requires="x14">
            <control shapeId="42018" r:id="rId37" name="Check Box 34">
              <controlPr defaultSize="0" autoFill="0" autoLine="0" autoPict="0">
                <anchor moveWithCells="1">
                  <from>
                    <xdr:col>1</xdr:col>
                    <xdr:colOff>152400</xdr:colOff>
                    <xdr:row>13</xdr:row>
                    <xdr:rowOff>161925</xdr:rowOff>
                  </from>
                  <to>
                    <xdr:col>1</xdr:col>
                    <xdr:colOff>333375</xdr:colOff>
                    <xdr:row>14</xdr:row>
                    <xdr:rowOff>171450</xdr:rowOff>
                  </to>
                </anchor>
              </controlPr>
            </control>
          </mc:Choice>
        </mc:AlternateContent>
        <mc:AlternateContent xmlns:mc="http://schemas.openxmlformats.org/markup-compatibility/2006">
          <mc:Choice Requires="x14">
            <control shapeId="42019" r:id="rId38" name="Check Box 35">
              <controlPr defaultSize="0" autoFill="0" autoLine="0" autoPict="0">
                <anchor moveWithCells="1">
                  <from>
                    <xdr:col>1</xdr:col>
                    <xdr:colOff>142875</xdr:colOff>
                    <xdr:row>36</xdr:row>
                    <xdr:rowOff>180975</xdr:rowOff>
                  </from>
                  <to>
                    <xdr:col>1</xdr:col>
                    <xdr:colOff>323850</xdr:colOff>
                    <xdr:row>37</xdr:row>
                    <xdr:rowOff>180975</xdr:rowOff>
                  </to>
                </anchor>
              </controlPr>
            </control>
          </mc:Choice>
        </mc:AlternateContent>
        <mc:AlternateContent xmlns:mc="http://schemas.openxmlformats.org/markup-compatibility/2006">
          <mc:Choice Requires="x14">
            <control shapeId="42020" r:id="rId39" name="Check Box 36">
              <controlPr defaultSize="0" autoFill="0" autoLine="0" autoPict="0">
                <anchor moveWithCells="1">
                  <from>
                    <xdr:col>1</xdr:col>
                    <xdr:colOff>142875</xdr:colOff>
                    <xdr:row>38</xdr:row>
                    <xdr:rowOff>171450</xdr:rowOff>
                  </from>
                  <to>
                    <xdr:col>1</xdr:col>
                    <xdr:colOff>323850</xdr:colOff>
                    <xdr:row>39</xdr:row>
                    <xdr:rowOff>171450</xdr:rowOff>
                  </to>
                </anchor>
              </controlPr>
            </control>
          </mc:Choice>
        </mc:AlternateContent>
        <mc:AlternateContent xmlns:mc="http://schemas.openxmlformats.org/markup-compatibility/2006">
          <mc:Choice Requires="x14">
            <control shapeId="42021" r:id="rId40" name="Check Box 37">
              <controlPr defaultSize="0" autoFill="0" autoLine="0" autoPict="0">
                <anchor moveWithCells="1">
                  <from>
                    <xdr:col>1</xdr:col>
                    <xdr:colOff>161925</xdr:colOff>
                    <xdr:row>37</xdr:row>
                    <xdr:rowOff>180975</xdr:rowOff>
                  </from>
                  <to>
                    <xdr:col>1</xdr:col>
                    <xdr:colOff>342900</xdr:colOff>
                    <xdr:row>38</xdr:row>
                    <xdr:rowOff>180975</xdr:rowOff>
                  </to>
                </anchor>
              </controlPr>
            </control>
          </mc:Choice>
        </mc:AlternateContent>
        <mc:AlternateContent xmlns:mc="http://schemas.openxmlformats.org/markup-compatibility/2006">
          <mc:Choice Requires="x14">
            <control shapeId="42022" r:id="rId41" name="Check Box 38">
              <controlPr defaultSize="0" autoFill="0" autoLine="0" autoPict="0">
                <anchor moveWithCells="1">
                  <from>
                    <xdr:col>1</xdr:col>
                    <xdr:colOff>142875</xdr:colOff>
                    <xdr:row>9</xdr:row>
                    <xdr:rowOff>171450</xdr:rowOff>
                  </from>
                  <to>
                    <xdr:col>1</xdr:col>
                    <xdr:colOff>323850</xdr:colOff>
                    <xdr:row>10</xdr:row>
                    <xdr:rowOff>171450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1"/>
  <dimension ref="A3:P53"/>
  <sheetViews>
    <sheetView zoomScale="85" zoomScaleNormal="85" workbookViewId="0">
      <selection activeCell="I48" sqref="I48:K48"/>
    </sheetView>
  </sheetViews>
  <sheetFormatPr defaultColWidth="11.42578125" defaultRowHeight="15" x14ac:dyDescent="0.25"/>
  <cols>
    <col min="1" max="1" width="18.5703125" customWidth="1"/>
    <col min="2" max="2" width="5.85546875" customWidth="1"/>
    <col min="3" max="3" width="11.42578125" style="2"/>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6" x14ac:dyDescent="0.25">
      <c r="C3" s="3" t="s">
        <v>1</v>
      </c>
      <c r="D3" s="3" t="s">
        <v>24</v>
      </c>
      <c r="E3" s="19" t="s">
        <v>16</v>
      </c>
      <c r="F3" s="16" t="s">
        <v>15</v>
      </c>
      <c r="G3" s="21" t="s">
        <v>14</v>
      </c>
      <c r="H3" s="17" t="s">
        <v>0</v>
      </c>
      <c r="I3" s="19" t="s">
        <v>29</v>
      </c>
      <c r="J3" s="16" t="s">
        <v>30</v>
      </c>
      <c r="K3" s="21" t="s">
        <v>14</v>
      </c>
      <c r="L3" s="17" t="s">
        <v>31</v>
      </c>
    </row>
    <row r="4" spans="1:16" x14ac:dyDescent="0.25">
      <c r="A4" s="32" t="s">
        <v>3</v>
      </c>
      <c r="B4" s="32"/>
      <c r="C4" s="33">
        <f>65</f>
        <v>65</v>
      </c>
      <c r="E4" s="20">
        <f>12/100</f>
        <v>0.12</v>
      </c>
      <c r="F4" s="6">
        <f>60/100</f>
        <v>0.6</v>
      </c>
      <c r="G4" s="22">
        <f>7.1/100</f>
        <v>7.0999999999999994E-2</v>
      </c>
      <c r="H4" s="18">
        <f>371/100</f>
        <v>3.71</v>
      </c>
      <c r="I4" s="20">
        <f t="shared" ref="I4:K35" si="0">IF($M4=TRUE,E4*$C4,0)</f>
        <v>7.8</v>
      </c>
      <c r="J4" s="6">
        <f t="shared" si="0"/>
        <v>39</v>
      </c>
      <c r="K4" s="22">
        <f t="shared" si="0"/>
        <v>4.6149999999999993</v>
      </c>
      <c r="L4" s="18">
        <f t="shared" ref="L4:L40" si="1">IF($M4=TRUE, H4*C4,0)</f>
        <v>241.15</v>
      </c>
      <c r="M4" t="b">
        <v>1</v>
      </c>
    </row>
    <row r="5" spans="1:16" x14ac:dyDescent="0.25">
      <c r="A5" s="34" t="s">
        <v>33</v>
      </c>
      <c r="B5" s="32"/>
      <c r="C5" s="33">
        <f>166+50</f>
        <v>216</v>
      </c>
      <c r="E5" s="20">
        <f>11/100</f>
        <v>0.11</v>
      </c>
      <c r="F5" s="6">
        <f>0.7/100</f>
        <v>6.9999999999999993E-3</v>
      </c>
      <c r="G5" s="22">
        <f>0.2/100</f>
        <v>2E-3</v>
      </c>
      <c r="H5" s="18">
        <f>52/100</f>
        <v>0.52</v>
      </c>
      <c r="I5" s="20">
        <f t="shared" si="0"/>
        <v>23.76</v>
      </c>
      <c r="J5" s="6">
        <f t="shared" si="0"/>
        <v>1.5119999999999998</v>
      </c>
      <c r="K5" s="22">
        <f t="shared" si="0"/>
        <v>0.432</v>
      </c>
      <c r="L5" s="18">
        <f>IF($M5=TRUE, H5*C5,0)</f>
        <v>112.32000000000001</v>
      </c>
      <c r="M5" t="b">
        <v>1</v>
      </c>
    </row>
    <row r="6" spans="1:16" x14ac:dyDescent="0.25">
      <c r="A6" s="34" t="s">
        <v>67</v>
      </c>
      <c r="B6" s="32"/>
      <c r="C6" s="33">
        <f>30</f>
        <v>30</v>
      </c>
      <c r="E6" s="20">
        <f>2.4/100</f>
        <v>2.4E-2</v>
      </c>
      <c r="F6" s="6">
        <v>0</v>
      </c>
      <c r="G6" s="22">
        <f>27/100</f>
        <v>0.27</v>
      </c>
      <c r="H6" s="18">
        <f>350/100</f>
        <v>3.5</v>
      </c>
      <c r="I6" s="20">
        <f t="shared" si="0"/>
        <v>0.72</v>
      </c>
      <c r="J6" s="6">
        <f t="shared" si="0"/>
        <v>0</v>
      </c>
      <c r="K6" s="22">
        <f t="shared" si="0"/>
        <v>8.1000000000000014</v>
      </c>
      <c r="L6" s="18">
        <f>IF($M6=TRUE, H6*C6,0)</f>
        <v>105</v>
      </c>
      <c r="M6" t="b">
        <v>1</v>
      </c>
      <c r="P6">
        <v>1</v>
      </c>
    </row>
    <row r="7" spans="1:16" x14ac:dyDescent="0.25">
      <c r="A7" s="32" t="s">
        <v>18</v>
      </c>
      <c r="B7" s="32"/>
      <c r="C7" s="33">
        <f>250</f>
        <v>250</v>
      </c>
      <c r="E7" s="20">
        <f>3.2/100</f>
        <v>3.2000000000000001E-2</v>
      </c>
      <c r="F7" s="6">
        <f>4.8/100</f>
        <v>4.8000000000000001E-2</v>
      </c>
      <c r="G7" s="22">
        <f>1.6/100</f>
        <v>1.6E-2</v>
      </c>
      <c r="H7" s="18">
        <f>46/100</f>
        <v>0.46</v>
      </c>
      <c r="I7" s="20">
        <f t="shared" si="0"/>
        <v>8</v>
      </c>
      <c r="J7" s="6">
        <f t="shared" si="0"/>
        <v>12</v>
      </c>
      <c r="K7" s="22">
        <f t="shared" si="0"/>
        <v>4</v>
      </c>
      <c r="L7" s="18">
        <f>IF($M7=TRUE, H7*C7,0)</f>
        <v>115</v>
      </c>
      <c r="M7" t="b">
        <v>1</v>
      </c>
    </row>
    <row r="8" spans="1:16" x14ac:dyDescent="0.25">
      <c r="A8" s="36" t="s">
        <v>5</v>
      </c>
      <c r="B8" s="36"/>
      <c r="C8" s="38">
        <f>178+200</f>
        <v>378</v>
      </c>
      <c r="E8" s="20">
        <f>20.7/100</f>
        <v>0.20699999999999999</v>
      </c>
      <c r="F8" s="6">
        <f>2.2/100</f>
        <v>2.2000000000000002E-2</v>
      </c>
      <c r="G8" s="22">
        <f>0.9/100</f>
        <v>9.0000000000000011E-3</v>
      </c>
      <c r="H8" s="18">
        <f>94/100</f>
        <v>0.94</v>
      </c>
      <c r="I8" s="20">
        <f t="shared" si="0"/>
        <v>78.245999999999995</v>
      </c>
      <c r="J8" s="6">
        <f t="shared" si="0"/>
        <v>8.3160000000000007</v>
      </c>
      <c r="K8" s="22">
        <f t="shared" si="0"/>
        <v>3.4020000000000006</v>
      </c>
      <c r="L8" s="18">
        <f t="shared" si="1"/>
        <v>355.32</v>
      </c>
      <c r="M8" t="b">
        <v>1</v>
      </c>
    </row>
    <row r="9" spans="1:16" x14ac:dyDescent="0.25">
      <c r="A9" s="36" t="s">
        <v>6</v>
      </c>
      <c r="B9" s="36"/>
      <c r="C9" s="38">
        <f>256/2*2</f>
        <v>256</v>
      </c>
      <c r="E9" s="20">
        <f>20/100</f>
        <v>0.2</v>
      </c>
      <c r="F9" s="6">
        <f>0.2/100</f>
        <v>2E-3</v>
      </c>
      <c r="G9" s="22">
        <f>5/100</f>
        <v>0.05</v>
      </c>
      <c r="H9" s="18">
        <f>126/100</f>
        <v>1.26</v>
      </c>
      <c r="I9" s="20">
        <f t="shared" si="0"/>
        <v>0</v>
      </c>
      <c r="J9" s="6">
        <f t="shared" si="0"/>
        <v>0</v>
      </c>
      <c r="K9" s="22">
        <f t="shared" si="0"/>
        <v>0</v>
      </c>
      <c r="L9" s="18">
        <f t="shared" si="1"/>
        <v>0</v>
      </c>
      <c r="M9" t="b">
        <v>0</v>
      </c>
    </row>
    <row r="10" spans="1:16" x14ac:dyDescent="0.25">
      <c r="A10" s="36" t="s">
        <v>57</v>
      </c>
      <c r="B10" s="36"/>
      <c r="C10" s="38">
        <v>129</v>
      </c>
      <c r="E10" s="20">
        <f>19/100</f>
        <v>0.19</v>
      </c>
      <c r="F10" s="6">
        <v>0</v>
      </c>
      <c r="G10" s="22">
        <f>12/100</f>
        <v>0.12</v>
      </c>
      <c r="H10" s="18">
        <f>184/100</f>
        <v>1.84</v>
      </c>
      <c r="I10" s="20">
        <f t="shared" si="0"/>
        <v>24.51</v>
      </c>
      <c r="J10" s="6">
        <f t="shared" si="0"/>
        <v>0</v>
      </c>
      <c r="K10" s="22">
        <f t="shared" si="0"/>
        <v>15.479999999999999</v>
      </c>
      <c r="L10" s="18">
        <f t="shared" si="1"/>
        <v>237.36</v>
      </c>
      <c r="M10" t="b">
        <v>1</v>
      </c>
    </row>
    <row r="11" spans="1:16" x14ac:dyDescent="0.25">
      <c r="A11" s="36" t="s">
        <v>87</v>
      </c>
      <c r="B11" s="36"/>
      <c r="C11" s="38"/>
      <c r="E11" s="20">
        <f>25/100</f>
        <v>0.25</v>
      </c>
      <c r="F11" s="6">
        <f>0</f>
        <v>0</v>
      </c>
      <c r="G11" s="22">
        <f>11/100</f>
        <v>0.11</v>
      </c>
      <c r="H11" s="18">
        <f>208/100</f>
        <v>2.08</v>
      </c>
      <c r="I11" s="20">
        <f t="shared" si="0"/>
        <v>0</v>
      </c>
      <c r="J11" s="6">
        <f t="shared" si="0"/>
        <v>0</v>
      </c>
      <c r="K11" s="22">
        <f t="shared" si="0"/>
        <v>0</v>
      </c>
      <c r="L11" s="18">
        <f t="shared" si="1"/>
        <v>0</v>
      </c>
      <c r="M11" t="b">
        <v>0</v>
      </c>
    </row>
    <row r="12" spans="1:16" x14ac:dyDescent="0.25">
      <c r="A12" s="36" t="s">
        <v>59</v>
      </c>
      <c r="B12" s="36"/>
      <c r="C12" s="38">
        <v>360</v>
      </c>
      <c r="E12" s="20">
        <f>20/100</f>
        <v>0.2</v>
      </c>
      <c r="F12" s="6">
        <v>0</v>
      </c>
      <c r="G12" s="22">
        <f>5/100</f>
        <v>0.05</v>
      </c>
      <c r="H12" s="18">
        <f>121/100</f>
        <v>1.21</v>
      </c>
      <c r="I12" s="20">
        <f t="shared" si="0"/>
        <v>0</v>
      </c>
      <c r="J12" s="6">
        <f t="shared" si="0"/>
        <v>0</v>
      </c>
      <c r="K12" s="22">
        <f t="shared" si="0"/>
        <v>0</v>
      </c>
      <c r="L12" s="18">
        <f t="shared" si="1"/>
        <v>0</v>
      </c>
      <c r="M12" t="b">
        <v>0</v>
      </c>
    </row>
    <row r="13" spans="1:16" x14ac:dyDescent="0.25">
      <c r="A13" s="36" t="s">
        <v>13</v>
      </c>
      <c r="B13" s="36"/>
      <c r="C13" s="38">
        <v>1</v>
      </c>
      <c r="E13" s="20">
        <v>20</v>
      </c>
      <c r="F13" s="6">
        <v>1</v>
      </c>
      <c r="G13" s="22">
        <v>1</v>
      </c>
      <c r="H13" s="18">
        <v>93</v>
      </c>
      <c r="I13" s="20">
        <f t="shared" si="0"/>
        <v>0</v>
      </c>
      <c r="J13" s="6">
        <f t="shared" si="0"/>
        <v>0</v>
      </c>
      <c r="K13" s="22">
        <f t="shared" si="0"/>
        <v>0</v>
      </c>
      <c r="L13" s="18">
        <f t="shared" si="1"/>
        <v>0</v>
      </c>
      <c r="M13" t="b">
        <v>0</v>
      </c>
    </row>
    <row r="14" spans="1:16" x14ac:dyDescent="0.25">
      <c r="A14" s="36" t="s">
        <v>80</v>
      </c>
      <c r="B14" s="36"/>
      <c r="C14" s="38">
        <v>126</v>
      </c>
      <c r="E14" s="20">
        <f>24/100</f>
        <v>0.24</v>
      </c>
      <c r="F14" s="6">
        <f>1/100</f>
        <v>0.01</v>
      </c>
      <c r="G14" s="22">
        <f>1/100</f>
        <v>0.01</v>
      </c>
      <c r="H14" s="18">
        <f>105/100</f>
        <v>1.05</v>
      </c>
      <c r="I14" s="20">
        <f t="shared" si="0"/>
        <v>0</v>
      </c>
      <c r="J14" s="6">
        <f t="shared" si="0"/>
        <v>0</v>
      </c>
      <c r="K14" s="22">
        <f t="shared" si="0"/>
        <v>0</v>
      </c>
      <c r="L14" s="18">
        <f t="shared" si="1"/>
        <v>0</v>
      </c>
      <c r="M14" t="b">
        <v>0</v>
      </c>
    </row>
    <row r="15" spans="1:16" x14ac:dyDescent="0.25">
      <c r="A15" s="36" t="s">
        <v>82</v>
      </c>
      <c r="B15" s="36"/>
      <c r="C15" s="38">
        <f>200</f>
        <v>200</v>
      </c>
      <c r="E15" s="20">
        <f>24/100</f>
        <v>0.24</v>
      </c>
      <c r="F15" s="6">
        <v>0</v>
      </c>
      <c r="G15" s="22">
        <f>0</f>
        <v>0</v>
      </c>
      <c r="H15" s="18">
        <f>24*4/100</f>
        <v>0.96</v>
      </c>
      <c r="I15" s="20">
        <f t="shared" si="0"/>
        <v>0</v>
      </c>
      <c r="J15" s="6">
        <f t="shared" si="0"/>
        <v>0</v>
      </c>
      <c r="K15" s="22">
        <f t="shared" si="0"/>
        <v>0</v>
      </c>
      <c r="L15" s="18">
        <f t="shared" si="1"/>
        <v>0</v>
      </c>
      <c r="M15" t="b">
        <v>0</v>
      </c>
    </row>
    <row r="16" spans="1:16" x14ac:dyDescent="0.25">
      <c r="A16" t="s">
        <v>7</v>
      </c>
      <c r="C16" s="28">
        <v>50</v>
      </c>
      <c r="E16" s="20">
        <f>12.68/100</f>
        <v>0.1268</v>
      </c>
      <c r="F16" s="6">
        <f>72.83/100</f>
        <v>0.72829999999999995</v>
      </c>
      <c r="G16" s="22">
        <f>1.05/100</f>
        <v>1.0500000000000001E-2</v>
      </c>
      <c r="H16" s="18">
        <f>360/100</f>
        <v>3.6</v>
      </c>
      <c r="I16" s="20">
        <f t="shared" si="0"/>
        <v>0</v>
      </c>
      <c r="J16" s="6">
        <f t="shared" si="0"/>
        <v>0</v>
      </c>
      <c r="K16" s="22">
        <f t="shared" si="0"/>
        <v>0</v>
      </c>
      <c r="L16" s="18">
        <f t="shared" si="1"/>
        <v>0</v>
      </c>
      <c r="M16" t="b">
        <v>0</v>
      </c>
    </row>
    <row r="17" spans="1:13" x14ac:dyDescent="0.25">
      <c r="A17" t="s">
        <v>8</v>
      </c>
      <c r="C17" s="28">
        <v>39</v>
      </c>
      <c r="E17" s="20">
        <f>8.8/100</f>
        <v>8.8000000000000009E-2</v>
      </c>
      <c r="F17" s="6">
        <f>72/100</f>
        <v>0.72</v>
      </c>
      <c r="G17" s="22">
        <f>2.2/100</f>
        <v>2.2000000000000002E-2</v>
      </c>
      <c r="H17" s="18">
        <f>343/100</f>
        <v>3.43</v>
      </c>
      <c r="I17" s="20">
        <f t="shared" si="0"/>
        <v>0</v>
      </c>
      <c r="J17" s="6">
        <f t="shared" si="0"/>
        <v>0</v>
      </c>
      <c r="K17" s="22">
        <f t="shared" si="0"/>
        <v>0</v>
      </c>
      <c r="L17" s="18">
        <f t="shared" si="1"/>
        <v>0</v>
      </c>
      <c r="M17" t="b">
        <v>0</v>
      </c>
    </row>
    <row r="18" spans="1:13" x14ac:dyDescent="0.25">
      <c r="A18" s="35" t="s">
        <v>9</v>
      </c>
      <c r="B18" s="35"/>
      <c r="C18" s="39">
        <f>170</f>
        <v>170</v>
      </c>
      <c r="E18" s="20">
        <f>1.5/100</f>
        <v>1.4999999999999999E-2</v>
      </c>
      <c r="F18" s="6">
        <f>20/100</f>
        <v>0.2</v>
      </c>
      <c r="G18" s="22">
        <v>0</v>
      </c>
      <c r="H18" s="18">
        <f>90/100</f>
        <v>0.9</v>
      </c>
      <c r="I18" s="20">
        <f t="shared" si="0"/>
        <v>0</v>
      </c>
      <c r="J18" s="6">
        <f t="shared" si="0"/>
        <v>0</v>
      </c>
      <c r="K18" s="22">
        <f t="shared" si="0"/>
        <v>0</v>
      </c>
      <c r="L18" s="18">
        <f t="shared" si="1"/>
        <v>0</v>
      </c>
      <c r="M18" t="b">
        <v>0</v>
      </c>
    </row>
    <row r="19" spans="1:13" x14ac:dyDescent="0.25">
      <c r="A19" s="35" t="s">
        <v>10</v>
      </c>
      <c r="B19" s="35"/>
      <c r="C19" s="39">
        <v>69</v>
      </c>
      <c r="E19" s="20">
        <f>1.6/100</f>
        <v>1.6E-2</v>
      </c>
      <c r="F19" s="6">
        <f>11/100</f>
        <v>0.11</v>
      </c>
      <c r="G19" s="22">
        <f>0.3/100</f>
        <v>3.0000000000000001E-3</v>
      </c>
      <c r="H19" s="18">
        <f>53/100</f>
        <v>0.53</v>
      </c>
      <c r="I19" s="20">
        <f t="shared" si="0"/>
        <v>0</v>
      </c>
      <c r="J19" s="6">
        <f t="shared" si="0"/>
        <v>0</v>
      </c>
      <c r="K19" s="22">
        <f t="shared" si="0"/>
        <v>0</v>
      </c>
      <c r="L19" s="18">
        <f t="shared" si="1"/>
        <v>0</v>
      </c>
      <c r="M19" t="b">
        <v>0</v>
      </c>
    </row>
    <row r="20" spans="1:13" x14ac:dyDescent="0.25">
      <c r="A20" s="35" t="s">
        <v>11</v>
      </c>
      <c r="B20" s="35"/>
      <c r="C20" s="39">
        <v>180</v>
      </c>
      <c r="E20" s="20">
        <f>1/100</f>
        <v>0.01</v>
      </c>
      <c r="F20" s="6">
        <f>9/100</f>
        <v>0.09</v>
      </c>
      <c r="G20" s="22">
        <f>0.2/100</f>
        <v>2E-3</v>
      </c>
      <c r="H20" s="18">
        <f>45/100</f>
        <v>0.45</v>
      </c>
      <c r="I20" s="20">
        <f t="shared" si="0"/>
        <v>1.8</v>
      </c>
      <c r="J20" s="6">
        <f t="shared" si="0"/>
        <v>16.2</v>
      </c>
      <c r="K20" s="22">
        <f t="shared" si="0"/>
        <v>0.36</v>
      </c>
      <c r="L20" s="18">
        <f t="shared" si="1"/>
        <v>81</v>
      </c>
      <c r="M20" t="b">
        <v>1</v>
      </c>
    </row>
    <row r="21" spans="1:13" x14ac:dyDescent="0.25">
      <c r="A21" t="s">
        <v>58</v>
      </c>
      <c r="C21" s="28">
        <v>180</v>
      </c>
      <c r="E21" s="20">
        <f>1.6/100</f>
        <v>1.6E-2</v>
      </c>
      <c r="F21" s="6">
        <f>20/100</f>
        <v>0.2</v>
      </c>
      <c r="G21" s="22">
        <f>0.1/100</f>
        <v>1E-3</v>
      </c>
      <c r="H21" s="18">
        <f>86/100</f>
        <v>0.86</v>
      </c>
      <c r="I21" s="20">
        <f>IF($M21=TRUE,E21*$C21,0)</f>
        <v>0</v>
      </c>
      <c r="J21" s="6">
        <f>IF($M21=TRUE,F21*$C21,0)</f>
        <v>0</v>
      </c>
      <c r="K21" s="22">
        <f>IF($M21=TRUE,G21*$C21,0)</f>
        <v>0</v>
      </c>
      <c r="L21" s="18">
        <f>IF($M21=TRUE, H21*C21,0)</f>
        <v>0</v>
      </c>
      <c r="M21" t="b">
        <v>0</v>
      </c>
    </row>
    <row r="22" spans="1:13" x14ac:dyDescent="0.25">
      <c r="A22" t="s">
        <v>12</v>
      </c>
      <c r="C22" s="28">
        <f>50+50</f>
        <v>100</v>
      </c>
      <c r="E22" s="20">
        <f>11/100</f>
        <v>0.11</v>
      </c>
      <c r="F22" s="6">
        <f>54/100</f>
        <v>0.54</v>
      </c>
      <c r="G22" s="22">
        <f>3.3/100</f>
        <v>3.3000000000000002E-2</v>
      </c>
      <c r="H22" s="18">
        <f>293/100</f>
        <v>2.93</v>
      </c>
      <c r="I22" s="20">
        <f t="shared" si="0"/>
        <v>0</v>
      </c>
      <c r="J22" s="6">
        <f t="shared" si="0"/>
        <v>0</v>
      </c>
      <c r="K22" s="22">
        <f t="shared" si="0"/>
        <v>0</v>
      </c>
      <c r="L22" s="18">
        <f t="shared" si="1"/>
        <v>0</v>
      </c>
      <c r="M22" t="b">
        <v>0</v>
      </c>
    </row>
    <row r="23" spans="1:13" x14ac:dyDescent="0.25">
      <c r="A23" t="s">
        <v>17</v>
      </c>
      <c r="C23" s="28">
        <v>24</v>
      </c>
      <c r="D23" s="2" t="s">
        <v>23</v>
      </c>
      <c r="E23" s="20">
        <f>3/100</f>
        <v>0.03</v>
      </c>
      <c r="F23" s="6">
        <f>11/100</f>
        <v>0.11</v>
      </c>
      <c r="G23" s="22">
        <f>1.5/100</f>
        <v>1.4999999999999999E-2</v>
      </c>
      <c r="H23" s="18">
        <f>74/100</f>
        <v>0.74</v>
      </c>
      <c r="I23" s="20">
        <f t="shared" si="0"/>
        <v>0</v>
      </c>
      <c r="J23" s="6">
        <f t="shared" si="0"/>
        <v>0</v>
      </c>
      <c r="K23" s="22">
        <f t="shared" si="0"/>
        <v>0</v>
      </c>
      <c r="L23" s="18">
        <f t="shared" si="1"/>
        <v>0</v>
      </c>
      <c r="M23" t="b">
        <v>0</v>
      </c>
    </row>
    <row r="24" spans="1:13" x14ac:dyDescent="0.25">
      <c r="A24" t="s">
        <v>19</v>
      </c>
      <c r="C24" s="28">
        <v>137</v>
      </c>
      <c r="D24" s="2" t="s">
        <v>25</v>
      </c>
      <c r="E24" s="20">
        <f>2/100</f>
        <v>0.02</v>
      </c>
      <c r="F24" s="6">
        <f>17/100</f>
        <v>0.17</v>
      </c>
      <c r="G24" s="22">
        <f>0.1/100</f>
        <v>1E-3</v>
      </c>
      <c r="H24" s="18">
        <f>77/100</f>
        <v>0.77</v>
      </c>
      <c r="I24" s="20">
        <f t="shared" si="0"/>
        <v>0</v>
      </c>
      <c r="J24" s="6">
        <f t="shared" si="0"/>
        <v>0</v>
      </c>
      <c r="K24" s="22">
        <f t="shared" si="0"/>
        <v>0</v>
      </c>
      <c r="L24" s="18">
        <f t="shared" si="1"/>
        <v>0</v>
      </c>
      <c r="M24" t="b">
        <v>0</v>
      </c>
    </row>
    <row r="25" spans="1:13" x14ac:dyDescent="0.25">
      <c r="A25" t="s">
        <v>20</v>
      </c>
      <c r="C25" s="28">
        <f>118</f>
        <v>118</v>
      </c>
      <c r="E25" s="20">
        <f>25/100</f>
        <v>0.25</v>
      </c>
      <c r="F25" s="6">
        <v>0</v>
      </c>
      <c r="G25" s="22">
        <f>1/100</f>
        <v>0.01</v>
      </c>
      <c r="H25" s="18">
        <f>109/100</f>
        <v>1.0900000000000001</v>
      </c>
      <c r="I25" s="20">
        <f t="shared" si="0"/>
        <v>29.5</v>
      </c>
      <c r="J25" s="6">
        <f t="shared" si="0"/>
        <v>0</v>
      </c>
      <c r="K25" s="22">
        <f t="shared" si="0"/>
        <v>1.18</v>
      </c>
      <c r="L25" s="18">
        <f t="shared" si="1"/>
        <v>128.62</v>
      </c>
      <c r="M25" t="b">
        <v>1</v>
      </c>
    </row>
    <row r="26" spans="1:13" x14ac:dyDescent="0.25">
      <c r="A26" s="35" t="s">
        <v>21</v>
      </c>
      <c r="B26" s="35"/>
      <c r="C26" s="39">
        <v>130</v>
      </c>
      <c r="D26" s="2" t="s">
        <v>22</v>
      </c>
      <c r="E26" s="20">
        <f>2.3/100</f>
        <v>2.3E-2</v>
      </c>
      <c r="F26" s="6">
        <f>7.2/100</f>
        <v>7.2000000000000008E-2</v>
      </c>
      <c r="G26" s="22">
        <f>0.5/100</f>
        <v>5.0000000000000001E-3</v>
      </c>
      <c r="H26" s="18">
        <f>44/100</f>
        <v>0.44</v>
      </c>
      <c r="I26" s="20">
        <f t="shared" si="0"/>
        <v>0</v>
      </c>
      <c r="J26" s="6">
        <f t="shared" si="0"/>
        <v>0</v>
      </c>
      <c r="K26" s="22">
        <f t="shared" si="0"/>
        <v>0</v>
      </c>
      <c r="L26" s="18">
        <f t="shared" si="1"/>
        <v>0</v>
      </c>
      <c r="M26" t="b">
        <v>0</v>
      </c>
    </row>
    <row r="27" spans="1:13" x14ac:dyDescent="0.25">
      <c r="A27" t="s">
        <v>26</v>
      </c>
      <c r="C27" s="28"/>
      <c r="E27" s="20">
        <v>0</v>
      </c>
      <c r="F27" s="6">
        <v>0</v>
      </c>
      <c r="G27" s="22">
        <v>0</v>
      </c>
      <c r="H27" s="18">
        <f>275/100</f>
        <v>2.75</v>
      </c>
      <c r="I27" s="20">
        <f t="shared" si="0"/>
        <v>0</v>
      </c>
      <c r="J27" s="6">
        <f t="shared" si="0"/>
        <v>0</v>
      </c>
      <c r="K27" s="22">
        <f t="shared" si="0"/>
        <v>0</v>
      </c>
      <c r="L27" s="18">
        <f t="shared" si="1"/>
        <v>0</v>
      </c>
      <c r="M27" t="b">
        <v>0</v>
      </c>
    </row>
    <row r="28" spans="1:13" x14ac:dyDescent="0.25">
      <c r="A28" t="s">
        <v>32</v>
      </c>
      <c r="C28" s="28">
        <v>20</v>
      </c>
      <c r="E28" s="20">
        <f>22/100</f>
        <v>0.22</v>
      </c>
      <c r="F28" s="6">
        <f>6.9/100</f>
        <v>6.9000000000000006E-2</v>
      </c>
      <c r="G28" s="22">
        <f>54/100</f>
        <v>0.54</v>
      </c>
      <c r="H28" s="18">
        <f>620/100</f>
        <v>6.2</v>
      </c>
      <c r="I28" s="20">
        <f t="shared" si="0"/>
        <v>0</v>
      </c>
      <c r="J28" s="6">
        <f t="shared" si="0"/>
        <v>0</v>
      </c>
      <c r="K28" s="22">
        <f t="shared" si="0"/>
        <v>0</v>
      </c>
      <c r="L28" s="18">
        <f t="shared" si="1"/>
        <v>0</v>
      </c>
      <c r="M28" t="b">
        <v>0</v>
      </c>
    </row>
    <row r="29" spans="1:13" x14ac:dyDescent="0.25">
      <c r="A29" t="s">
        <v>33</v>
      </c>
      <c r="C29" s="28">
        <v>143</v>
      </c>
      <c r="E29" s="20">
        <v>3.6</v>
      </c>
      <c r="F29" s="6">
        <v>0.2</v>
      </c>
      <c r="G29" s="22">
        <v>0.1</v>
      </c>
      <c r="H29" s="18">
        <f>17</f>
        <v>17</v>
      </c>
      <c r="I29" s="20">
        <f t="shared" si="0"/>
        <v>0</v>
      </c>
      <c r="J29" s="6">
        <f t="shared" si="0"/>
        <v>0</v>
      </c>
      <c r="K29" s="22">
        <f t="shared" si="0"/>
        <v>0</v>
      </c>
      <c r="L29" s="18">
        <f t="shared" si="1"/>
        <v>0</v>
      </c>
      <c r="M29" t="b">
        <v>0</v>
      </c>
    </row>
    <row r="30" spans="1:13" x14ac:dyDescent="0.25">
      <c r="A30" t="s">
        <v>34</v>
      </c>
      <c r="C30" s="28">
        <v>50</v>
      </c>
      <c r="E30" s="20">
        <f>7.4/100</f>
        <v>7.400000000000001E-2</v>
      </c>
      <c r="F30" s="6">
        <f>78.7/100</f>
        <v>0.78700000000000003</v>
      </c>
      <c r="G30" s="22">
        <f>0.7/100</f>
        <v>6.9999999999999993E-3</v>
      </c>
      <c r="H30" s="18">
        <f>351/100</f>
        <v>3.51</v>
      </c>
      <c r="I30" s="20">
        <f t="shared" si="0"/>
        <v>0</v>
      </c>
      <c r="J30" s="6">
        <f t="shared" si="0"/>
        <v>0</v>
      </c>
      <c r="K30" s="22">
        <f t="shared" si="0"/>
        <v>0</v>
      </c>
      <c r="L30" s="18">
        <f t="shared" si="1"/>
        <v>0</v>
      </c>
      <c r="M30" t="b">
        <v>0</v>
      </c>
    </row>
    <row r="31" spans="1:13" x14ac:dyDescent="0.25">
      <c r="A31" t="s">
        <v>55</v>
      </c>
      <c r="C31" s="28"/>
      <c r="E31" s="20">
        <f>19/100</f>
        <v>0.19</v>
      </c>
      <c r="F31" s="6">
        <f>61/100</f>
        <v>0.61</v>
      </c>
      <c r="G31" s="22">
        <f>6/100</f>
        <v>0.06</v>
      </c>
      <c r="H31" s="18">
        <f>364/100</f>
        <v>3.64</v>
      </c>
      <c r="I31" s="20">
        <f t="shared" si="0"/>
        <v>0</v>
      </c>
      <c r="J31" s="6">
        <f t="shared" si="0"/>
        <v>0</v>
      </c>
      <c r="K31" s="22">
        <f t="shared" si="0"/>
        <v>0</v>
      </c>
      <c r="L31" s="18">
        <f t="shared" si="1"/>
        <v>0</v>
      </c>
      <c r="M31" t="b">
        <v>0</v>
      </c>
    </row>
    <row r="32" spans="1:13" x14ac:dyDescent="0.25">
      <c r="A32" t="s">
        <v>60</v>
      </c>
      <c r="C32" s="28">
        <v>60</v>
      </c>
      <c r="E32" s="20">
        <f>7.5/100</f>
        <v>7.4999999999999997E-2</v>
      </c>
      <c r="F32" s="6">
        <f>78/100</f>
        <v>0.78</v>
      </c>
      <c r="G32" s="22">
        <f>0.6/100</f>
        <v>6.0000000000000001E-3</v>
      </c>
      <c r="H32" s="18">
        <f>347/100</f>
        <v>3.47</v>
      </c>
      <c r="I32" s="20">
        <f t="shared" si="0"/>
        <v>0</v>
      </c>
      <c r="J32" s="6">
        <f t="shared" si="0"/>
        <v>0</v>
      </c>
      <c r="K32" s="22">
        <f t="shared" si="0"/>
        <v>0</v>
      </c>
      <c r="L32" s="18">
        <f t="shared" si="1"/>
        <v>0</v>
      </c>
      <c r="M32" t="b">
        <v>0</v>
      </c>
    </row>
    <row r="33" spans="1:16" x14ac:dyDescent="0.25">
      <c r="A33" t="s">
        <v>63</v>
      </c>
      <c r="C33" s="28">
        <v>39</v>
      </c>
      <c r="E33" s="20">
        <f>1.4/100</f>
        <v>1.3999999999999999E-2</v>
      </c>
      <c r="F33" s="6">
        <f>9/100</f>
        <v>0.09</v>
      </c>
      <c r="G33" s="22">
        <f>0.2/100</f>
        <v>2E-3</v>
      </c>
      <c r="H33" s="18">
        <f>43/100</f>
        <v>0.43</v>
      </c>
      <c r="I33" s="20">
        <f t="shared" si="0"/>
        <v>0</v>
      </c>
      <c r="J33" s="6">
        <f t="shared" si="0"/>
        <v>0</v>
      </c>
      <c r="K33" s="22">
        <f t="shared" si="0"/>
        <v>0</v>
      </c>
      <c r="L33" s="18">
        <f t="shared" si="1"/>
        <v>0</v>
      </c>
      <c r="M33" t="b">
        <v>0</v>
      </c>
    </row>
    <row r="34" spans="1:16" x14ac:dyDescent="0.25">
      <c r="A34" t="s">
        <v>64</v>
      </c>
      <c r="C34" s="28">
        <v>10</v>
      </c>
      <c r="E34" s="20">
        <f>4.1/100</f>
        <v>4.0999999999999995E-2</v>
      </c>
      <c r="F34" s="6">
        <f>6.6/100</f>
        <v>6.6000000000000003E-2</v>
      </c>
      <c r="G34" s="22">
        <f>5/100</f>
        <v>0.05</v>
      </c>
      <c r="H34" s="18">
        <f>84/100</f>
        <v>0.84</v>
      </c>
      <c r="I34" s="20">
        <f t="shared" si="0"/>
        <v>0</v>
      </c>
      <c r="J34" s="6">
        <f t="shared" si="0"/>
        <v>0</v>
      </c>
      <c r="K34" s="22">
        <f t="shared" si="0"/>
        <v>0</v>
      </c>
      <c r="L34" s="18">
        <f t="shared" si="1"/>
        <v>0</v>
      </c>
      <c r="M34" t="b">
        <v>0</v>
      </c>
    </row>
    <row r="35" spans="1:16" x14ac:dyDescent="0.25">
      <c r="A35" t="s">
        <v>66</v>
      </c>
      <c r="C35" s="28">
        <v>70</v>
      </c>
      <c r="E35" s="20">
        <f>14.1/100</f>
        <v>0.14099999999999999</v>
      </c>
      <c r="F35" s="6">
        <f>68.9/100</f>
        <v>0.68900000000000006</v>
      </c>
      <c r="G35" s="22">
        <f>5.8/100</f>
        <v>5.7999999999999996E-2</v>
      </c>
      <c r="H35" s="18">
        <f>380/100</f>
        <v>3.8</v>
      </c>
      <c r="I35" s="20">
        <f t="shared" si="0"/>
        <v>0</v>
      </c>
      <c r="J35" s="6">
        <f t="shared" si="0"/>
        <v>0</v>
      </c>
      <c r="K35" s="22">
        <f t="shared" si="0"/>
        <v>0</v>
      </c>
      <c r="L35" s="18">
        <f t="shared" si="1"/>
        <v>0</v>
      </c>
      <c r="M35" t="b">
        <v>0</v>
      </c>
    </row>
    <row r="36" spans="1:16" x14ac:dyDescent="0.25">
      <c r="A36" t="s">
        <v>79</v>
      </c>
      <c r="C36" s="28"/>
      <c r="E36" s="20"/>
      <c r="F36" s="6"/>
      <c r="G36" s="22"/>
      <c r="H36" s="18"/>
      <c r="I36" s="20">
        <f t="shared" ref="I36:K40" si="2">IF($M36=TRUE,E36*$C36,0)</f>
        <v>0</v>
      </c>
      <c r="J36" s="6">
        <f t="shared" si="2"/>
        <v>0</v>
      </c>
      <c r="K36" s="22">
        <f t="shared" si="2"/>
        <v>0</v>
      </c>
      <c r="L36" s="18">
        <f t="shared" si="1"/>
        <v>0</v>
      </c>
      <c r="M36" t="b">
        <v>0</v>
      </c>
      <c r="P36">
        <v>2.2046199999999998</v>
      </c>
    </row>
    <row r="37" spans="1:16" x14ac:dyDescent="0.25">
      <c r="A37" t="s">
        <v>81</v>
      </c>
      <c r="C37" s="28">
        <v>66</v>
      </c>
      <c r="E37" s="20">
        <f>1.4/100</f>
        <v>1.3999999999999999E-2</v>
      </c>
      <c r="F37" s="6">
        <f>7/100</f>
        <v>7.0000000000000007E-2</v>
      </c>
      <c r="G37" s="22">
        <f>0.2/100</f>
        <v>2E-3</v>
      </c>
      <c r="H37" s="18"/>
      <c r="I37" s="20">
        <f t="shared" si="2"/>
        <v>0</v>
      </c>
      <c r="J37" s="6">
        <f t="shared" si="2"/>
        <v>0</v>
      </c>
      <c r="K37" s="22">
        <f t="shared" si="2"/>
        <v>0</v>
      </c>
      <c r="L37" s="18">
        <f t="shared" si="1"/>
        <v>0</v>
      </c>
      <c r="M37" t="b">
        <v>0</v>
      </c>
    </row>
    <row r="38" spans="1:16" x14ac:dyDescent="0.25">
      <c r="A38" t="s">
        <v>83</v>
      </c>
      <c r="C38" s="28">
        <v>1</v>
      </c>
      <c r="E38" s="20">
        <f>0.1</f>
        <v>0.1</v>
      </c>
      <c r="F38" s="6">
        <f>2.7</f>
        <v>2.7</v>
      </c>
      <c r="G38" s="22">
        <f>0</f>
        <v>0</v>
      </c>
      <c r="H38" s="18"/>
      <c r="I38" s="20">
        <f t="shared" si="2"/>
        <v>0</v>
      </c>
      <c r="J38" s="6">
        <f t="shared" si="2"/>
        <v>0</v>
      </c>
      <c r="K38" s="22">
        <f t="shared" si="2"/>
        <v>0</v>
      </c>
      <c r="L38" s="18">
        <f t="shared" si="1"/>
        <v>0</v>
      </c>
      <c r="M38" t="b">
        <v>0</v>
      </c>
      <c r="N38" s="2" t="s">
        <v>68</v>
      </c>
    </row>
    <row r="39" spans="1:16" x14ac:dyDescent="0.25">
      <c r="A39" t="s">
        <v>86</v>
      </c>
      <c r="C39" s="2">
        <v>38</v>
      </c>
      <c r="E39" s="20">
        <f>0.7/100</f>
        <v>6.9999999999999993E-3</v>
      </c>
      <c r="F39" s="6">
        <f>3.4/100</f>
        <v>3.4000000000000002E-2</v>
      </c>
      <c r="G39" s="22">
        <f>0.1/100</f>
        <v>1E-3</v>
      </c>
      <c r="H39" s="18"/>
      <c r="I39" s="20">
        <f t="shared" si="2"/>
        <v>0</v>
      </c>
      <c r="J39" s="6">
        <f t="shared" si="2"/>
        <v>0</v>
      </c>
      <c r="K39" s="22">
        <f t="shared" si="2"/>
        <v>0</v>
      </c>
      <c r="L39" s="18">
        <f t="shared" si="1"/>
        <v>0</v>
      </c>
      <c r="M39" t="b">
        <v>0</v>
      </c>
      <c r="N39" s="2"/>
    </row>
    <row r="40" spans="1:16" x14ac:dyDescent="0.25">
      <c r="A40" t="s">
        <v>85</v>
      </c>
      <c r="E40" s="20">
        <f>2/100</f>
        <v>0.02</v>
      </c>
      <c r="F40" s="6">
        <f>9/100</f>
        <v>0.09</v>
      </c>
      <c r="G40" s="22">
        <f>15/100</f>
        <v>0.15</v>
      </c>
      <c r="H40" s="18"/>
      <c r="I40" s="20">
        <f t="shared" si="2"/>
        <v>0</v>
      </c>
      <c r="J40" s="6">
        <f t="shared" si="2"/>
        <v>0</v>
      </c>
      <c r="K40" s="22">
        <f t="shared" si="2"/>
        <v>0</v>
      </c>
      <c r="L40" s="18">
        <f t="shared" si="1"/>
        <v>0</v>
      </c>
      <c r="M40" t="b">
        <v>0</v>
      </c>
      <c r="N40" s="2"/>
    </row>
    <row r="41" spans="1:16" x14ac:dyDescent="0.25">
      <c r="A41" t="s">
        <v>89</v>
      </c>
      <c r="E41" s="20">
        <f>1.2/100</f>
        <v>1.2E-2</v>
      </c>
      <c r="F41" s="6">
        <f>5.6/100</f>
        <v>5.5999999999999994E-2</v>
      </c>
      <c r="G41" s="22">
        <f>0.5/100</f>
        <v>5.0000000000000001E-3</v>
      </c>
      <c r="H41" s="10"/>
      <c r="I41" s="20">
        <f>IF($M41=TRUE,E41*$C41,0)</f>
        <v>0</v>
      </c>
      <c r="J41" s="6">
        <f>IF($M41=TRUE,F41*$C41,0)</f>
        <v>0</v>
      </c>
      <c r="K41" s="22">
        <f>IF($M41=TRUE,G41*$C41,0)</f>
        <v>0</v>
      </c>
      <c r="L41" s="18">
        <f>IF($M41=TRUE, H41*C41,0)</f>
        <v>0</v>
      </c>
      <c r="M41" t="b">
        <v>0</v>
      </c>
      <c r="N41" s="2"/>
    </row>
    <row r="42" spans="1:16" x14ac:dyDescent="0.25">
      <c r="H42" t="s">
        <v>73</v>
      </c>
      <c r="I42" s="46">
        <f>SUM(I4:I38)</f>
        <v>174.33600000000001</v>
      </c>
      <c r="J42" s="47">
        <f>SUM(J4:J38)</f>
        <v>77.028000000000006</v>
      </c>
      <c r="K42" s="48">
        <f>SUM(K4:K38)</f>
        <v>37.569000000000003</v>
      </c>
      <c r="L42" t="s">
        <v>65</v>
      </c>
      <c r="N42" s="2">
        <v>67</v>
      </c>
    </row>
    <row r="43" spans="1:16" x14ac:dyDescent="0.25">
      <c r="I43" s="49">
        <f>I42-I45</f>
        <v>-10.300924999999978</v>
      </c>
      <c r="J43" s="49">
        <f>J42-J45</f>
        <v>-70.68153999999997</v>
      </c>
      <c r="K43" s="49">
        <f>K42-K45</f>
        <v>-2.3125757999999976</v>
      </c>
    </row>
    <row r="44" spans="1:16" x14ac:dyDescent="0.25">
      <c r="L44" s="4">
        <f>SUM(L4:L35)</f>
        <v>1375.77</v>
      </c>
    </row>
    <row r="45" spans="1:16" x14ac:dyDescent="0.25">
      <c r="H45" t="s">
        <v>70</v>
      </c>
      <c r="I45" s="43">
        <f>1.25 * $P$36 * $N$42</f>
        <v>184.63692499999999</v>
      </c>
      <c r="J45" s="44">
        <f>1 * $P$36 * $N$42</f>
        <v>147.70953999999998</v>
      </c>
      <c r="K45" s="45">
        <f>0.27 * $P$36 * $N$42</f>
        <v>39.8815758</v>
      </c>
      <c r="L45">
        <f>11.43*P36* N42</f>
        <v>1688.3200421999998</v>
      </c>
    </row>
    <row r="46" spans="1:16" x14ac:dyDescent="0.25">
      <c r="H46" t="s">
        <v>71</v>
      </c>
      <c r="I46" s="43">
        <f>1.15 * $P$36 * $N$42</f>
        <v>169.86597099999997</v>
      </c>
      <c r="J46" s="44">
        <f>1.25 * $P$36 * $N$42</f>
        <v>184.63692499999999</v>
      </c>
      <c r="K46" s="45">
        <f>0.35 * $P$36 * $N$42</f>
        <v>51.69833899999999</v>
      </c>
      <c r="L46">
        <f>11.43*P36* N42</f>
        <v>1688.3200421999998</v>
      </c>
    </row>
    <row r="47" spans="1:16" x14ac:dyDescent="0.25">
      <c r="H47" t="s">
        <v>72</v>
      </c>
      <c r="I47" s="43">
        <f>1.1 * $P$36 * $N$42</f>
        <v>162.48049400000002</v>
      </c>
      <c r="J47" s="44">
        <f>2 * $P$36 * $N$42</f>
        <v>295.41907999999995</v>
      </c>
      <c r="K47" s="45">
        <f>0.5* $P$36 * $N$42</f>
        <v>73.854769999999988</v>
      </c>
      <c r="L47">
        <f>11.43*P36* N42</f>
        <v>1688.3200421999998</v>
      </c>
    </row>
    <row r="48" spans="1:16" x14ac:dyDescent="0.25">
      <c r="A48" t="s">
        <v>77</v>
      </c>
      <c r="B48" t="s">
        <v>78</v>
      </c>
    </row>
    <row r="49" spans="1:1" x14ac:dyDescent="0.25">
      <c r="A49" t="s">
        <v>75</v>
      </c>
    </row>
    <row r="50" spans="1:1" x14ac:dyDescent="0.25">
      <c r="A50" t="s">
        <v>74</v>
      </c>
    </row>
    <row r="51" spans="1:1" x14ac:dyDescent="0.25">
      <c r="A51">
        <f>0.25*J45</f>
        <v>36.927384999999994</v>
      </c>
    </row>
    <row r="52" spans="1:1" x14ac:dyDescent="0.25">
      <c r="A52">
        <f>0.35*J45</f>
        <v>51.69833899999999</v>
      </c>
    </row>
    <row r="53" spans="1:1" x14ac:dyDescent="0.25">
      <c r="A53" t="s">
        <v>76</v>
      </c>
    </row>
  </sheetData>
  <conditionalFormatting sqref="I43">
    <cfRule type="colorScale" priority="3">
      <colorScale>
        <cfvo type="formula" val="-$I$45"/>
        <cfvo type="num" val="0"/>
        <cfvo type="num" val="20"/>
        <color rgb="FFFF8B8B"/>
        <color rgb="FF00B050"/>
        <color rgb="FFFF8B8B"/>
      </colorScale>
    </cfRule>
  </conditionalFormatting>
  <conditionalFormatting sqref="J43">
    <cfRule type="colorScale" priority="2">
      <colorScale>
        <cfvo type="formula" val="-$J$45"/>
        <cfvo type="percentile" val="0"/>
        <cfvo type="num" val="20"/>
        <color rgb="FFFF8B8B"/>
        <color rgb="FF00B050"/>
        <color rgb="FFFF8B8B"/>
      </colorScale>
    </cfRule>
  </conditionalFormatting>
  <conditionalFormatting sqref="K43">
    <cfRule type="colorScale" priority="1">
      <colorScale>
        <cfvo type="formula" val="-$K$45"/>
        <cfvo type="percentile" val="0"/>
        <cfvo type="num" val="20"/>
        <color rgb="FFFF8B8B"/>
        <color rgb="FF00B050"/>
        <color rgb="FFFF8B8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Case à cocher 1">
              <controlPr defaultSize="0" autoFill="0" autoLine="0" autoPict="0">
                <anchor moveWithCells="1">
                  <from>
                    <xdr:col>1</xdr:col>
                    <xdr:colOff>161925</xdr:colOff>
                    <xdr:row>3</xdr:row>
                    <xdr:rowOff>0</xdr:rowOff>
                  </from>
                  <to>
                    <xdr:col>1</xdr:col>
                    <xdr:colOff>342900</xdr:colOff>
                    <xdr:row>4</xdr:row>
                    <xdr:rowOff>0</xdr:rowOff>
                  </to>
                </anchor>
              </controlPr>
            </control>
          </mc:Choice>
        </mc:AlternateContent>
        <mc:AlternateContent xmlns:mc="http://schemas.openxmlformats.org/markup-compatibility/2006">
          <mc:Choice Requires="x14">
            <control shapeId="43010" r:id="rId5" name="Case à cocher 2">
              <controlPr defaultSize="0" autoFill="0" autoLine="0" autoPict="0">
                <anchor moveWithCells="1">
                  <from>
                    <xdr:col>1</xdr:col>
                    <xdr:colOff>152400</xdr:colOff>
                    <xdr:row>3</xdr:row>
                    <xdr:rowOff>9525</xdr:rowOff>
                  </from>
                  <to>
                    <xdr:col>1</xdr:col>
                    <xdr:colOff>333375</xdr:colOff>
                    <xdr:row>4</xdr:row>
                    <xdr:rowOff>9525</xdr:rowOff>
                  </to>
                </anchor>
              </controlPr>
            </control>
          </mc:Choice>
        </mc:AlternateContent>
        <mc:AlternateContent xmlns:mc="http://schemas.openxmlformats.org/markup-compatibility/2006">
          <mc:Choice Requires="x14">
            <control shapeId="43011" r:id="rId6" name="Case à cocher 4">
              <controlPr defaultSize="0" autoFill="0" autoLine="0" autoPict="0">
                <anchor moveWithCells="1">
                  <from>
                    <xdr:col>1</xdr:col>
                    <xdr:colOff>152400</xdr:colOff>
                    <xdr:row>7</xdr:row>
                    <xdr:rowOff>0</xdr:rowOff>
                  </from>
                  <to>
                    <xdr:col>1</xdr:col>
                    <xdr:colOff>333375</xdr:colOff>
                    <xdr:row>8</xdr:row>
                    <xdr:rowOff>0</xdr:rowOff>
                  </to>
                </anchor>
              </controlPr>
            </control>
          </mc:Choice>
        </mc:AlternateContent>
        <mc:AlternateContent xmlns:mc="http://schemas.openxmlformats.org/markup-compatibility/2006">
          <mc:Choice Requires="x14">
            <control shapeId="43012" r:id="rId7" name="Case à cocher 5">
              <controlPr defaultSize="0" autoFill="0" autoLine="0" autoPict="0">
                <anchor moveWithCells="1">
                  <from>
                    <xdr:col>1</xdr:col>
                    <xdr:colOff>152400</xdr:colOff>
                    <xdr:row>8</xdr:row>
                    <xdr:rowOff>9525</xdr:rowOff>
                  </from>
                  <to>
                    <xdr:col>1</xdr:col>
                    <xdr:colOff>333375</xdr:colOff>
                    <xdr:row>9</xdr:row>
                    <xdr:rowOff>9525</xdr:rowOff>
                  </to>
                </anchor>
              </controlPr>
            </control>
          </mc:Choice>
        </mc:AlternateContent>
        <mc:AlternateContent xmlns:mc="http://schemas.openxmlformats.org/markup-compatibility/2006">
          <mc:Choice Requires="x14">
            <control shapeId="43013" r:id="rId8" name="Case à cocher 6">
              <controlPr defaultSize="0" autoFill="0" autoLine="0" autoPict="0">
                <anchor moveWithCells="1">
                  <from>
                    <xdr:col>1</xdr:col>
                    <xdr:colOff>152400</xdr:colOff>
                    <xdr:row>29</xdr:row>
                    <xdr:rowOff>190500</xdr:rowOff>
                  </from>
                  <to>
                    <xdr:col>1</xdr:col>
                    <xdr:colOff>333375</xdr:colOff>
                    <xdr:row>31</xdr:row>
                    <xdr:rowOff>0</xdr:rowOff>
                  </to>
                </anchor>
              </controlPr>
            </control>
          </mc:Choice>
        </mc:AlternateContent>
        <mc:AlternateContent xmlns:mc="http://schemas.openxmlformats.org/markup-compatibility/2006">
          <mc:Choice Requires="x14">
            <control shapeId="43014" r:id="rId9" name="Case à cocher 7">
              <controlPr defaultSize="0" autoFill="0" autoLine="0" autoPict="0">
                <anchor moveWithCells="1">
                  <from>
                    <xdr:col>1</xdr:col>
                    <xdr:colOff>152400</xdr:colOff>
                    <xdr:row>15</xdr:row>
                    <xdr:rowOff>19050</xdr:rowOff>
                  </from>
                  <to>
                    <xdr:col>1</xdr:col>
                    <xdr:colOff>333375</xdr:colOff>
                    <xdr:row>16</xdr:row>
                    <xdr:rowOff>19050</xdr:rowOff>
                  </to>
                </anchor>
              </controlPr>
            </control>
          </mc:Choice>
        </mc:AlternateContent>
        <mc:AlternateContent xmlns:mc="http://schemas.openxmlformats.org/markup-compatibility/2006">
          <mc:Choice Requires="x14">
            <control shapeId="43015" r:id="rId10" name="Case à cocher 8">
              <controlPr defaultSize="0" autoFill="0" autoLine="0" autoPict="0">
                <anchor moveWithCells="1">
                  <from>
                    <xdr:col>1</xdr:col>
                    <xdr:colOff>152400</xdr:colOff>
                    <xdr:row>16</xdr:row>
                    <xdr:rowOff>9525</xdr:rowOff>
                  </from>
                  <to>
                    <xdr:col>1</xdr:col>
                    <xdr:colOff>333375</xdr:colOff>
                    <xdr:row>17</xdr:row>
                    <xdr:rowOff>9525</xdr:rowOff>
                  </to>
                </anchor>
              </controlPr>
            </control>
          </mc:Choice>
        </mc:AlternateContent>
        <mc:AlternateContent xmlns:mc="http://schemas.openxmlformats.org/markup-compatibility/2006">
          <mc:Choice Requires="x14">
            <control shapeId="43016" r:id="rId11" name="Case à cocher 9">
              <controlPr defaultSize="0" autoFill="0" autoLine="0" autoPict="0">
                <anchor moveWithCells="1">
                  <from>
                    <xdr:col>1</xdr:col>
                    <xdr:colOff>152400</xdr:colOff>
                    <xdr:row>17</xdr:row>
                    <xdr:rowOff>9525</xdr:rowOff>
                  </from>
                  <to>
                    <xdr:col>1</xdr:col>
                    <xdr:colOff>333375</xdr:colOff>
                    <xdr:row>18</xdr:row>
                    <xdr:rowOff>9525</xdr:rowOff>
                  </to>
                </anchor>
              </controlPr>
            </control>
          </mc:Choice>
        </mc:AlternateContent>
        <mc:AlternateContent xmlns:mc="http://schemas.openxmlformats.org/markup-compatibility/2006">
          <mc:Choice Requires="x14">
            <control shapeId="43017" r:id="rId12" name="Case à cocher 10">
              <controlPr defaultSize="0" autoFill="0" autoLine="0" autoPict="0">
                <anchor moveWithCells="1">
                  <from>
                    <xdr:col>1</xdr:col>
                    <xdr:colOff>152400</xdr:colOff>
                    <xdr:row>17</xdr:row>
                    <xdr:rowOff>171450</xdr:rowOff>
                  </from>
                  <to>
                    <xdr:col>1</xdr:col>
                    <xdr:colOff>333375</xdr:colOff>
                    <xdr:row>18</xdr:row>
                    <xdr:rowOff>171450</xdr:rowOff>
                  </to>
                </anchor>
              </controlPr>
            </control>
          </mc:Choice>
        </mc:AlternateContent>
        <mc:AlternateContent xmlns:mc="http://schemas.openxmlformats.org/markup-compatibility/2006">
          <mc:Choice Requires="x14">
            <control shapeId="43018" r:id="rId13" name="Case à cocher 11">
              <controlPr defaultSize="0" autoFill="0" autoLine="0" autoPict="0">
                <anchor moveWithCells="1">
                  <from>
                    <xdr:col>1</xdr:col>
                    <xdr:colOff>152400</xdr:colOff>
                    <xdr:row>18</xdr:row>
                    <xdr:rowOff>171450</xdr:rowOff>
                  </from>
                  <to>
                    <xdr:col>1</xdr:col>
                    <xdr:colOff>333375</xdr:colOff>
                    <xdr:row>19</xdr:row>
                    <xdr:rowOff>171450</xdr:rowOff>
                  </to>
                </anchor>
              </controlPr>
            </control>
          </mc:Choice>
        </mc:AlternateContent>
        <mc:AlternateContent xmlns:mc="http://schemas.openxmlformats.org/markup-compatibility/2006">
          <mc:Choice Requires="x14">
            <control shapeId="43019" r:id="rId14" name="Check Box 11">
              <controlPr defaultSize="0" autoFill="0" autoLine="0" autoPict="0">
                <anchor moveWithCells="1">
                  <from>
                    <xdr:col>1</xdr:col>
                    <xdr:colOff>152400</xdr:colOff>
                    <xdr:row>20</xdr:row>
                    <xdr:rowOff>180975</xdr:rowOff>
                  </from>
                  <to>
                    <xdr:col>1</xdr:col>
                    <xdr:colOff>333375</xdr:colOff>
                    <xdr:row>21</xdr:row>
                    <xdr:rowOff>180975</xdr:rowOff>
                  </to>
                </anchor>
              </controlPr>
            </control>
          </mc:Choice>
        </mc:AlternateContent>
        <mc:AlternateContent xmlns:mc="http://schemas.openxmlformats.org/markup-compatibility/2006">
          <mc:Choice Requires="x14">
            <control shapeId="43020" r:id="rId15" name="Check Box 13">
              <controlPr defaultSize="0" autoFill="0" autoLine="0" autoPict="0">
                <anchor moveWithCells="1">
                  <from>
                    <xdr:col>1</xdr:col>
                    <xdr:colOff>152400</xdr:colOff>
                    <xdr:row>11</xdr:row>
                    <xdr:rowOff>180975</xdr:rowOff>
                  </from>
                  <to>
                    <xdr:col>1</xdr:col>
                    <xdr:colOff>333375</xdr:colOff>
                    <xdr:row>13</xdr:row>
                    <xdr:rowOff>0</xdr:rowOff>
                  </to>
                </anchor>
              </controlPr>
            </control>
          </mc:Choice>
        </mc:AlternateContent>
        <mc:AlternateContent xmlns:mc="http://schemas.openxmlformats.org/markup-compatibility/2006">
          <mc:Choice Requires="x14">
            <control shapeId="43021" r:id="rId16" name="Check Box 14">
              <controlPr defaultSize="0" autoFill="0" autoLine="0" autoPict="0">
                <anchor moveWithCells="1">
                  <from>
                    <xdr:col>1</xdr:col>
                    <xdr:colOff>152400</xdr:colOff>
                    <xdr:row>21</xdr:row>
                    <xdr:rowOff>180975</xdr:rowOff>
                  </from>
                  <to>
                    <xdr:col>1</xdr:col>
                    <xdr:colOff>333375</xdr:colOff>
                    <xdr:row>23</xdr:row>
                    <xdr:rowOff>0</xdr:rowOff>
                  </to>
                </anchor>
              </controlPr>
            </control>
          </mc:Choice>
        </mc:AlternateContent>
        <mc:AlternateContent xmlns:mc="http://schemas.openxmlformats.org/markup-compatibility/2006">
          <mc:Choice Requires="x14">
            <control shapeId="43022" r:id="rId17" name="Check Box 15">
              <controlPr defaultSize="0" autoFill="0" autoLine="0" autoPict="0">
                <anchor moveWithCells="1">
                  <from>
                    <xdr:col>1</xdr:col>
                    <xdr:colOff>152400</xdr:colOff>
                    <xdr:row>6</xdr:row>
                    <xdr:rowOff>0</xdr:rowOff>
                  </from>
                  <to>
                    <xdr:col>1</xdr:col>
                    <xdr:colOff>333375</xdr:colOff>
                    <xdr:row>7</xdr:row>
                    <xdr:rowOff>0</xdr:rowOff>
                  </to>
                </anchor>
              </controlPr>
            </control>
          </mc:Choice>
        </mc:AlternateContent>
        <mc:AlternateContent xmlns:mc="http://schemas.openxmlformats.org/markup-compatibility/2006">
          <mc:Choice Requires="x14">
            <control shapeId="43023" r:id="rId18" name="Check Box 16">
              <controlPr defaultSize="0" autoFill="0" autoLine="0" autoPict="0">
                <anchor moveWithCells="1">
                  <from>
                    <xdr:col>1</xdr:col>
                    <xdr:colOff>152400</xdr:colOff>
                    <xdr:row>23</xdr:row>
                    <xdr:rowOff>0</xdr:rowOff>
                  </from>
                  <to>
                    <xdr:col>1</xdr:col>
                    <xdr:colOff>333375</xdr:colOff>
                    <xdr:row>24</xdr:row>
                    <xdr:rowOff>9525</xdr:rowOff>
                  </to>
                </anchor>
              </controlPr>
            </control>
          </mc:Choice>
        </mc:AlternateContent>
        <mc:AlternateContent xmlns:mc="http://schemas.openxmlformats.org/markup-compatibility/2006">
          <mc:Choice Requires="x14">
            <control shapeId="43024" r:id="rId19" name="Check Box 17">
              <controlPr defaultSize="0" autoFill="0" autoLine="0" autoPict="0">
                <anchor moveWithCells="1">
                  <from>
                    <xdr:col>1</xdr:col>
                    <xdr:colOff>152400</xdr:colOff>
                    <xdr:row>23</xdr:row>
                    <xdr:rowOff>180975</xdr:rowOff>
                  </from>
                  <to>
                    <xdr:col>1</xdr:col>
                    <xdr:colOff>333375</xdr:colOff>
                    <xdr:row>25</xdr:row>
                    <xdr:rowOff>0</xdr:rowOff>
                  </to>
                </anchor>
              </controlPr>
            </control>
          </mc:Choice>
        </mc:AlternateContent>
        <mc:AlternateContent xmlns:mc="http://schemas.openxmlformats.org/markup-compatibility/2006">
          <mc:Choice Requires="x14">
            <control shapeId="43025" r:id="rId20" name="Check Box 18">
              <controlPr defaultSize="0" autoFill="0" autoLine="0" autoPict="0">
                <anchor moveWithCells="1">
                  <from>
                    <xdr:col>1</xdr:col>
                    <xdr:colOff>152400</xdr:colOff>
                    <xdr:row>25</xdr:row>
                    <xdr:rowOff>0</xdr:rowOff>
                  </from>
                  <to>
                    <xdr:col>1</xdr:col>
                    <xdr:colOff>333375</xdr:colOff>
                    <xdr:row>26</xdr:row>
                    <xdr:rowOff>0</xdr:rowOff>
                  </to>
                </anchor>
              </controlPr>
            </control>
          </mc:Choice>
        </mc:AlternateContent>
        <mc:AlternateContent xmlns:mc="http://schemas.openxmlformats.org/markup-compatibility/2006">
          <mc:Choice Requires="x14">
            <control shapeId="43026" r:id="rId21" name="Check Box 19">
              <controlPr defaultSize="0" autoFill="0" autoLine="0" autoPict="0">
                <anchor moveWithCells="1">
                  <from>
                    <xdr:col>1</xdr:col>
                    <xdr:colOff>152400</xdr:colOff>
                    <xdr:row>26</xdr:row>
                    <xdr:rowOff>0</xdr:rowOff>
                  </from>
                  <to>
                    <xdr:col>1</xdr:col>
                    <xdr:colOff>333375</xdr:colOff>
                    <xdr:row>27</xdr:row>
                    <xdr:rowOff>0</xdr:rowOff>
                  </to>
                </anchor>
              </controlPr>
            </control>
          </mc:Choice>
        </mc:AlternateContent>
        <mc:AlternateContent xmlns:mc="http://schemas.openxmlformats.org/markup-compatibility/2006">
          <mc:Choice Requires="x14">
            <control shapeId="43027" r:id="rId22" name="Check Box 20">
              <controlPr defaultSize="0" autoFill="0" autoLine="0" autoPict="0">
                <anchor moveWithCells="1">
                  <from>
                    <xdr:col>1</xdr:col>
                    <xdr:colOff>152400</xdr:colOff>
                    <xdr:row>27</xdr:row>
                    <xdr:rowOff>9525</xdr:rowOff>
                  </from>
                  <to>
                    <xdr:col>1</xdr:col>
                    <xdr:colOff>333375</xdr:colOff>
                    <xdr:row>28</xdr:row>
                    <xdr:rowOff>9525</xdr:rowOff>
                  </to>
                </anchor>
              </controlPr>
            </control>
          </mc:Choice>
        </mc:AlternateContent>
        <mc:AlternateContent xmlns:mc="http://schemas.openxmlformats.org/markup-compatibility/2006">
          <mc:Choice Requires="x14">
            <control shapeId="43028" r:id="rId23" name="Check Box 21">
              <controlPr defaultSize="0" autoFill="0" autoLine="0" autoPict="0">
                <anchor moveWithCells="1">
                  <from>
                    <xdr:col>1</xdr:col>
                    <xdr:colOff>152400</xdr:colOff>
                    <xdr:row>28</xdr:row>
                    <xdr:rowOff>9525</xdr:rowOff>
                  </from>
                  <to>
                    <xdr:col>1</xdr:col>
                    <xdr:colOff>333375</xdr:colOff>
                    <xdr:row>29</xdr:row>
                    <xdr:rowOff>9525</xdr:rowOff>
                  </to>
                </anchor>
              </controlPr>
            </control>
          </mc:Choice>
        </mc:AlternateContent>
        <mc:AlternateContent xmlns:mc="http://schemas.openxmlformats.org/markup-compatibility/2006">
          <mc:Choice Requires="x14">
            <control shapeId="43029" r:id="rId24" name="Check Box 21">
              <controlPr defaultSize="0" autoFill="0" autoLine="0" autoPict="0">
                <anchor moveWithCells="1">
                  <from>
                    <xdr:col>1</xdr:col>
                    <xdr:colOff>152400</xdr:colOff>
                    <xdr:row>28</xdr:row>
                    <xdr:rowOff>180975</xdr:rowOff>
                  </from>
                  <to>
                    <xdr:col>1</xdr:col>
                    <xdr:colOff>333375</xdr:colOff>
                    <xdr:row>29</xdr:row>
                    <xdr:rowOff>180975</xdr:rowOff>
                  </to>
                </anchor>
              </controlPr>
            </control>
          </mc:Choice>
        </mc:AlternateContent>
        <mc:AlternateContent xmlns:mc="http://schemas.openxmlformats.org/markup-compatibility/2006">
          <mc:Choice Requires="x14">
            <control shapeId="43030" r:id="rId25" name="Check Box 22">
              <controlPr defaultSize="0" autoFill="0" autoLine="0" autoPict="0">
                <anchor moveWithCells="1">
                  <from>
                    <xdr:col>1</xdr:col>
                    <xdr:colOff>152400</xdr:colOff>
                    <xdr:row>4</xdr:row>
                    <xdr:rowOff>0</xdr:rowOff>
                  </from>
                  <to>
                    <xdr:col>1</xdr:col>
                    <xdr:colOff>333375</xdr:colOff>
                    <xdr:row>5</xdr:row>
                    <xdr:rowOff>0</xdr:rowOff>
                  </to>
                </anchor>
              </controlPr>
            </control>
          </mc:Choice>
        </mc:AlternateContent>
        <mc:AlternateContent xmlns:mc="http://schemas.openxmlformats.org/markup-compatibility/2006">
          <mc:Choice Requires="x14">
            <control shapeId="43031" r:id="rId26" name="Check Box 23">
              <controlPr defaultSize="0" autoFill="0" autoLine="0" autoPict="0">
                <anchor moveWithCells="1">
                  <from>
                    <xdr:col>1</xdr:col>
                    <xdr:colOff>152400</xdr:colOff>
                    <xdr:row>19</xdr:row>
                    <xdr:rowOff>180975</xdr:rowOff>
                  </from>
                  <to>
                    <xdr:col>1</xdr:col>
                    <xdr:colOff>333375</xdr:colOff>
                    <xdr:row>20</xdr:row>
                    <xdr:rowOff>180975</xdr:rowOff>
                  </to>
                </anchor>
              </controlPr>
            </control>
          </mc:Choice>
        </mc:AlternateContent>
        <mc:AlternateContent xmlns:mc="http://schemas.openxmlformats.org/markup-compatibility/2006">
          <mc:Choice Requires="x14">
            <control shapeId="43032" r:id="rId27" name="Check Box 24">
              <controlPr defaultSize="0" autoFill="0" autoLine="0" autoPict="0">
                <anchor moveWithCells="1">
                  <from>
                    <xdr:col>1</xdr:col>
                    <xdr:colOff>152400</xdr:colOff>
                    <xdr:row>10</xdr:row>
                    <xdr:rowOff>190500</xdr:rowOff>
                  </from>
                  <to>
                    <xdr:col>1</xdr:col>
                    <xdr:colOff>333375</xdr:colOff>
                    <xdr:row>12</xdr:row>
                    <xdr:rowOff>0</xdr:rowOff>
                  </to>
                </anchor>
              </controlPr>
            </control>
          </mc:Choice>
        </mc:AlternateContent>
        <mc:AlternateContent xmlns:mc="http://schemas.openxmlformats.org/markup-compatibility/2006">
          <mc:Choice Requires="x14">
            <control shapeId="43033" r:id="rId28" name="Check Box 25">
              <controlPr defaultSize="0" autoFill="0" autoLine="0" autoPict="0">
                <anchor moveWithCells="1">
                  <from>
                    <xdr:col>1</xdr:col>
                    <xdr:colOff>152400</xdr:colOff>
                    <xdr:row>31</xdr:row>
                    <xdr:rowOff>0</xdr:rowOff>
                  </from>
                  <to>
                    <xdr:col>1</xdr:col>
                    <xdr:colOff>333375</xdr:colOff>
                    <xdr:row>32</xdr:row>
                    <xdr:rowOff>0</xdr:rowOff>
                  </to>
                </anchor>
              </controlPr>
            </control>
          </mc:Choice>
        </mc:AlternateContent>
        <mc:AlternateContent xmlns:mc="http://schemas.openxmlformats.org/markup-compatibility/2006">
          <mc:Choice Requires="x14">
            <control shapeId="43034" r:id="rId29" name="Check Box 26">
              <controlPr defaultSize="0" autoFill="0" autoLine="0" autoPict="0">
                <anchor moveWithCells="1">
                  <from>
                    <xdr:col>1</xdr:col>
                    <xdr:colOff>152400</xdr:colOff>
                    <xdr:row>32</xdr:row>
                    <xdr:rowOff>0</xdr:rowOff>
                  </from>
                  <to>
                    <xdr:col>1</xdr:col>
                    <xdr:colOff>333375</xdr:colOff>
                    <xdr:row>33</xdr:row>
                    <xdr:rowOff>0</xdr:rowOff>
                  </to>
                </anchor>
              </controlPr>
            </control>
          </mc:Choice>
        </mc:AlternateContent>
        <mc:AlternateContent xmlns:mc="http://schemas.openxmlformats.org/markup-compatibility/2006">
          <mc:Choice Requires="x14">
            <control shapeId="43035" r:id="rId30" name="Check Box 27">
              <controlPr defaultSize="0" autoFill="0" autoLine="0" autoPict="0">
                <anchor moveWithCells="1">
                  <from>
                    <xdr:col>1</xdr:col>
                    <xdr:colOff>152400</xdr:colOff>
                    <xdr:row>33</xdr:row>
                    <xdr:rowOff>0</xdr:rowOff>
                  </from>
                  <to>
                    <xdr:col>1</xdr:col>
                    <xdr:colOff>333375</xdr:colOff>
                    <xdr:row>34</xdr:row>
                    <xdr:rowOff>0</xdr:rowOff>
                  </to>
                </anchor>
              </controlPr>
            </control>
          </mc:Choice>
        </mc:AlternateContent>
        <mc:AlternateContent xmlns:mc="http://schemas.openxmlformats.org/markup-compatibility/2006">
          <mc:Choice Requires="x14">
            <control shapeId="43036" r:id="rId31" name="Check Box 28">
              <controlPr defaultSize="0" autoFill="0" autoLine="0" autoPict="0">
                <anchor moveWithCells="1">
                  <from>
                    <xdr:col>1</xdr:col>
                    <xdr:colOff>152400</xdr:colOff>
                    <xdr:row>33</xdr:row>
                    <xdr:rowOff>171450</xdr:rowOff>
                  </from>
                  <to>
                    <xdr:col>1</xdr:col>
                    <xdr:colOff>333375</xdr:colOff>
                    <xdr:row>34</xdr:row>
                    <xdr:rowOff>171450</xdr:rowOff>
                  </to>
                </anchor>
              </controlPr>
            </control>
          </mc:Choice>
        </mc:AlternateContent>
        <mc:AlternateContent xmlns:mc="http://schemas.openxmlformats.org/markup-compatibility/2006">
          <mc:Choice Requires="x14">
            <control shapeId="43037" r:id="rId32" name="Check Box 29">
              <controlPr defaultSize="0" autoFill="0" autoLine="0" autoPict="0">
                <anchor moveWithCells="1">
                  <from>
                    <xdr:col>1</xdr:col>
                    <xdr:colOff>152400</xdr:colOff>
                    <xdr:row>5</xdr:row>
                    <xdr:rowOff>0</xdr:rowOff>
                  </from>
                  <to>
                    <xdr:col>1</xdr:col>
                    <xdr:colOff>333375</xdr:colOff>
                    <xdr:row>6</xdr:row>
                    <xdr:rowOff>0</xdr:rowOff>
                  </to>
                </anchor>
              </controlPr>
            </control>
          </mc:Choice>
        </mc:AlternateContent>
        <mc:AlternateContent xmlns:mc="http://schemas.openxmlformats.org/markup-compatibility/2006">
          <mc:Choice Requires="x14">
            <control shapeId="43038" r:id="rId33" name="Check Box 30">
              <controlPr defaultSize="0" autoFill="0" autoLine="0" autoPict="0">
                <anchor moveWithCells="1">
                  <from>
                    <xdr:col>1</xdr:col>
                    <xdr:colOff>152400</xdr:colOff>
                    <xdr:row>8</xdr:row>
                    <xdr:rowOff>180975</xdr:rowOff>
                  </from>
                  <to>
                    <xdr:col>1</xdr:col>
                    <xdr:colOff>333375</xdr:colOff>
                    <xdr:row>9</xdr:row>
                    <xdr:rowOff>180975</xdr:rowOff>
                  </to>
                </anchor>
              </controlPr>
            </control>
          </mc:Choice>
        </mc:AlternateContent>
        <mc:AlternateContent xmlns:mc="http://schemas.openxmlformats.org/markup-compatibility/2006">
          <mc:Choice Requires="x14">
            <control shapeId="43039" r:id="rId34" name="Check Box 31">
              <controlPr defaultSize="0" autoFill="0" autoLine="0" autoPict="0">
                <anchor moveWithCells="1">
                  <from>
                    <xdr:col>1</xdr:col>
                    <xdr:colOff>152400</xdr:colOff>
                    <xdr:row>12</xdr:row>
                    <xdr:rowOff>171450</xdr:rowOff>
                  </from>
                  <to>
                    <xdr:col>1</xdr:col>
                    <xdr:colOff>333375</xdr:colOff>
                    <xdr:row>13</xdr:row>
                    <xdr:rowOff>180975</xdr:rowOff>
                  </to>
                </anchor>
              </controlPr>
            </control>
          </mc:Choice>
        </mc:AlternateContent>
        <mc:AlternateContent xmlns:mc="http://schemas.openxmlformats.org/markup-compatibility/2006">
          <mc:Choice Requires="x14">
            <control shapeId="43040" r:id="rId35" name="Check Box 32">
              <controlPr defaultSize="0" autoFill="0" autoLine="0" autoPict="0">
                <anchor moveWithCells="1">
                  <from>
                    <xdr:col>1</xdr:col>
                    <xdr:colOff>152400</xdr:colOff>
                    <xdr:row>34</xdr:row>
                    <xdr:rowOff>180975</xdr:rowOff>
                  </from>
                  <to>
                    <xdr:col>1</xdr:col>
                    <xdr:colOff>333375</xdr:colOff>
                    <xdr:row>35</xdr:row>
                    <xdr:rowOff>180975</xdr:rowOff>
                  </to>
                </anchor>
              </controlPr>
            </control>
          </mc:Choice>
        </mc:AlternateContent>
        <mc:AlternateContent xmlns:mc="http://schemas.openxmlformats.org/markup-compatibility/2006">
          <mc:Choice Requires="x14">
            <control shapeId="43041" r:id="rId36" name="Check Box 33">
              <controlPr defaultSize="0" autoFill="0" autoLine="0" autoPict="0">
                <anchor moveWithCells="1">
                  <from>
                    <xdr:col>1</xdr:col>
                    <xdr:colOff>152400</xdr:colOff>
                    <xdr:row>35</xdr:row>
                    <xdr:rowOff>180975</xdr:rowOff>
                  </from>
                  <to>
                    <xdr:col>1</xdr:col>
                    <xdr:colOff>333375</xdr:colOff>
                    <xdr:row>36</xdr:row>
                    <xdr:rowOff>180975</xdr:rowOff>
                  </to>
                </anchor>
              </controlPr>
            </control>
          </mc:Choice>
        </mc:AlternateContent>
        <mc:AlternateContent xmlns:mc="http://schemas.openxmlformats.org/markup-compatibility/2006">
          <mc:Choice Requires="x14">
            <control shapeId="43042" r:id="rId37" name="Check Box 34">
              <controlPr defaultSize="0" autoFill="0" autoLine="0" autoPict="0">
                <anchor moveWithCells="1">
                  <from>
                    <xdr:col>1</xdr:col>
                    <xdr:colOff>152400</xdr:colOff>
                    <xdr:row>13</xdr:row>
                    <xdr:rowOff>161925</xdr:rowOff>
                  </from>
                  <to>
                    <xdr:col>1</xdr:col>
                    <xdr:colOff>333375</xdr:colOff>
                    <xdr:row>14</xdr:row>
                    <xdr:rowOff>171450</xdr:rowOff>
                  </to>
                </anchor>
              </controlPr>
            </control>
          </mc:Choice>
        </mc:AlternateContent>
        <mc:AlternateContent xmlns:mc="http://schemas.openxmlformats.org/markup-compatibility/2006">
          <mc:Choice Requires="x14">
            <control shapeId="43043" r:id="rId38" name="Check Box 35">
              <controlPr defaultSize="0" autoFill="0" autoLine="0" autoPict="0">
                <anchor moveWithCells="1">
                  <from>
                    <xdr:col>1</xdr:col>
                    <xdr:colOff>142875</xdr:colOff>
                    <xdr:row>36</xdr:row>
                    <xdr:rowOff>180975</xdr:rowOff>
                  </from>
                  <to>
                    <xdr:col>1</xdr:col>
                    <xdr:colOff>323850</xdr:colOff>
                    <xdr:row>37</xdr:row>
                    <xdr:rowOff>180975</xdr:rowOff>
                  </to>
                </anchor>
              </controlPr>
            </control>
          </mc:Choice>
        </mc:AlternateContent>
        <mc:AlternateContent xmlns:mc="http://schemas.openxmlformats.org/markup-compatibility/2006">
          <mc:Choice Requires="x14">
            <control shapeId="43044" r:id="rId39" name="Check Box 36">
              <controlPr defaultSize="0" autoFill="0" autoLine="0" autoPict="0">
                <anchor moveWithCells="1">
                  <from>
                    <xdr:col>1</xdr:col>
                    <xdr:colOff>142875</xdr:colOff>
                    <xdr:row>38</xdr:row>
                    <xdr:rowOff>171450</xdr:rowOff>
                  </from>
                  <to>
                    <xdr:col>1</xdr:col>
                    <xdr:colOff>323850</xdr:colOff>
                    <xdr:row>39</xdr:row>
                    <xdr:rowOff>171450</xdr:rowOff>
                  </to>
                </anchor>
              </controlPr>
            </control>
          </mc:Choice>
        </mc:AlternateContent>
        <mc:AlternateContent xmlns:mc="http://schemas.openxmlformats.org/markup-compatibility/2006">
          <mc:Choice Requires="x14">
            <control shapeId="43045" r:id="rId40" name="Check Box 37">
              <controlPr defaultSize="0" autoFill="0" autoLine="0" autoPict="0">
                <anchor moveWithCells="1">
                  <from>
                    <xdr:col>1</xdr:col>
                    <xdr:colOff>161925</xdr:colOff>
                    <xdr:row>37</xdr:row>
                    <xdr:rowOff>180975</xdr:rowOff>
                  </from>
                  <to>
                    <xdr:col>1</xdr:col>
                    <xdr:colOff>342900</xdr:colOff>
                    <xdr:row>38</xdr:row>
                    <xdr:rowOff>180975</xdr:rowOff>
                  </to>
                </anchor>
              </controlPr>
            </control>
          </mc:Choice>
        </mc:AlternateContent>
        <mc:AlternateContent xmlns:mc="http://schemas.openxmlformats.org/markup-compatibility/2006">
          <mc:Choice Requires="x14">
            <control shapeId="43046" r:id="rId41" name="Check Box 38">
              <controlPr defaultSize="0" autoFill="0" autoLine="0" autoPict="0">
                <anchor moveWithCells="1">
                  <from>
                    <xdr:col>1</xdr:col>
                    <xdr:colOff>142875</xdr:colOff>
                    <xdr:row>9</xdr:row>
                    <xdr:rowOff>171450</xdr:rowOff>
                  </from>
                  <to>
                    <xdr:col>1</xdr:col>
                    <xdr:colOff>323850</xdr:colOff>
                    <xdr:row>10</xdr:row>
                    <xdr:rowOff>171450</xdr:rowOff>
                  </to>
                </anchor>
              </controlPr>
            </control>
          </mc:Choice>
        </mc:AlternateContent>
        <mc:AlternateContent xmlns:mc="http://schemas.openxmlformats.org/markup-compatibility/2006">
          <mc:Choice Requires="x14">
            <control shapeId="43047" r:id="rId42" name="Check Box 39">
              <controlPr defaultSize="0" autoFill="0" autoLine="0" autoPict="0">
                <anchor moveWithCells="1">
                  <from>
                    <xdr:col>1</xdr:col>
                    <xdr:colOff>142875</xdr:colOff>
                    <xdr:row>39</xdr:row>
                    <xdr:rowOff>180975</xdr:rowOff>
                  </from>
                  <to>
                    <xdr:col>1</xdr:col>
                    <xdr:colOff>323850</xdr:colOff>
                    <xdr:row>40</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2"/>
  <dimension ref="A3:P53"/>
  <sheetViews>
    <sheetView zoomScale="85" zoomScaleNormal="85" workbookViewId="0">
      <selection activeCell="I48" sqref="I48:K48"/>
    </sheetView>
  </sheetViews>
  <sheetFormatPr defaultColWidth="11.42578125" defaultRowHeight="15" x14ac:dyDescent="0.25"/>
  <cols>
    <col min="1" max="1" width="18.5703125" customWidth="1"/>
    <col min="2" max="2" width="5.85546875" customWidth="1"/>
    <col min="3" max="3" width="11.42578125" style="2"/>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6" x14ac:dyDescent="0.25">
      <c r="C3" s="3" t="s">
        <v>1</v>
      </c>
      <c r="D3" s="3" t="s">
        <v>24</v>
      </c>
      <c r="E3" s="19" t="s">
        <v>16</v>
      </c>
      <c r="F3" s="16" t="s">
        <v>15</v>
      </c>
      <c r="G3" s="21" t="s">
        <v>14</v>
      </c>
      <c r="H3" s="17" t="s">
        <v>0</v>
      </c>
      <c r="I3" s="19" t="s">
        <v>29</v>
      </c>
      <c r="J3" s="16" t="s">
        <v>30</v>
      </c>
      <c r="K3" s="21" t="s">
        <v>14</v>
      </c>
      <c r="L3" s="17" t="s">
        <v>31</v>
      </c>
    </row>
    <row r="4" spans="1:16" x14ac:dyDescent="0.25">
      <c r="A4" s="32" t="s">
        <v>3</v>
      </c>
      <c r="B4" s="32"/>
      <c r="C4" s="33">
        <f>51+70</f>
        <v>121</v>
      </c>
      <c r="E4" s="20">
        <f>12/100</f>
        <v>0.12</v>
      </c>
      <c r="F4" s="6">
        <f>60/100</f>
        <v>0.6</v>
      </c>
      <c r="G4" s="22">
        <f>7.1/100</f>
        <v>7.0999999999999994E-2</v>
      </c>
      <c r="H4" s="18">
        <f>371/100</f>
        <v>3.71</v>
      </c>
      <c r="I4" s="20">
        <f t="shared" ref="I4:K35" si="0">IF($M4=TRUE,E4*$C4,0)</f>
        <v>14.52</v>
      </c>
      <c r="J4" s="6">
        <f t="shared" si="0"/>
        <v>72.599999999999994</v>
      </c>
      <c r="K4" s="22">
        <f t="shared" si="0"/>
        <v>8.5909999999999993</v>
      </c>
      <c r="L4" s="18">
        <f t="shared" ref="L4:L41" si="1">IF($M4=TRUE, H4*C4,0)</f>
        <v>448.90999999999997</v>
      </c>
      <c r="M4" t="b">
        <v>1</v>
      </c>
    </row>
    <row r="5" spans="1:16" x14ac:dyDescent="0.25">
      <c r="A5" s="34" t="s">
        <v>33</v>
      </c>
      <c r="B5" s="32"/>
      <c r="C5" s="33">
        <f>140</f>
        <v>140</v>
      </c>
      <c r="E5" s="20">
        <f>11/100</f>
        <v>0.11</v>
      </c>
      <c r="F5" s="6">
        <f>0.7/100</f>
        <v>6.9999999999999993E-3</v>
      </c>
      <c r="G5" s="22">
        <f>0.2/100</f>
        <v>2E-3</v>
      </c>
      <c r="H5" s="18">
        <f>52/100</f>
        <v>0.52</v>
      </c>
      <c r="I5" s="20">
        <f t="shared" si="0"/>
        <v>15.4</v>
      </c>
      <c r="J5" s="6">
        <f t="shared" si="0"/>
        <v>0.97999999999999987</v>
      </c>
      <c r="K5" s="22">
        <f t="shared" si="0"/>
        <v>0.28000000000000003</v>
      </c>
      <c r="L5" s="18">
        <f>IF($M5=TRUE, H5*C5,0)</f>
        <v>72.8</v>
      </c>
      <c r="M5" t="b">
        <v>1</v>
      </c>
    </row>
    <row r="6" spans="1:16" x14ac:dyDescent="0.25">
      <c r="A6" s="34" t="s">
        <v>67</v>
      </c>
      <c r="B6" s="32"/>
      <c r="C6" s="33">
        <f>30</f>
        <v>30</v>
      </c>
      <c r="E6" s="20">
        <f>2.4/100</f>
        <v>2.4E-2</v>
      </c>
      <c r="F6" s="6">
        <v>0</v>
      </c>
      <c r="G6" s="22">
        <f>27/100</f>
        <v>0.27</v>
      </c>
      <c r="H6" s="18">
        <f>350/100</f>
        <v>3.5</v>
      </c>
      <c r="I6" s="20">
        <f t="shared" si="0"/>
        <v>0.72</v>
      </c>
      <c r="J6" s="6">
        <f t="shared" si="0"/>
        <v>0</v>
      </c>
      <c r="K6" s="22">
        <f t="shared" si="0"/>
        <v>8.1000000000000014</v>
      </c>
      <c r="L6" s="18">
        <f>IF($M6=TRUE, H6*C6,0)</f>
        <v>105</v>
      </c>
      <c r="M6" t="b">
        <v>1</v>
      </c>
      <c r="P6">
        <v>1</v>
      </c>
    </row>
    <row r="7" spans="1:16" x14ac:dyDescent="0.25">
      <c r="A7" s="32" t="s">
        <v>18</v>
      </c>
      <c r="B7" s="32"/>
      <c r="C7" s="33">
        <f>250+130</f>
        <v>380</v>
      </c>
      <c r="E7" s="20">
        <f>3.2/100</f>
        <v>3.2000000000000001E-2</v>
      </c>
      <c r="F7" s="6">
        <f>4.8/100</f>
        <v>4.8000000000000001E-2</v>
      </c>
      <c r="G7" s="22">
        <f>1.6/100</f>
        <v>1.6E-2</v>
      </c>
      <c r="H7" s="18">
        <f>46/100</f>
        <v>0.46</v>
      </c>
      <c r="I7" s="20">
        <f t="shared" si="0"/>
        <v>12.16</v>
      </c>
      <c r="J7" s="6">
        <f t="shared" si="0"/>
        <v>18.240000000000002</v>
      </c>
      <c r="K7" s="22">
        <f t="shared" si="0"/>
        <v>6.08</v>
      </c>
      <c r="L7" s="18">
        <f>IF($M7=TRUE, H7*C7,0)</f>
        <v>174.8</v>
      </c>
      <c r="M7" t="b">
        <v>1</v>
      </c>
    </row>
    <row r="8" spans="1:16" x14ac:dyDescent="0.25">
      <c r="A8" s="36" t="s">
        <v>5</v>
      </c>
      <c r="B8" s="36"/>
      <c r="C8" s="38">
        <f>178+200</f>
        <v>378</v>
      </c>
      <c r="E8" s="20">
        <f>20.7/100</f>
        <v>0.20699999999999999</v>
      </c>
      <c r="F8" s="6">
        <f>2.2/100</f>
        <v>2.2000000000000002E-2</v>
      </c>
      <c r="G8" s="22">
        <f>0.9/100</f>
        <v>9.0000000000000011E-3</v>
      </c>
      <c r="H8" s="18">
        <f>94/100</f>
        <v>0.94</v>
      </c>
      <c r="I8" s="20">
        <f t="shared" si="0"/>
        <v>0</v>
      </c>
      <c r="J8" s="6">
        <f t="shared" si="0"/>
        <v>0</v>
      </c>
      <c r="K8" s="22">
        <f t="shared" si="0"/>
        <v>0</v>
      </c>
      <c r="L8" s="18">
        <f t="shared" si="1"/>
        <v>0</v>
      </c>
      <c r="M8" t="b">
        <v>0</v>
      </c>
    </row>
    <row r="9" spans="1:16" x14ac:dyDescent="0.25">
      <c r="A9" s="36" t="s">
        <v>6</v>
      </c>
      <c r="B9" s="36"/>
      <c r="C9" s="38">
        <f>256/2*2</f>
        <v>256</v>
      </c>
      <c r="E9" s="20">
        <f>20/100</f>
        <v>0.2</v>
      </c>
      <c r="F9" s="6">
        <f>0.2/100</f>
        <v>2E-3</v>
      </c>
      <c r="G9" s="22">
        <f>5/100</f>
        <v>0.05</v>
      </c>
      <c r="H9" s="18">
        <f>126/100</f>
        <v>1.26</v>
      </c>
      <c r="I9" s="20">
        <f t="shared" si="0"/>
        <v>0</v>
      </c>
      <c r="J9" s="6">
        <f t="shared" si="0"/>
        <v>0</v>
      </c>
      <c r="K9" s="22">
        <f t="shared" si="0"/>
        <v>0</v>
      </c>
      <c r="L9" s="18">
        <f t="shared" si="1"/>
        <v>0</v>
      </c>
      <c r="M9" t="b">
        <v>0</v>
      </c>
    </row>
    <row r="10" spans="1:16" x14ac:dyDescent="0.25">
      <c r="A10" s="36" t="s">
        <v>57</v>
      </c>
      <c r="B10" s="36"/>
      <c r="C10" s="38">
        <v>129</v>
      </c>
      <c r="E10" s="20">
        <f>19/100</f>
        <v>0.19</v>
      </c>
      <c r="F10" s="6">
        <v>0</v>
      </c>
      <c r="G10" s="22">
        <f>12/100</f>
        <v>0.12</v>
      </c>
      <c r="H10" s="18">
        <f>184/100</f>
        <v>1.84</v>
      </c>
      <c r="I10" s="20">
        <f t="shared" si="0"/>
        <v>0</v>
      </c>
      <c r="J10" s="6">
        <f t="shared" si="0"/>
        <v>0</v>
      </c>
      <c r="K10" s="22">
        <f t="shared" si="0"/>
        <v>0</v>
      </c>
      <c r="L10" s="18">
        <f t="shared" si="1"/>
        <v>0</v>
      </c>
      <c r="M10" t="b">
        <v>0</v>
      </c>
    </row>
    <row r="11" spans="1:16" x14ac:dyDescent="0.25">
      <c r="A11" s="36" t="s">
        <v>87</v>
      </c>
      <c r="B11" s="36"/>
      <c r="C11" s="38"/>
      <c r="E11" s="20">
        <f>25/100</f>
        <v>0.25</v>
      </c>
      <c r="F11" s="6">
        <f>0</f>
        <v>0</v>
      </c>
      <c r="G11" s="22">
        <f>11/100</f>
        <v>0.11</v>
      </c>
      <c r="H11" s="18">
        <f>208/100</f>
        <v>2.08</v>
      </c>
      <c r="I11" s="20">
        <f t="shared" si="0"/>
        <v>0</v>
      </c>
      <c r="J11" s="6">
        <f t="shared" si="0"/>
        <v>0</v>
      </c>
      <c r="K11" s="22">
        <f t="shared" si="0"/>
        <v>0</v>
      </c>
      <c r="L11" s="18">
        <f t="shared" si="1"/>
        <v>0</v>
      </c>
      <c r="M11" t="b">
        <v>0</v>
      </c>
    </row>
    <row r="12" spans="1:16" x14ac:dyDescent="0.25">
      <c r="A12" s="36" t="s">
        <v>59</v>
      </c>
      <c r="B12" s="36"/>
      <c r="C12" s="38">
        <v>360</v>
      </c>
      <c r="E12" s="20">
        <f>20/100</f>
        <v>0.2</v>
      </c>
      <c r="F12" s="6">
        <v>0</v>
      </c>
      <c r="G12" s="22">
        <f>5/100</f>
        <v>0.05</v>
      </c>
      <c r="H12" s="18">
        <f>121/100</f>
        <v>1.21</v>
      </c>
      <c r="I12" s="20">
        <f t="shared" si="0"/>
        <v>72</v>
      </c>
      <c r="J12" s="6">
        <f t="shared" si="0"/>
        <v>0</v>
      </c>
      <c r="K12" s="22">
        <f t="shared" si="0"/>
        <v>18</v>
      </c>
      <c r="L12" s="18">
        <f t="shared" si="1"/>
        <v>435.59999999999997</v>
      </c>
      <c r="M12" t="b">
        <v>1</v>
      </c>
    </row>
    <row r="13" spans="1:16" x14ac:dyDescent="0.25">
      <c r="A13" s="36" t="s">
        <v>13</v>
      </c>
      <c r="B13" s="36"/>
      <c r="C13" s="38">
        <v>1</v>
      </c>
      <c r="E13" s="20">
        <v>20</v>
      </c>
      <c r="F13" s="6">
        <v>1</v>
      </c>
      <c r="G13" s="22">
        <v>1</v>
      </c>
      <c r="H13" s="18">
        <v>93</v>
      </c>
      <c r="I13" s="20">
        <f t="shared" si="0"/>
        <v>0</v>
      </c>
      <c r="J13" s="6">
        <f t="shared" si="0"/>
        <v>0</v>
      </c>
      <c r="K13" s="22">
        <f t="shared" si="0"/>
        <v>0</v>
      </c>
      <c r="L13" s="18">
        <f t="shared" si="1"/>
        <v>0</v>
      </c>
      <c r="M13" t="b">
        <v>0</v>
      </c>
    </row>
    <row r="14" spans="1:16" x14ac:dyDescent="0.25">
      <c r="A14" s="36" t="s">
        <v>80</v>
      </c>
      <c r="B14" s="36"/>
      <c r="C14" s="38">
        <v>126</v>
      </c>
      <c r="E14" s="20">
        <f>24/100</f>
        <v>0.24</v>
      </c>
      <c r="F14" s="6">
        <f>1/100</f>
        <v>0.01</v>
      </c>
      <c r="G14" s="22">
        <f>1/100</f>
        <v>0.01</v>
      </c>
      <c r="H14" s="18">
        <f>105/100</f>
        <v>1.05</v>
      </c>
      <c r="I14" s="20">
        <f t="shared" si="0"/>
        <v>0</v>
      </c>
      <c r="J14" s="6">
        <f t="shared" si="0"/>
        <v>0</v>
      </c>
      <c r="K14" s="22">
        <f t="shared" si="0"/>
        <v>0</v>
      </c>
      <c r="L14" s="18">
        <f t="shared" si="1"/>
        <v>0</v>
      </c>
      <c r="M14" t="b">
        <v>0</v>
      </c>
    </row>
    <row r="15" spans="1:16" x14ac:dyDescent="0.25">
      <c r="A15" s="36" t="s">
        <v>82</v>
      </c>
      <c r="B15" s="36"/>
      <c r="C15" s="38">
        <v>305</v>
      </c>
      <c r="E15" s="20">
        <f>24/100</f>
        <v>0.24</v>
      </c>
      <c r="F15" s="6">
        <v>0</v>
      </c>
      <c r="G15" s="22">
        <f>0</f>
        <v>0</v>
      </c>
      <c r="H15" s="18">
        <f>24*4/100</f>
        <v>0.96</v>
      </c>
      <c r="I15" s="20">
        <f t="shared" si="0"/>
        <v>73.2</v>
      </c>
      <c r="J15" s="6">
        <f t="shared" si="0"/>
        <v>0</v>
      </c>
      <c r="K15" s="22">
        <f t="shared" si="0"/>
        <v>0</v>
      </c>
      <c r="L15" s="18">
        <f t="shared" si="1"/>
        <v>292.8</v>
      </c>
      <c r="M15" t="b">
        <v>1</v>
      </c>
    </row>
    <row r="16" spans="1:16" x14ac:dyDescent="0.25">
      <c r="A16" t="s">
        <v>7</v>
      </c>
      <c r="C16" s="28">
        <v>50</v>
      </c>
      <c r="E16" s="20">
        <f>12.68/100</f>
        <v>0.1268</v>
      </c>
      <c r="F16" s="6">
        <f>72.83/100</f>
        <v>0.72829999999999995</v>
      </c>
      <c r="G16" s="22">
        <f>1.05/100</f>
        <v>1.0500000000000001E-2</v>
      </c>
      <c r="H16" s="18">
        <f>360/100</f>
        <v>3.6</v>
      </c>
      <c r="I16" s="20">
        <f t="shared" si="0"/>
        <v>0</v>
      </c>
      <c r="J16" s="6">
        <f t="shared" si="0"/>
        <v>0</v>
      </c>
      <c r="K16" s="22">
        <f t="shared" si="0"/>
        <v>0</v>
      </c>
      <c r="L16" s="18">
        <f t="shared" si="1"/>
        <v>0</v>
      </c>
      <c r="M16" t="b">
        <v>0</v>
      </c>
    </row>
    <row r="17" spans="1:13" x14ac:dyDescent="0.25">
      <c r="A17" t="s">
        <v>8</v>
      </c>
      <c r="C17" s="28">
        <v>39</v>
      </c>
      <c r="E17" s="20">
        <f>8.8/100</f>
        <v>8.8000000000000009E-2</v>
      </c>
      <c r="F17" s="6">
        <f>72/100</f>
        <v>0.72</v>
      </c>
      <c r="G17" s="22">
        <f>2.2/100</f>
        <v>2.2000000000000002E-2</v>
      </c>
      <c r="H17" s="18">
        <f>343/100</f>
        <v>3.43</v>
      </c>
      <c r="I17" s="20">
        <f t="shared" si="0"/>
        <v>0</v>
      </c>
      <c r="J17" s="6">
        <f t="shared" si="0"/>
        <v>0</v>
      </c>
      <c r="K17" s="22">
        <f t="shared" si="0"/>
        <v>0</v>
      </c>
      <c r="L17" s="18">
        <f t="shared" si="1"/>
        <v>0</v>
      </c>
      <c r="M17" t="b">
        <v>0</v>
      </c>
    </row>
    <row r="18" spans="1:13" x14ac:dyDescent="0.25">
      <c r="A18" s="35" t="s">
        <v>9</v>
      </c>
      <c r="B18" s="35"/>
      <c r="C18" s="39">
        <f>89</f>
        <v>89</v>
      </c>
      <c r="E18" s="20">
        <f>1.5/100</f>
        <v>1.4999999999999999E-2</v>
      </c>
      <c r="F18" s="6">
        <f>20/100</f>
        <v>0.2</v>
      </c>
      <c r="G18" s="22">
        <v>0</v>
      </c>
      <c r="H18" s="18">
        <f>90/100</f>
        <v>0.9</v>
      </c>
      <c r="I18" s="20">
        <f t="shared" si="0"/>
        <v>1.335</v>
      </c>
      <c r="J18" s="6">
        <f t="shared" si="0"/>
        <v>17.8</v>
      </c>
      <c r="K18" s="22">
        <f t="shared" si="0"/>
        <v>0</v>
      </c>
      <c r="L18" s="18">
        <f t="shared" si="1"/>
        <v>80.100000000000009</v>
      </c>
      <c r="M18" t="b">
        <v>1</v>
      </c>
    </row>
    <row r="19" spans="1:13" x14ac:dyDescent="0.25">
      <c r="A19" s="35" t="s">
        <v>10</v>
      </c>
      <c r="B19" s="35"/>
      <c r="C19" s="39">
        <v>69</v>
      </c>
      <c r="E19" s="20">
        <f>1.6/100</f>
        <v>1.6E-2</v>
      </c>
      <c r="F19" s="6">
        <f>11/100</f>
        <v>0.11</v>
      </c>
      <c r="G19" s="22">
        <f>0.3/100</f>
        <v>3.0000000000000001E-3</v>
      </c>
      <c r="H19" s="18">
        <f>53/100</f>
        <v>0.53</v>
      </c>
      <c r="I19" s="20">
        <f t="shared" si="0"/>
        <v>0</v>
      </c>
      <c r="J19" s="6">
        <f t="shared" si="0"/>
        <v>0</v>
      </c>
      <c r="K19" s="22">
        <f t="shared" si="0"/>
        <v>0</v>
      </c>
      <c r="L19" s="18">
        <f t="shared" si="1"/>
        <v>0</v>
      </c>
      <c r="M19" t="b">
        <v>0</v>
      </c>
    </row>
    <row r="20" spans="1:13" x14ac:dyDescent="0.25">
      <c r="A20" s="35" t="s">
        <v>11</v>
      </c>
      <c r="B20" s="35"/>
      <c r="C20" s="39">
        <v>260</v>
      </c>
      <c r="E20" s="20">
        <f>1/100</f>
        <v>0.01</v>
      </c>
      <c r="F20" s="6">
        <f>9/100</f>
        <v>0.09</v>
      </c>
      <c r="G20" s="22">
        <f>0.2/100</f>
        <v>2E-3</v>
      </c>
      <c r="H20" s="18">
        <f>45/100</f>
        <v>0.45</v>
      </c>
      <c r="I20" s="20">
        <f t="shared" si="0"/>
        <v>2.6</v>
      </c>
      <c r="J20" s="6">
        <f t="shared" si="0"/>
        <v>23.4</v>
      </c>
      <c r="K20" s="22">
        <f t="shared" si="0"/>
        <v>0.52</v>
      </c>
      <c r="L20" s="18">
        <f t="shared" si="1"/>
        <v>117</v>
      </c>
      <c r="M20" t="b">
        <v>1</v>
      </c>
    </row>
    <row r="21" spans="1:13" x14ac:dyDescent="0.25">
      <c r="A21" t="s">
        <v>58</v>
      </c>
      <c r="C21" s="28">
        <v>180</v>
      </c>
      <c r="E21" s="20">
        <f>1.6/100</f>
        <v>1.6E-2</v>
      </c>
      <c r="F21" s="6">
        <f>20/100</f>
        <v>0.2</v>
      </c>
      <c r="G21" s="22">
        <f>0.1/100</f>
        <v>1E-3</v>
      </c>
      <c r="H21" s="18">
        <f>86/100</f>
        <v>0.86</v>
      </c>
      <c r="I21" s="20">
        <f>IF($M21=TRUE,E21*$C21,0)</f>
        <v>0</v>
      </c>
      <c r="J21" s="6">
        <f>IF($M21=TRUE,F21*$C21,0)</f>
        <v>0</v>
      </c>
      <c r="K21" s="22">
        <f>IF($M21=TRUE,G21*$C21,0)</f>
        <v>0</v>
      </c>
      <c r="L21" s="18">
        <f>IF($M21=TRUE, H21*C21,0)</f>
        <v>0</v>
      </c>
      <c r="M21" t="b">
        <v>0</v>
      </c>
    </row>
    <row r="22" spans="1:13" x14ac:dyDescent="0.25">
      <c r="A22" t="s">
        <v>12</v>
      </c>
      <c r="C22" s="28">
        <f>50+50</f>
        <v>100</v>
      </c>
      <c r="E22" s="20">
        <f>11/100</f>
        <v>0.11</v>
      </c>
      <c r="F22" s="6">
        <f>54/100</f>
        <v>0.54</v>
      </c>
      <c r="G22" s="22">
        <f>3.3/100</f>
        <v>3.3000000000000002E-2</v>
      </c>
      <c r="H22" s="18">
        <f>293/100</f>
        <v>2.93</v>
      </c>
      <c r="I22" s="20">
        <f t="shared" si="0"/>
        <v>0</v>
      </c>
      <c r="J22" s="6">
        <f t="shared" si="0"/>
        <v>0</v>
      </c>
      <c r="K22" s="22">
        <f t="shared" si="0"/>
        <v>0</v>
      </c>
      <c r="L22" s="18">
        <f t="shared" si="1"/>
        <v>0</v>
      </c>
      <c r="M22" t="b">
        <v>0</v>
      </c>
    </row>
    <row r="23" spans="1:13" x14ac:dyDescent="0.25">
      <c r="A23" t="s">
        <v>17</v>
      </c>
      <c r="C23" s="28">
        <v>24</v>
      </c>
      <c r="D23" s="2" t="s">
        <v>23</v>
      </c>
      <c r="E23" s="20">
        <f>3/100</f>
        <v>0.03</v>
      </c>
      <c r="F23" s="6">
        <f>11/100</f>
        <v>0.11</v>
      </c>
      <c r="G23" s="22">
        <f>1.5/100</f>
        <v>1.4999999999999999E-2</v>
      </c>
      <c r="H23" s="18">
        <f>74/100</f>
        <v>0.74</v>
      </c>
      <c r="I23" s="20">
        <f t="shared" si="0"/>
        <v>0</v>
      </c>
      <c r="J23" s="6">
        <f t="shared" si="0"/>
        <v>0</v>
      </c>
      <c r="K23" s="22">
        <f t="shared" si="0"/>
        <v>0</v>
      </c>
      <c r="L23" s="18">
        <f t="shared" si="1"/>
        <v>0</v>
      </c>
      <c r="M23" t="b">
        <v>0</v>
      </c>
    </row>
    <row r="24" spans="1:13" x14ac:dyDescent="0.25">
      <c r="A24" t="s">
        <v>19</v>
      </c>
      <c r="C24" s="28">
        <v>137</v>
      </c>
      <c r="D24" s="2" t="s">
        <v>25</v>
      </c>
      <c r="E24" s="20">
        <f>2/100</f>
        <v>0.02</v>
      </c>
      <c r="F24" s="6">
        <f>17/100</f>
        <v>0.17</v>
      </c>
      <c r="G24" s="22">
        <f>0.1/100</f>
        <v>1E-3</v>
      </c>
      <c r="H24" s="18">
        <f>77/100</f>
        <v>0.77</v>
      </c>
      <c r="I24" s="20">
        <f t="shared" si="0"/>
        <v>0</v>
      </c>
      <c r="J24" s="6">
        <f t="shared" si="0"/>
        <v>0</v>
      </c>
      <c r="K24" s="22">
        <f t="shared" si="0"/>
        <v>0</v>
      </c>
      <c r="L24" s="18">
        <f t="shared" si="1"/>
        <v>0</v>
      </c>
      <c r="M24" t="b">
        <v>0</v>
      </c>
    </row>
    <row r="25" spans="1:13" x14ac:dyDescent="0.25">
      <c r="A25" t="s">
        <v>20</v>
      </c>
      <c r="C25" s="28">
        <f>118</f>
        <v>118</v>
      </c>
      <c r="E25" s="20">
        <f>25/100</f>
        <v>0.25</v>
      </c>
      <c r="F25" s="6">
        <v>0</v>
      </c>
      <c r="G25" s="22">
        <f>1/100</f>
        <v>0.01</v>
      </c>
      <c r="H25" s="18">
        <f>109/100</f>
        <v>1.0900000000000001</v>
      </c>
      <c r="I25" s="20">
        <f t="shared" si="0"/>
        <v>0</v>
      </c>
      <c r="J25" s="6">
        <f t="shared" si="0"/>
        <v>0</v>
      </c>
      <c r="K25" s="22">
        <f t="shared" si="0"/>
        <v>0</v>
      </c>
      <c r="L25" s="18">
        <f t="shared" si="1"/>
        <v>0</v>
      </c>
      <c r="M25" t="b">
        <v>0</v>
      </c>
    </row>
    <row r="26" spans="1:13" x14ac:dyDescent="0.25">
      <c r="A26" s="35" t="s">
        <v>21</v>
      </c>
      <c r="B26" s="35"/>
      <c r="C26" s="39">
        <f>200</f>
        <v>200</v>
      </c>
      <c r="D26" s="2" t="s">
        <v>22</v>
      </c>
      <c r="E26" s="20">
        <f>2.3/100</f>
        <v>2.3E-2</v>
      </c>
      <c r="F26" s="6">
        <f>7.2/100</f>
        <v>7.2000000000000008E-2</v>
      </c>
      <c r="G26" s="22">
        <f>0.5/100</f>
        <v>5.0000000000000001E-3</v>
      </c>
      <c r="H26" s="18">
        <f>44/100</f>
        <v>0.44</v>
      </c>
      <c r="I26" s="20">
        <f t="shared" si="0"/>
        <v>4.5999999999999996</v>
      </c>
      <c r="J26" s="6">
        <f t="shared" si="0"/>
        <v>14.400000000000002</v>
      </c>
      <c r="K26" s="22">
        <f t="shared" si="0"/>
        <v>1</v>
      </c>
      <c r="L26" s="18">
        <f t="shared" si="1"/>
        <v>88</v>
      </c>
      <c r="M26" t="b">
        <v>1</v>
      </c>
    </row>
    <row r="27" spans="1:13" x14ac:dyDescent="0.25">
      <c r="A27" t="s">
        <v>26</v>
      </c>
      <c r="C27" s="28"/>
      <c r="E27" s="20">
        <v>0</v>
      </c>
      <c r="F27" s="6">
        <v>0</v>
      </c>
      <c r="G27" s="22">
        <v>0</v>
      </c>
      <c r="H27" s="18">
        <f>275/100</f>
        <v>2.75</v>
      </c>
      <c r="I27" s="20">
        <f t="shared" si="0"/>
        <v>0</v>
      </c>
      <c r="J27" s="6">
        <f t="shared" si="0"/>
        <v>0</v>
      </c>
      <c r="K27" s="22">
        <f t="shared" si="0"/>
        <v>0</v>
      </c>
      <c r="L27" s="18">
        <f t="shared" si="1"/>
        <v>0</v>
      </c>
      <c r="M27" t="b">
        <v>0</v>
      </c>
    </row>
    <row r="28" spans="1:13" x14ac:dyDescent="0.25">
      <c r="A28" t="s">
        <v>32</v>
      </c>
      <c r="C28" s="28">
        <v>20</v>
      </c>
      <c r="E28" s="20">
        <f>22/100</f>
        <v>0.22</v>
      </c>
      <c r="F28" s="6">
        <f>6.9/100</f>
        <v>6.9000000000000006E-2</v>
      </c>
      <c r="G28" s="22">
        <f>54/100</f>
        <v>0.54</v>
      </c>
      <c r="H28" s="18">
        <f>620/100</f>
        <v>6.2</v>
      </c>
      <c r="I28" s="20">
        <f t="shared" si="0"/>
        <v>0</v>
      </c>
      <c r="J28" s="6">
        <f t="shared" si="0"/>
        <v>0</v>
      </c>
      <c r="K28" s="22">
        <f t="shared" si="0"/>
        <v>0</v>
      </c>
      <c r="L28" s="18">
        <f t="shared" si="1"/>
        <v>0</v>
      </c>
      <c r="M28" t="b">
        <v>0</v>
      </c>
    </row>
    <row r="29" spans="1:13" x14ac:dyDescent="0.25">
      <c r="A29" t="s">
        <v>33</v>
      </c>
      <c r="C29" s="28">
        <v>143</v>
      </c>
      <c r="E29" s="20">
        <v>3.6</v>
      </c>
      <c r="F29" s="6">
        <v>0.2</v>
      </c>
      <c r="G29" s="22">
        <v>0.1</v>
      </c>
      <c r="H29" s="18">
        <f>17</f>
        <v>17</v>
      </c>
      <c r="I29" s="20">
        <f t="shared" si="0"/>
        <v>0</v>
      </c>
      <c r="J29" s="6">
        <f t="shared" si="0"/>
        <v>0</v>
      </c>
      <c r="K29" s="22">
        <f t="shared" si="0"/>
        <v>0</v>
      </c>
      <c r="L29" s="18">
        <f t="shared" si="1"/>
        <v>0</v>
      </c>
      <c r="M29" t="b">
        <v>0</v>
      </c>
    </row>
    <row r="30" spans="1:13" x14ac:dyDescent="0.25">
      <c r="A30" t="s">
        <v>34</v>
      </c>
      <c r="C30" s="28">
        <v>50</v>
      </c>
      <c r="E30" s="20">
        <f>7.4/100</f>
        <v>7.400000000000001E-2</v>
      </c>
      <c r="F30" s="6">
        <f>78.7/100</f>
        <v>0.78700000000000003</v>
      </c>
      <c r="G30" s="22">
        <f>0.7/100</f>
        <v>6.9999999999999993E-3</v>
      </c>
      <c r="H30" s="18">
        <f>351/100</f>
        <v>3.51</v>
      </c>
      <c r="I30" s="20">
        <f t="shared" si="0"/>
        <v>0</v>
      </c>
      <c r="J30" s="6">
        <f t="shared" si="0"/>
        <v>0</v>
      </c>
      <c r="K30" s="22">
        <f t="shared" si="0"/>
        <v>0</v>
      </c>
      <c r="L30" s="18">
        <f t="shared" si="1"/>
        <v>0</v>
      </c>
      <c r="M30" t="b">
        <v>0</v>
      </c>
    </row>
    <row r="31" spans="1:13" x14ac:dyDescent="0.25">
      <c r="A31" t="s">
        <v>55</v>
      </c>
      <c r="C31" s="28"/>
      <c r="E31" s="20">
        <f>19/100</f>
        <v>0.19</v>
      </c>
      <c r="F31" s="6">
        <f>61/100</f>
        <v>0.61</v>
      </c>
      <c r="G31" s="22">
        <f>6/100</f>
        <v>0.06</v>
      </c>
      <c r="H31" s="18">
        <f>364/100</f>
        <v>3.64</v>
      </c>
      <c r="I31" s="20">
        <f t="shared" si="0"/>
        <v>0</v>
      </c>
      <c r="J31" s="6">
        <f t="shared" si="0"/>
        <v>0</v>
      </c>
      <c r="K31" s="22">
        <f t="shared" si="0"/>
        <v>0</v>
      </c>
      <c r="L31" s="18">
        <f t="shared" si="1"/>
        <v>0</v>
      </c>
      <c r="M31" t="b">
        <v>0</v>
      </c>
    </row>
    <row r="32" spans="1:13" x14ac:dyDescent="0.25">
      <c r="A32" t="s">
        <v>60</v>
      </c>
      <c r="C32" s="28">
        <v>60</v>
      </c>
      <c r="E32" s="20">
        <f>7.5/100</f>
        <v>7.4999999999999997E-2</v>
      </c>
      <c r="F32" s="6">
        <f>78/100</f>
        <v>0.78</v>
      </c>
      <c r="G32" s="22">
        <f>0.6/100</f>
        <v>6.0000000000000001E-3</v>
      </c>
      <c r="H32" s="18">
        <f>347/100</f>
        <v>3.47</v>
      </c>
      <c r="I32" s="20">
        <f t="shared" si="0"/>
        <v>0</v>
      </c>
      <c r="J32" s="6">
        <f t="shared" si="0"/>
        <v>0</v>
      </c>
      <c r="K32" s="22">
        <f t="shared" si="0"/>
        <v>0</v>
      </c>
      <c r="L32" s="18">
        <f t="shared" si="1"/>
        <v>0</v>
      </c>
      <c r="M32" t="b">
        <v>0</v>
      </c>
    </row>
    <row r="33" spans="1:16" x14ac:dyDescent="0.25">
      <c r="A33" t="s">
        <v>63</v>
      </c>
      <c r="C33" s="28">
        <v>39</v>
      </c>
      <c r="E33" s="20">
        <f>1.4/100</f>
        <v>1.3999999999999999E-2</v>
      </c>
      <c r="F33" s="6">
        <f>9/100</f>
        <v>0.09</v>
      </c>
      <c r="G33" s="22">
        <f>0.2/100</f>
        <v>2E-3</v>
      </c>
      <c r="H33" s="18">
        <f>43/100</f>
        <v>0.43</v>
      </c>
      <c r="I33" s="20">
        <f t="shared" si="0"/>
        <v>0</v>
      </c>
      <c r="J33" s="6">
        <f t="shared" si="0"/>
        <v>0</v>
      </c>
      <c r="K33" s="22">
        <f t="shared" si="0"/>
        <v>0</v>
      </c>
      <c r="L33" s="18">
        <f t="shared" si="1"/>
        <v>0</v>
      </c>
      <c r="M33" t="b">
        <v>0</v>
      </c>
    </row>
    <row r="34" spans="1:16" x14ac:dyDescent="0.25">
      <c r="A34" t="s">
        <v>64</v>
      </c>
      <c r="C34" s="28">
        <v>10</v>
      </c>
      <c r="E34" s="20">
        <f>4.1/100</f>
        <v>4.0999999999999995E-2</v>
      </c>
      <c r="F34" s="6">
        <f>6.6/100</f>
        <v>6.6000000000000003E-2</v>
      </c>
      <c r="G34" s="22">
        <f>5/100</f>
        <v>0.05</v>
      </c>
      <c r="H34" s="18">
        <f>84/100</f>
        <v>0.84</v>
      </c>
      <c r="I34" s="20">
        <f t="shared" si="0"/>
        <v>0</v>
      </c>
      <c r="J34" s="6">
        <f t="shared" si="0"/>
        <v>0</v>
      </c>
      <c r="K34" s="22">
        <f t="shared" si="0"/>
        <v>0</v>
      </c>
      <c r="L34" s="18">
        <f t="shared" si="1"/>
        <v>0</v>
      </c>
      <c r="M34" t="b">
        <v>0</v>
      </c>
    </row>
    <row r="35" spans="1:16" x14ac:dyDescent="0.25">
      <c r="A35" t="s">
        <v>66</v>
      </c>
      <c r="C35" s="28">
        <v>70</v>
      </c>
      <c r="E35" s="20">
        <f>14.1/100</f>
        <v>0.14099999999999999</v>
      </c>
      <c r="F35" s="6">
        <f>68.9/100</f>
        <v>0.68900000000000006</v>
      </c>
      <c r="G35" s="22">
        <f>5.8/100</f>
        <v>5.7999999999999996E-2</v>
      </c>
      <c r="H35" s="18">
        <f>380/100</f>
        <v>3.8</v>
      </c>
      <c r="I35" s="20">
        <f t="shared" si="0"/>
        <v>0</v>
      </c>
      <c r="J35" s="6">
        <f t="shared" si="0"/>
        <v>0</v>
      </c>
      <c r="K35" s="22">
        <f t="shared" si="0"/>
        <v>0</v>
      </c>
      <c r="L35" s="18">
        <f t="shared" si="1"/>
        <v>0</v>
      </c>
      <c r="M35" t="b">
        <v>0</v>
      </c>
    </row>
    <row r="36" spans="1:16" x14ac:dyDescent="0.25">
      <c r="A36" t="s">
        <v>79</v>
      </c>
      <c r="C36" s="28"/>
      <c r="E36" s="20"/>
      <c r="F36" s="6"/>
      <c r="G36" s="22"/>
      <c r="H36" s="18"/>
      <c r="I36" s="20">
        <f t="shared" ref="I36:K41" si="2">IF($M36=TRUE,E36*$C36,0)</f>
        <v>0</v>
      </c>
      <c r="J36" s="6">
        <f t="shared" si="2"/>
        <v>0</v>
      </c>
      <c r="K36" s="22">
        <f t="shared" si="2"/>
        <v>0</v>
      </c>
      <c r="L36" s="18">
        <f t="shared" si="1"/>
        <v>0</v>
      </c>
      <c r="M36" t="b">
        <v>0</v>
      </c>
      <c r="P36">
        <v>2.2046199999999998</v>
      </c>
    </row>
    <row r="37" spans="1:16" x14ac:dyDescent="0.25">
      <c r="A37" t="s">
        <v>81</v>
      </c>
      <c r="C37" s="28">
        <v>66</v>
      </c>
      <c r="E37" s="20">
        <f>1.4/100</f>
        <v>1.3999999999999999E-2</v>
      </c>
      <c r="F37" s="6">
        <f>7/100</f>
        <v>7.0000000000000007E-2</v>
      </c>
      <c r="G37" s="22">
        <f>0.2/100</f>
        <v>2E-3</v>
      </c>
      <c r="H37" s="18"/>
      <c r="I37" s="20">
        <f t="shared" si="2"/>
        <v>0</v>
      </c>
      <c r="J37" s="6">
        <f t="shared" si="2"/>
        <v>0</v>
      </c>
      <c r="K37" s="22">
        <f t="shared" si="2"/>
        <v>0</v>
      </c>
      <c r="L37" s="18">
        <f t="shared" si="1"/>
        <v>0</v>
      </c>
      <c r="M37" t="b">
        <v>0</v>
      </c>
    </row>
    <row r="38" spans="1:16" x14ac:dyDescent="0.25">
      <c r="A38" t="s">
        <v>83</v>
      </c>
      <c r="C38" s="28">
        <v>1</v>
      </c>
      <c r="E38" s="20">
        <f>0.1</f>
        <v>0.1</v>
      </c>
      <c r="F38" s="6">
        <f>2.7</f>
        <v>2.7</v>
      </c>
      <c r="G38" s="22">
        <f>0</f>
        <v>0</v>
      </c>
      <c r="H38" s="18"/>
      <c r="I38" s="20">
        <f t="shared" si="2"/>
        <v>0</v>
      </c>
      <c r="J38" s="6">
        <f t="shared" si="2"/>
        <v>0</v>
      </c>
      <c r="K38" s="22">
        <f t="shared" si="2"/>
        <v>0</v>
      </c>
      <c r="L38" s="18">
        <f t="shared" si="1"/>
        <v>0</v>
      </c>
      <c r="M38" t="b">
        <v>0</v>
      </c>
      <c r="N38" s="2" t="s">
        <v>68</v>
      </c>
    </row>
    <row r="39" spans="1:16" x14ac:dyDescent="0.25">
      <c r="A39" t="s">
        <v>86</v>
      </c>
      <c r="C39" s="2">
        <v>38</v>
      </c>
      <c r="E39" s="20">
        <f>0.7/100</f>
        <v>6.9999999999999993E-3</v>
      </c>
      <c r="F39" s="6">
        <f>3.4/100</f>
        <v>3.4000000000000002E-2</v>
      </c>
      <c r="G39" s="22">
        <f>0.1/100</f>
        <v>1E-3</v>
      </c>
      <c r="H39" s="18"/>
      <c r="I39" s="20">
        <f t="shared" si="2"/>
        <v>0</v>
      </c>
      <c r="J39" s="6">
        <f t="shared" si="2"/>
        <v>0</v>
      </c>
      <c r="K39" s="22">
        <f t="shared" si="2"/>
        <v>0</v>
      </c>
      <c r="L39" s="18">
        <f t="shared" si="1"/>
        <v>0</v>
      </c>
      <c r="M39" t="b">
        <v>0</v>
      </c>
      <c r="N39" s="2"/>
    </row>
    <row r="40" spans="1:16" x14ac:dyDescent="0.25">
      <c r="A40" t="s">
        <v>85</v>
      </c>
      <c r="E40" s="20">
        <f>2/100</f>
        <v>0.02</v>
      </c>
      <c r="F40" s="6">
        <f>9/100</f>
        <v>0.09</v>
      </c>
      <c r="G40" s="22">
        <f>15/100</f>
        <v>0.15</v>
      </c>
      <c r="H40" s="18"/>
      <c r="I40" s="20">
        <f t="shared" si="2"/>
        <v>0</v>
      </c>
      <c r="J40" s="6">
        <f t="shared" si="2"/>
        <v>0</v>
      </c>
      <c r="K40" s="22">
        <f t="shared" si="2"/>
        <v>0</v>
      </c>
      <c r="L40" s="18">
        <f t="shared" si="1"/>
        <v>0</v>
      </c>
      <c r="M40" t="b">
        <v>0</v>
      </c>
      <c r="N40" s="2"/>
    </row>
    <row r="41" spans="1:16" x14ac:dyDescent="0.25">
      <c r="A41" t="s">
        <v>89</v>
      </c>
      <c r="E41" s="20">
        <f>1.2/100</f>
        <v>1.2E-2</v>
      </c>
      <c r="F41" s="6">
        <f>5.6/100</f>
        <v>5.5999999999999994E-2</v>
      </c>
      <c r="G41" s="22">
        <f>0.5/100</f>
        <v>5.0000000000000001E-3</v>
      </c>
      <c r="H41" s="10"/>
      <c r="I41" s="20">
        <f t="shared" si="2"/>
        <v>0</v>
      </c>
      <c r="J41" s="6">
        <f t="shared" si="2"/>
        <v>0</v>
      </c>
      <c r="K41" s="22">
        <f t="shared" si="2"/>
        <v>0</v>
      </c>
      <c r="L41" s="18">
        <f t="shared" si="1"/>
        <v>0</v>
      </c>
      <c r="M41" t="b">
        <v>0</v>
      </c>
      <c r="N41" s="2"/>
    </row>
    <row r="42" spans="1:16" x14ac:dyDescent="0.25">
      <c r="H42" t="s">
        <v>73</v>
      </c>
      <c r="I42" s="46">
        <f>SUM(I4:I38)</f>
        <v>196.535</v>
      </c>
      <c r="J42" s="47">
        <f>SUM(J4:J38)</f>
        <v>147.41999999999999</v>
      </c>
      <c r="K42" s="48">
        <f>SUM(K4:K38)</f>
        <v>42.571000000000005</v>
      </c>
      <c r="L42" t="s">
        <v>65</v>
      </c>
      <c r="N42" s="2">
        <v>67</v>
      </c>
    </row>
    <row r="43" spans="1:16" x14ac:dyDescent="0.25">
      <c r="I43" s="49">
        <f>I42-I45</f>
        <v>11.898075000000006</v>
      </c>
      <c r="J43" s="49">
        <f>J42-J45</f>
        <v>-0.28953999999998814</v>
      </c>
      <c r="K43" s="49">
        <f>K42-K45</f>
        <v>2.6894242000000048</v>
      </c>
    </row>
    <row r="44" spans="1:16" x14ac:dyDescent="0.25">
      <c r="L44" s="4">
        <f>SUM(L4:L35)</f>
        <v>1815.0099999999998</v>
      </c>
    </row>
    <row r="45" spans="1:16" x14ac:dyDescent="0.25">
      <c r="H45" t="s">
        <v>70</v>
      </c>
      <c r="I45" s="43">
        <f>1.25 * $P$36 * $N$42</f>
        <v>184.63692499999999</v>
      </c>
      <c r="J45" s="44">
        <f>1 * $P$36 * $N$42</f>
        <v>147.70953999999998</v>
      </c>
      <c r="K45" s="45">
        <f>0.27 * $P$36 * $N$42</f>
        <v>39.8815758</v>
      </c>
      <c r="L45">
        <f>11.43*P36* N42</f>
        <v>1688.3200421999998</v>
      </c>
    </row>
    <row r="46" spans="1:16" x14ac:dyDescent="0.25">
      <c r="H46" t="s">
        <v>71</v>
      </c>
      <c r="I46" s="43">
        <f>1.15 * $P$36 * $N$42</f>
        <v>169.86597099999997</v>
      </c>
      <c r="J46" s="44">
        <f>1.25 * $P$36 * $N$42</f>
        <v>184.63692499999999</v>
      </c>
      <c r="K46" s="45">
        <f>0.35 * $P$36 * $N$42</f>
        <v>51.69833899999999</v>
      </c>
      <c r="L46">
        <f>11.43*P36* N42</f>
        <v>1688.3200421999998</v>
      </c>
    </row>
    <row r="47" spans="1:16" x14ac:dyDescent="0.25">
      <c r="H47" t="s">
        <v>72</v>
      </c>
      <c r="I47" s="43">
        <f>1.1 * $P$36 * $N$42</f>
        <v>162.48049400000002</v>
      </c>
      <c r="J47" s="44">
        <f>2 * $P$36 * $N$42</f>
        <v>295.41907999999995</v>
      </c>
      <c r="K47" s="45">
        <f>0.5* $P$36 * $N$42</f>
        <v>73.854769999999988</v>
      </c>
      <c r="L47">
        <f>11.43*P36* N42</f>
        <v>1688.3200421999998</v>
      </c>
    </row>
    <row r="48" spans="1:16" x14ac:dyDescent="0.25">
      <c r="A48" t="s">
        <v>77</v>
      </c>
      <c r="B48" t="s">
        <v>78</v>
      </c>
    </row>
    <row r="49" spans="1:1" x14ac:dyDescent="0.25">
      <c r="A49" t="s">
        <v>75</v>
      </c>
    </row>
    <row r="50" spans="1:1" x14ac:dyDescent="0.25">
      <c r="A50" t="s">
        <v>74</v>
      </c>
    </row>
    <row r="51" spans="1:1" x14ac:dyDescent="0.25">
      <c r="A51">
        <f>0.25*J45</f>
        <v>36.927384999999994</v>
      </c>
    </row>
    <row r="52" spans="1:1" x14ac:dyDescent="0.25">
      <c r="A52">
        <f>0.35*J45</f>
        <v>51.69833899999999</v>
      </c>
    </row>
    <row r="53" spans="1:1" x14ac:dyDescent="0.25">
      <c r="A53" t="s">
        <v>76</v>
      </c>
    </row>
  </sheetData>
  <conditionalFormatting sqref="I43">
    <cfRule type="colorScale" priority="3">
      <colorScale>
        <cfvo type="formula" val="-$I$45"/>
        <cfvo type="num" val="0"/>
        <cfvo type="num" val="20"/>
        <color rgb="FFFF8B8B"/>
        <color rgb="FF00B050"/>
        <color rgb="FFFF8B8B"/>
      </colorScale>
    </cfRule>
  </conditionalFormatting>
  <conditionalFormatting sqref="J43">
    <cfRule type="colorScale" priority="2">
      <colorScale>
        <cfvo type="formula" val="-$J$45"/>
        <cfvo type="percentile" val="0"/>
        <cfvo type="num" val="20"/>
        <color rgb="FFFF8B8B"/>
        <color rgb="FF00B050"/>
        <color rgb="FFFF8B8B"/>
      </colorScale>
    </cfRule>
  </conditionalFormatting>
  <conditionalFormatting sqref="K43">
    <cfRule type="colorScale" priority="1">
      <colorScale>
        <cfvo type="formula" val="-$K$45"/>
        <cfvo type="percentile" val="0"/>
        <cfvo type="num" val="20"/>
        <color rgb="FFFF8B8B"/>
        <color rgb="FF00B050"/>
        <color rgb="FFFF8B8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Case à cocher 1">
              <controlPr defaultSize="0" autoFill="0" autoLine="0" autoPict="0">
                <anchor moveWithCells="1">
                  <from>
                    <xdr:col>1</xdr:col>
                    <xdr:colOff>161925</xdr:colOff>
                    <xdr:row>3</xdr:row>
                    <xdr:rowOff>0</xdr:rowOff>
                  </from>
                  <to>
                    <xdr:col>1</xdr:col>
                    <xdr:colOff>342900</xdr:colOff>
                    <xdr:row>4</xdr:row>
                    <xdr:rowOff>0</xdr:rowOff>
                  </to>
                </anchor>
              </controlPr>
            </control>
          </mc:Choice>
        </mc:AlternateContent>
        <mc:AlternateContent xmlns:mc="http://schemas.openxmlformats.org/markup-compatibility/2006">
          <mc:Choice Requires="x14">
            <control shapeId="45058" r:id="rId5" name="Case à cocher 2">
              <controlPr defaultSize="0" autoFill="0" autoLine="0" autoPict="0">
                <anchor moveWithCells="1">
                  <from>
                    <xdr:col>1</xdr:col>
                    <xdr:colOff>152400</xdr:colOff>
                    <xdr:row>3</xdr:row>
                    <xdr:rowOff>9525</xdr:rowOff>
                  </from>
                  <to>
                    <xdr:col>1</xdr:col>
                    <xdr:colOff>333375</xdr:colOff>
                    <xdr:row>4</xdr:row>
                    <xdr:rowOff>9525</xdr:rowOff>
                  </to>
                </anchor>
              </controlPr>
            </control>
          </mc:Choice>
        </mc:AlternateContent>
        <mc:AlternateContent xmlns:mc="http://schemas.openxmlformats.org/markup-compatibility/2006">
          <mc:Choice Requires="x14">
            <control shapeId="45059" r:id="rId6" name="Case à cocher 4">
              <controlPr defaultSize="0" autoFill="0" autoLine="0" autoPict="0">
                <anchor moveWithCells="1">
                  <from>
                    <xdr:col>1</xdr:col>
                    <xdr:colOff>152400</xdr:colOff>
                    <xdr:row>7</xdr:row>
                    <xdr:rowOff>0</xdr:rowOff>
                  </from>
                  <to>
                    <xdr:col>1</xdr:col>
                    <xdr:colOff>333375</xdr:colOff>
                    <xdr:row>8</xdr:row>
                    <xdr:rowOff>0</xdr:rowOff>
                  </to>
                </anchor>
              </controlPr>
            </control>
          </mc:Choice>
        </mc:AlternateContent>
        <mc:AlternateContent xmlns:mc="http://schemas.openxmlformats.org/markup-compatibility/2006">
          <mc:Choice Requires="x14">
            <control shapeId="45060" r:id="rId7" name="Case à cocher 5">
              <controlPr defaultSize="0" autoFill="0" autoLine="0" autoPict="0">
                <anchor moveWithCells="1">
                  <from>
                    <xdr:col>1</xdr:col>
                    <xdr:colOff>152400</xdr:colOff>
                    <xdr:row>8</xdr:row>
                    <xdr:rowOff>9525</xdr:rowOff>
                  </from>
                  <to>
                    <xdr:col>1</xdr:col>
                    <xdr:colOff>333375</xdr:colOff>
                    <xdr:row>9</xdr:row>
                    <xdr:rowOff>9525</xdr:rowOff>
                  </to>
                </anchor>
              </controlPr>
            </control>
          </mc:Choice>
        </mc:AlternateContent>
        <mc:AlternateContent xmlns:mc="http://schemas.openxmlformats.org/markup-compatibility/2006">
          <mc:Choice Requires="x14">
            <control shapeId="45061" r:id="rId8" name="Case à cocher 6">
              <controlPr defaultSize="0" autoFill="0" autoLine="0" autoPict="0">
                <anchor moveWithCells="1">
                  <from>
                    <xdr:col>1</xdr:col>
                    <xdr:colOff>152400</xdr:colOff>
                    <xdr:row>29</xdr:row>
                    <xdr:rowOff>190500</xdr:rowOff>
                  </from>
                  <to>
                    <xdr:col>1</xdr:col>
                    <xdr:colOff>333375</xdr:colOff>
                    <xdr:row>31</xdr:row>
                    <xdr:rowOff>0</xdr:rowOff>
                  </to>
                </anchor>
              </controlPr>
            </control>
          </mc:Choice>
        </mc:AlternateContent>
        <mc:AlternateContent xmlns:mc="http://schemas.openxmlformats.org/markup-compatibility/2006">
          <mc:Choice Requires="x14">
            <control shapeId="45062" r:id="rId9" name="Case à cocher 7">
              <controlPr defaultSize="0" autoFill="0" autoLine="0" autoPict="0">
                <anchor moveWithCells="1">
                  <from>
                    <xdr:col>1</xdr:col>
                    <xdr:colOff>152400</xdr:colOff>
                    <xdr:row>15</xdr:row>
                    <xdr:rowOff>19050</xdr:rowOff>
                  </from>
                  <to>
                    <xdr:col>1</xdr:col>
                    <xdr:colOff>333375</xdr:colOff>
                    <xdr:row>16</xdr:row>
                    <xdr:rowOff>19050</xdr:rowOff>
                  </to>
                </anchor>
              </controlPr>
            </control>
          </mc:Choice>
        </mc:AlternateContent>
        <mc:AlternateContent xmlns:mc="http://schemas.openxmlformats.org/markup-compatibility/2006">
          <mc:Choice Requires="x14">
            <control shapeId="45063" r:id="rId10" name="Case à cocher 8">
              <controlPr defaultSize="0" autoFill="0" autoLine="0" autoPict="0">
                <anchor moveWithCells="1">
                  <from>
                    <xdr:col>1</xdr:col>
                    <xdr:colOff>152400</xdr:colOff>
                    <xdr:row>16</xdr:row>
                    <xdr:rowOff>9525</xdr:rowOff>
                  </from>
                  <to>
                    <xdr:col>1</xdr:col>
                    <xdr:colOff>333375</xdr:colOff>
                    <xdr:row>17</xdr:row>
                    <xdr:rowOff>9525</xdr:rowOff>
                  </to>
                </anchor>
              </controlPr>
            </control>
          </mc:Choice>
        </mc:AlternateContent>
        <mc:AlternateContent xmlns:mc="http://schemas.openxmlformats.org/markup-compatibility/2006">
          <mc:Choice Requires="x14">
            <control shapeId="45064" r:id="rId11" name="Case à cocher 9">
              <controlPr defaultSize="0" autoFill="0" autoLine="0" autoPict="0">
                <anchor moveWithCells="1">
                  <from>
                    <xdr:col>1</xdr:col>
                    <xdr:colOff>152400</xdr:colOff>
                    <xdr:row>17</xdr:row>
                    <xdr:rowOff>9525</xdr:rowOff>
                  </from>
                  <to>
                    <xdr:col>1</xdr:col>
                    <xdr:colOff>333375</xdr:colOff>
                    <xdr:row>18</xdr:row>
                    <xdr:rowOff>9525</xdr:rowOff>
                  </to>
                </anchor>
              </controlPr>
            </control>
          </mc:Choice>
        </mc:AlternateContent>
        <mc:AlternateContent xmlns:mc="http://schemas.openxmlformats.org/markup-compatibility/2006">
          <mc:Choice Requires="x14">
            <control shapeId="45065" r:id="rId12" name="Case à cocher 10">
              <controlPr defaultSize="0" autoFill="0" autoLine="0" autoPict="0">
                <anchor moveWithCells="1">
                  <from>
                    <xdr:col>1</xdr:col>
                    <xdr:colOff>152400</xdr:colOff>
                    <xdr:row>17</xdr:row>
                    <xdr:rowOff>171450</xdr:rowOff>
                  </from>
                  <to>
                    <xdr:col>1</xdr:col>
                    <xdr:colOff>333375</xdr:colOff>
                    <xdr:row>18</xdr:row>
                    <xdr:rowOff>171450</xdr:rowOff>
                  </to>
                </anchor>
              </controlPr>
            </control>
          </mc:Choice>
        </mc:AlternateContent>
        <mc:AlternateContent xmlns:mc="http://schemas.openxmlformats.org/markup-compatibility/2006">
          <mc:Choice Requires="x14">
            <control shapeId="45066" r:id="rId13" name="Case à cocher 11">
              <controlPr defaultSize="0" autoFill="0" autoLine="0" autoPict="0">
                <anchor moveWithCells="1">
                  <from>
                    <xdr:col>1</xdr:col>
                    <xdr:colOff>152400</xdr:colOff>
                    <xdr:row>18</xdr:row>
                    <xdr:rowOff>171450</xdr:rowOff>
                  </from>
                  <to>
                    <xdr:col>1</xdr:col>
                    <xdr:colOff>333375</xdr:colOff>
                    <xdr:row>19</xdr:row>
                    <xdr:rowOff>171450</xdr:rowOff>
                  </to>
                </anchor>
              </controlPr>
            </control>
          </mc:Choice>
        </mc:AlternateContent>
        <mc:AlternateContent xmlns:mc="http://schemas.openxmlformats.org/markup-compatibility/2006">
          <mc:Choice Requires="x14">
            <control shapeId="45067" r:id="rId14" name="Check Box 11">
              <controlPr defaultSize="0" autoFill="0" autoLine="0" autoPict="0">
                <anchor moveWithCells="1">
                  <from>
                    <xdr:col>1</xdr:col>
                    <xdr:colOff>152400</xdr:colOff>
                    <xdr:row>20</xdr:row>
                    <xdr:rowOff>180975</xdr:rowOff>
                  </from>
                  <to>
                    <xdr:col>1</xdr:col>
                    <xdr:colOff>333375</xdr:colOff>
                    <xdr:row>21</xdr:row>
                    <xdr:rowOff>180975</xdr:rowOff>
                  </to>
                </anchor>
              </controlPr>
            </control>
          </mc:Choice>
        </mc:AlternateContent>
        <mc:AlternateContent xmlns:mc="http://schemas.openxmlformats.org/markup-compatibility/2006">
          <mc:Choice Requires="x14">
            <control shapeId="45068" r:id="rId15" name="Check Box 13">
              <controlPr defaultSize="0" autoFill="0" autoLine="0" autoPict="0">
                <anchor moveWithCells="1">
                  <from>
                    <xdr:col>1</xdr:col>
                    <xdr:colOff>152400</xdr:colOff>
                    <xdr:row>11</xdr:row>
                    <xdr:rowOff>180975</xdr:rowOff>
                  </from>
                  <to>
                    <xdr:col>1</xdr:col>
                    <xdr:colOff>333375</xdr:colOff>
                    <xdr:row>13</xdr:row>
                    <xdr:rowOff>0</xdr:rowOff>
                  </to>
                </anchor>
              </controlPr>
            </control>
          </mc:Choice>
        </mc:AlternateContent>
        <mc:AlternateContent xmlns:mc="http://schemas.openxmlformats.org/markup-compatibility/2006">
          <mc:Choice Requires="x14">
            <control shapeId="45069" r:id="rId16" name="Check Box 14">
              <controlPr defaultSize="0" autoFill="0" autoLine="0" autoPict="0">
                <anchor moveWithCells="1">
                  <from>
                    <xdr:col>1</xdr:col>
                    <xdr:colOff>152400</xdr:colOff>
                    <xdr:row>21</xdr:row>
                    <xdr:rowOff>180975</xdr:rowOff>
                  </from>
                  <to>
                    <xdr:col>1</xdr:col>
                    <xdr:colOff>333375</xdr:colOff>
                    <xdr:row>23</xdr:row>
                    <xdr:rowOff>0</xdr:rowOff>
                  </to>
                </anchor>
              </controlPr>
            </control>
          </mc:Choice>
        </mc:AlternateContent>
        <mc:AlternateContent xmlns:mc="http://schemas.openxmlformats.org/markup-compatibility/2006">
          <mc:Choice Requires="x14">
            <control shapeId="45070" r:id="rId17" name="Check Box 15">
              <controlPr defaultSize="0" autoFill="0" autoLine="0" autoPict="0">
                <anchor moveWithCells="1">
                  <from>
                    <xdr:col>1</xdr:col>
                    <xdr:colOff>152400</xdr:colOff>
                    <xdr:row>6</xdr:row>
                    <xdr:rowOff>0</xdr:rowOff>
                  </from>
                  <to>
                    <xdr:col>1</xdr:col>
                    <xdr:colOff>333375</xdr:colOff>
                    <xdr:row>7</xdr:row>
                    <xdr:rowOff>0</xdr:rowOff>
                  </to>
                </anchor>
              </controlPr>
            </control>
          </mc:Choice>
        </mc:AlternateContent>
        <mc:AlternateContent xmlns:mc="http://schemas.openxmlformats.org/markup-compatibility/2006">
          <mc:Choice Requires="x14">
            <control shapeId="45071" r:id="rId18" name="Check Box 16">
              <controlPr defaultSize="0" autoFill="0" autoLine="0" autoPict="0">
                <anchor moveWithCells="1">
                  <from>
                    <xdr:col>1</xdr:col>
                    <xdr:colOff>152400</xdr:colOff>
                    <xdr:row>23</xdr:row>
                    <xdr:rowOff>0</xdr:rowOff>
                  </from>
                  <to>
                    <xdr:col>1</xdr:col>
                    <xdr:colOff>333375</xdr:colOff>
                    <xdr:row>24</xdr:row>
                    <xdr:rowOff>9525</xdr:rowOff>
                  </to>
                </anchor>
              </controlPr>
            </control>
          </mc:Choice>
        </mc:AlternateContent>
        <mc:AlternateContent xmlns:mc="http://schemas.openxmlformats.org/markup-compatibility/2006">
          <mc:Choice Requires="x14">
            <control shapeId="45072" r:id="rId19" name="Check Box 17">
              <controlPr defaultSize="0" autoFill="0" autoLine="0" autoPict="0">
                <anchor moveWithCells="1">
                  <from>
                    <xdr:col>1</xdr:col>
                    <xdr:colOff>152400</xdr:colOff>
                    <xdr:row>23</xdr:row>
                    <xdr:rowOff>180975</xdr:rowOff>
                  </from>
                  <to>
                    <xdr:col>1</xdr:col>
                    <xdr:colOff>333375</xdr:colOff>
                    <xdr:row>25</xdr:row>
                    <xdr:rowOff>0</xdr:rowOff>
                  </to>
                </anchor>
              </controlPr>
            </control>
          </mc:Choice>
        </mc:AlternateContent>
        <mc:AlternateContent xmlns:mc="http://schemas.openxmlformats.org/markup-compatibility/2006">
          <mc:Choice Requires="x14">
            <control shapeId="45073" r:id="rId20" name="Check Box 18">
              <controlPr defaultSize="0" autoFill="0" autoLine="0" autoPict="0">
                <anchor moveWithCells="1">
                  <from>
                    <xdr:col>1</xdr:col>
                    <xdr:colOff>152400</xdr:colOff>
                    <xdr:row>25</xdr:row>
                    <xdr:rowOff>0</xdr:rowOff>
                  </from>
                  <to>
                    <xdr:col>1</xdr:col>
                    <xdr:colOff>333375</xdr:colOff>
                    <xdr:row>26</xdr:row>
                    <xdr:rowOff>0</xdr:rowOff>
                  </to>
                </anchor>
              </controlPr>
            </control>
          </mc:Choice>
        </mc:AlternateContent>
        <mc:AlternateContent xmlns:mc="http://schemas.openxmlformats.org/markup-compatibility/2006">
          <mc:Choice Requires="x14">
            <control shapeId="45074" r:id="rId21" name="Check Box 19">
              <controlPr defaultSize="0" autoFill="0" autoLine="0" autoPict="0">
                <anchor moveWithCells="1">
                  <from>
                    <xdr:col>1</xdr:col>
                    <xdr:colOff>152400</xdr:colOff>
                    <xdr:row>26</xdr:row>
                    <xdr:rowOff>0</xdr:rowOff>
                  </from>
                  <to>
                    <xdr:col>1</xdr:col>
                    <xdr:colOff>333375</xdr:colOff>
                    <xdr:row>27</xdr:row>
                    <xdr:rowOff>0</xdr:rowOff>
                  </to>
                </anchor>
              </controlPr>
            </control>
          </mc:Choice>
        </mc:AlternateContent>
        <mc:AlternateContent xmlns:mc="http://schemas.openxmlformats.org/markup-compatibility/2006">
          <mc:Choice Requires="x14">
            <control shapeId="45075" r:id="rId22" name="Check Box 20">
              <controlPr defaultSize="0" autoFill="0" autoLine="0" autoPict="0">
                <anchor moveWithCells="1">
                  <from>
                    <xdr:col>1</xdr:col>
                    <xdr:colOff>152400</xdr:colOff>
                    <xdr:row>27</xdr:row>
                    <xdr:rowOff>9525</xdr:rowOff>
                  </from>
                  <to>
                    <xdr:col>1</xdr:col>
                    <xdr:colOff>333375</xdr:colOff>
                    <xdr:row>28</xdr:row>
                    <xdr:rowOff>9525</xdr:rowOff>
                  </to>
                </anchor>
              </controlPr>
            </control>
          </mc:Choice>
        </mc:AlternateContent>
        <mc:AlternateContent xmlns:mc="http://schemas.openxmlformats.org/markup-compatibility/2006">
          <mc:Choice Requires="x14">
            <control shapeId="45076" r:id="rId23" name="Check Box 21">
              <controlPr defaultSize="0" autoFill="0" autoLine="0" autoPict="0">
                <anchor moveWithCells="1">
                  <from>
                    <xdr:col>1</xdr:col>
                    <xdr:colOff>152400</xdr:colOff>
                    <xdr:row>28</xdr:row>
                    <xdr:rowOff>9525</xdr:rowOff>
                  </from>
                  <to>
                    <xdr:col>1</xdr:col>
                    <xdr:colOff>333375</xdr:colOff>
                    <xdr:row>29</xdr:row>
                    <xdr:rowOff>9525</xdr:rowOff>
                  </to>
                </anchor>
              </controlPr>
            </control>
          </mc:Choice>
        </mc:AlternateContent>
        <mc:AlternateContent xmlns:mc="http://schemas.openxmlformats.org/markup-compatibility/2006">
          <mc:Choice Requires="x14">
            <control shapeId="45077" r:id="rId24" name="Check Box 21">
              <controlPr defaultSize="0" autoFill="0" autoLine="0" autoPict="0">
                <anchor moveWithCells="1">
                  <from>
                    <xdr:col>1</xdr:col>
                    <xdr:colOff>152400</xdr:colOff>
                    <xdr:row>28</xdr:row>
                    <xdr:rowOff>180975</xdr:rowOff>
                  </from>
                  <to>
                    <xdr:col>1</xdr:col>
                    <xdr:colOff>333375</xdr:colOff>
                    <xdr:row>29</xdr:row>
                    <xdr:rowOff>180975</xdr:rowOff>
                  </to>
                </anchor>
              </controlPr>
            </control>
          </mc:Choice>
        </mc:AlternateContent>
        <mc:AlternateContent xmlns:mc="http://schemas.openxmlformats.org/markup-compatibility/2006">
          <mc:Choice Requires="x14">
            <control shapeId="45078" r:id="rId25" name="Check Box 22">
              <controlPr defaultSize="0" autoFill="0" autoLine="0" autoPict="0">
                <anchor moveWithCells="1">
                  <from>
                    <xdr:col>1</xdr:col>
                    <xdr:colOff>152400</xdr:colOff>
                    <xdr:row>4</xdr:row>
                    <xdr:rowOff>0</xdr:rowOff>
                  </from>
                  <to>
                    <xdr:col>1</xdr:col>
                    <xdr:colOff>333375</xdr:colOff>
                    <xdr:row>5</xdr:row>
                    <xdr:rowOff>0</xdr:rowOff>
                  </to>
                </anchor>
              </controlPr>
            </control>
          </mc:Choice>
        </mc:AlternateContent>
        <mc:AlternateContent xmlns:mc="http://schemas.openxmlformats.org/markup-compatibility/2006">
          <mc:Choice Requires="x14">
            <control shapeId="45079" r:id="rId26" name="Check Box 23">
              <controlPr defaultSize="0" autoFill="0" autoLine="0" autoPict="0">
                <anchor moveWithCells="1">
                  <from>
                    <xdr:col>1</xdr:col>
                    <xdr:colOff>152400</xdr:colOff>
                    <xdr:row>19</xdr:row>
                    <xdr:rowOff>180975</xdr:rowOff>
                  </from>
                  <to>
                    <xdr:col>1</xdr:col>
                    <xdr:colOff>333375</xdr:colOff>
                    <xdr:row>20</xdr:row>
                    <xdr:rowOff>180975</xdr:rowOff>
                  </to>
                </anchor>
              </controlPr>
            </control>
          </mc:Choice>
        </mc:AlternateContent>
        <mc:AlternateContent xmlns:mc="http://schemas.openxmlformats.org/markup-compatibility/2006">
          <mc:Choice Requires="x14">
            <control shapeId="45080" r:id="rId27" name="Check Box 24">
              <controlPr defaultSize="0" autoFill="0" autoLine="0" autoPict="0">
                <anchor moveWithCells="1">
                  <from>
                    <xdr:col>1</xdr:col>
                    <xdr:colOff>152400</xdr:colOff>
                    <xdr:row>10</xdr:row>
                    <xdr:rowOff>190500</xdr:rowOff>
                  </from>
                  <to>
                    <xdr:col>1</xdr:col>
                    <xdr:colOff>333375</xdr:colOff>
                    <xdr:row>12</xdr:row>
                    <xdr:rowOff>0</xdr:rowOff>
                  </to>
                </anchor>
              </controlPr>
            </control>
          </mc:Choice>
        </mc:AlternateContent>
        <mc:AlternateContent xmlns:mc="http://schemas.openxmlformats.org/markup-compatibility/2006">
          <mc:Choice Requires="x14">
            <control shapeId="45081" r:id="rId28" name="Check Box 25">
              <controlPr defaultSize="0" autoFill="0" autoLine="0" autoPict="0">
                <anchor moveWithCells="1">
                  <from>
                    <xdr:col>1</xdr:col>
                    <xdr:colOff>152400</xdr:colOff>
                    <xdr:row>31</xdr:row>
                    <xdr:rowOff>0</xdr:rowOff>
                  </from>
                  <to>
                    <xdr:col>1</xdr:col>
                    <xdr:colOff>333375</xdr:colOff>
                    <xdr:row>32</xdr:row>
                    <xdr:rowOff>0</xdr:rowOff>
                  </to>
                </anchor>
              </controlPr>
            </control>
          </mc:Choice>
        </mc:AlternateContent>
        <mc:AlternateContent xmlns:mc="http://schemas.openxmlformats.org/markup-compatibility/2006">
          <mc:Choice Requires="x14">
            <control shapeId="45082" r:id="rId29" name="Check Box 26">
              <controlPr defaultSize="0" autoFill="0" autoLine="0" autoPict="0">
                <anchor moveWithCells="1">
                  <from>
                    <xdr:col>1</xdr:col>
                    <xdr:colOff>152400</xdr:colOff>
                    <xdr:row>32</xdr:row>
                    <xdr:rowOff>0</xdr:rowOff>
                  </from>
                  <to>
                    <xdr:col>1</xdr:col>
                    <xdr:colOff>333375</xdr:colOff>
                    <xdr:row>33</xdr:row>
                    <xdr:rowOff>0</xdr:rowOff>
                  </to>
                </anchor>
              </controlPr>
            </control>
          </mc:Choice>
        </mc:AlternateContent>
        <mc:AlternateContent xmlns:mc="http://schemas.openxmlformats.org/markup-compatibility/2006">
          <mc:Choice Requires="x14">
            <control shapeId="45083" r:id="rId30" name="Check Box 27">
              <controlPr defaultSize="0" autoFill="0" autoLine="0" autoPict="0">
                <anchor moveWithCells="1">
                  <from>
                    <xdr:col>1</xdr:col>
                    <xdr:colOff>152400</xdr:colOff>
                    <xdr:row>33</xdr:row>
                    <xdr:rowOff>0</xdr:rowOff>
                  </from>
                  <to>
                    <xdr:col>1</xdr:col>
                    <xdr:colOff>333375</xdr:colOff>
                    <xdr:row>34</xdr:row>
                    <xdr:rowOff>0</xdr:rowOff>
                  </to>
                </anchor>
              </controlPr>
            </control>
          </mc:Choice>
        </mc:AlternateContent>
        <mc:AlternateContent xmlns:mc="http://schemas.openxmlformats.org/markup-compatibility/2006">
          <mc:Choice Requires="x14">
            <control shapeId="45084" r:id="rId31" name="Check Box 28">
              <controlPr defaultSize="0" autoFill="0" autoLine="0" autoPict="0">
                <anchor moveWithCells="1">
                  <from>
                    <xdr:col>1</xdr:col>
                    <xdr:colOff>152400</xdr:colOff>
                    <xdr:row>33</xdr:row>
                    <xdr:rowOff>171450</xdr:rowOff>
                  </from>
                  <to>
                    <xdr:col>1</xdr:col>
                    <xdr:colOff>333375</xdr:colOff>
                    <xdr:row>34</xdr:row>
                    <xdr:rowOff>171450</xdr:rowOff>
                  </to>
                </anchor>
              </controlPr>
            </control>
          </mc:Choice>
        </mc:AlternateContent>
        <mc:AlternateContent xmlns:mc="http://schemas.openxmlformats.org/markup-compatibility/2006">
          <mc:Choice Requires="x14">
            <control shapeId="45085" r:id="rId32" name="Check Box 29">
              <controlPr defaultSize="0" autoFill="0" autoLine="0" autoPict="0">
                <anchor moveWithCells="1">
                  <from>
                    <xdr:col>1</xdr:col>
                    <xdr:colOff>152400</xdr:colOff>
                    <xdr:row>5</xdr:row>
                    <xdr:rowOff>0</xdr:rowOff>
                  </from>
                  <to>
                    <xdr:col>1</xdr:col>
                    <xdr:colOff>333375</xdr:colOff>
                    <xdr:row>6</xdr:row>
                    <xdr:rowOff>0</xdr:rowOff>
                  </to>
                </anchor>
              </controlPr>
            </control>
          </mc:Choice>
        </mc:AlternateContent>
        <mc:AlternateContent xmlns:mc="http://schemas.openxmlformats.org/markup-compatibility/2006">
          <mc:Choice Requires="x14">
            <control shapeId="45086" r:id="rId33" name="Check Box 30">
              <controlPr defaultSize="0" autoFill="0" autoLine="0" autoPict="0">
                <anchor moveWithCells="1">
                  <from>
                    <xdr:col>1</xdr:col>
                    <xdr:colOff>152400</xdr:colOff>
                    <xdr:row>8</xdr:row>
                    <xdr:rowOff>180975</xdr:rowOff>
                  </from>
                  <to>
                    <xdr:col>1</xdr:col>
                    <xdr:colOff>333375</xdr:colOff>
                    <xdr:row>9</xdr:row>
                    <xdr:rowOff>180975</xdr:rowOff>
                  </to>
                </anchor>
              </controlPr>
            </control>
          </mc:Choice>
        </mc:AlternateContent>
        <mc:AlternateContent xmlns:mc="http://schemas.openxmlformats.org/markup-compatibility/2006">
          <mc:Choice Requires="x14">
            <control shapeId="45087" r:id="rId34" name="Check Box 31">
              <controlPr defaultSize="0" autoFill="0" autoLine="0" autoPict="0">
                <anchor moveWithCells="1">
                  <from>
                    <xdr:col>1</xdr:col>
                    <xdr:colOff>152400</xdr:colOff>
                    <xdr:row>12</xdr:row>
                    <xdr:rowOff>171450</xdr:rowOff>
                  </from>
                  <to>
                    <xdr:col>1</xdr:col>
                    <xdr:colOff>333375</xdr:colOff>
                    <xdr:row>13</xdr:row>
                    <xdr:rowOff>180975</xdr:rowOff>
                  </to>
                </anchor>
              </controlPr>
            </control>
          </mc:Choice>
        </mc:AlternateContent>
        <mc:AlternateContent xmlns:mc="http://schemas.openxmlformats.org/markup-compatibility/2006">
          <mc:Choice Requires="x14">
            <control shapeId="45088" r:id="rId35" name="Check Box 32">
              <controlPr defaultSize="0" autoFill="0" autoLine="0" autoPict="0">
                <anchor moveWithCells="1">
                  <from>
                    <xdr:col>1</xdr:col>
                    <xdr:colOff>152400</xdr:colOff>
                    <xdr:row>34</xdr:row>
                    <xdr:rowOff>180975</xdr:rowOff>
                  </from>
                  <to>
                    <xdr:col>1</xdr:col>
                    <xdr:colOff>333375</xdr:colOff>
                    <xdr:row>35</xdr:row>
                    <xdr:rowOff>180975</xdr:rowOff>
                  </to>
                </anchor>
              </controlPr>
            </control>
          </mc:Choice>
        </mc:AlternateContent>
        <mc:AlternateContent xmlns:mc="http://schemas.openxmlformats.org/markup-compatibility/2006">
          <mc:Choice Requires="x14">
            <control shapeId="45089" r:id="rId36" name="Check Box 33">
              <controlPr defaultSize="0" autoFill="0" autoLine="0" autoPict="0">
                <anchor moveWithCells="1">
                  <from>
                    <xdr:col>1</xdr:col>
                    <xdr:colOff>152400</xdr:colOff>
                    <xdr:row>35</xdr:row>
                    <xdr:rowOff>180975</xdr:rowOff>
                  </from>
                  <to>
                    <xdr:col>1</xdr:col>
                    <xdr:colOff>333375</xdr:colOff>
                    <xdr:row>36</xdr:row>
                    <xdr:rowOff>180975</xdr:rowOff>
                  </to>
                </anchor>
              </controlPr>
            </control>
          </mc:Choice>
        </mc:AlternateContent>
        <mc:AlternateContent xmlns:mc="http://schemas.openxmlformats.org/markup-compatibility/2006">
          <mc:Choice Requires="x14">
            <control shapeId="45090" r:id="rId37" name="Check Box 34">
              <controlPr defaultSize="0" autoFill="0" autoLine="0" autoPict="0">
                <anchor moveWithCells="1">
                  <from>
                    <xdr:col>1</xdr:col>
                    <xdr:colOff>152400</xdr:colOff>
                    <xdr:row>13</xdr:row>
                    <xdr:rowOff>161925</xdr:rowOff>
                  </from>
                  <to>
                    <xdr:col>1</xdr:col>
                    <xdr:colOff>333375</xdr:colOff>
                    <xdr:row>14</xdr:row>
                    <xdr:rowOff>171450</xdr:rowOff>
                  </to>
                </anchor>
              </controlPr>
            </control>
          </mc:Choice>
        </mc:AlternateContent>
        <mc:AlternateContent xmlns:mc="http://schemas.openxmlformats.org/markup-compatibility/2006">
          <mc:Choice Requires="x14">
            <control shapeId="45091" r:id="rId38" name="Check Box 35">
              <controlPr defaultSize="0" autoFill="0" autoLine="0" autoPict="0">
                <anchor moveWithCells="1">
                  <from>
                    <xdr:col>1</xdr:col>
                    <xdr:colOff>142875</xdr:colOff>
                    <xdr:row>36</xdr:row>
                    <xdr:rowOff>180975</xdr:rowOff>
                  </from>
                  <to>
                    <xdr:col>1</xdr:col>
                    <xdr:colOff>323850</xdr:colOff>
                    <xdr:row>37</xdr:row>
                    <xdr:rowOff>180975</xdr:rowOff>
                  </to>
                </anchor>
              </controlPr>
            </control>
          </mc:Choice>
        </mc:AlternateContent>
        <mc:AlternateContent xmlns:mc="http://schemas.openxmlformats.org/markup-compatibility/2006">
          <mc:Choice Requires="x14">
            <control shapeId="45092" r:id="rId39" name="Check Box 36">
              <controlPr defaultSize="0" autoFill="0" autoLine="0" autoPict="0">
                <anchor moveWithCells="1">
                  <from>
                    <xdr:col>1</xdr:col>
                    <xdr:colOff>142875</xdr:colOff>
                    <xdr:row>38</xdr:row>
                    <xdr:rowOff>171450</xdr:rowOff>
                  </from>
                  <to>
                    <xdr:col>1</xdr:col>
                    <xdr:colOff>323850</xdr:colOff>
                    <xdr:row>39</xdr:row>
                    <xdr:rowOff>171450</xdr:rowOff>
                  </to>
                </anchor>
              </controlPr>
            </control>
          </mc:Choice>
        </mc:AlternateContent>
        <mc:AlternateContent xmlns:mc="http://schemas.openxmlformats.org/markup-compatibility/2006">
          <mc:Choice Requires="x14">
            <control shapeId="45093" r:id="rId40" name="Check Box 37">
              <controlPr defaultSize="0" autoFill="0" autoLine="0" autoPict="0">
                <anchor moveWithCells="1">
                  <from>
                    <xdr:col>1</xdr:col>
                    <xdr:colOff>161925</xdr:colOff>
                    <xdr:row>37</xdr:row>
                    <xdr:rowOff>180975</xdr:rowOff>
                  </from>
                  <to>
                    <xdr:col>1</xdr:col>
                    <xdr:colOff>342900</xdr:colOff>
                    <xdr:row>38</xdr:row>
                    <xdr:rowOff>180975</xdr:rowOff>
                  </to>
                </anchor>
              </controlPr>
            </control>
          </mc:Choice>
        </mc:AlternateContent>
        <mc:AlternateContent xmlns:mc="http://schemas.openxmlformats.org/markup-compatibility/2006">
          <mc:Choice Requires="x14">
            <control shapeId="45094" r:id="rId41" name="Check Box 38">
              <controlPr defaultSize="0" autoFill="0" autoLine="0" autoPict="0">
                <anchor moveWithCells="1">
                  <from>
                    <xdr:col>1</xdr:col>
                    <xdr:colOff>142875</xdr:colOff>
                    <xdr:row>9</xdr:row>
                    <xdr:rowOff>171450</xdr:rowOff>
                  </from>
                  <to>
                    <xdr:col>1</xdr:col>
                    <xdr:colOff>323850</xdr:colOff>
                    <xdr:row>10</xdr:row>
                    <xdr:rowOff>171450</xdr:rowOff>
                  </to>
                </anchor>
              </controlPr>
            </control>
          </mc:Choice>
        </mc:AlternateContent>
        <mc:AlternateContent xmlns:mc="http://schemas.openxmlformats.org/markup-compatibility/2006">
          <mc:Choice Requires="x14">
            <control shapeId="45095" r:id="rId42" name="Check Box 39">
              <controlPr defaultSize="0" autoFill="0" autoLine="0" autoPict="0">
                <anchor moveWithCells="1">
                  <from>
                    <xdr:col>1</xdr:col>
                    <xdr:colOff>142875</xdr:colOff>
                    <xdr:row>39</xdr:row>
                    <xdr:rowOff>180975</xdr:rowOff>
                  </from>
                  <to>
                    <xdr:col>1</xdr:col>
                    <xdr:colOff>323850</xdr:colOff>
                    <xdr:row>40</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3"/>
  <dimension ref="A3:P54"/>
  <sheetViews>
    <sheetView topLeftCell="A7" zoomScale="85" zoomScaleNormal="85" workbookViewId="0">
      <selection activeCell="I48" sqref="I48:K48"/>
    </sheetView>
  </sheetViews>
  <sheetFormatPr defaultColWidth="11.42578125" defaultRowHeight="15" x14ac:dyDescent="0.25"/>
  <cols>
    <col min="1" max="1" width="18.5703125" customWidth="1"/>
    <col min="2" max="2" width="5.85546875" customWidth="1"/>
    <col min="3" max="3" width="11.42578125" style="2"/>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6" x14ac:dyDescent="0.25">
      <c r="C3" s="3" t="s">
        <v>1</v>
      </c>
      <c r="D3" s="3" t="s">
        <v>24</v>
      </c>
      <c r="E3" s="19" t="s">
        <v>16</v>
      </c>
      <c r="F3" s="16" t="s">
        <v>15</v>
      </c>
      <c r="G3" s="21" t="s">
        <v>14</v>
      </c>
      <c r="H3" s="17" t="s">
        <v>0</v>
      </c>
      <c r="I3" s="19" t="s">
        <v>29</v>
      </c>
      <c r="J3" s="16" t="s">
        <v>30</v>
      </c>
      <c r="K3" s="21" t="s">
        <v>14</v>
      </c>
      <c r="L3" s="17" t="s">
        <v>31</v>
      </c>
    </row>
    <row r="4" spans="1:16" x14ac:dyDescent="0.25">
      <c r="A4" s="32" t="s">
        <v>3</v>
      </c>
      <c r="B4" s="32"/>
      <c r="C4" s="33">
        <f>64</f>
        <v>64</v>
      </c>
      <c r="E4" s="20">
        <f>12/100</f>
        <v>0.12</v>
      </c>
      <c r="F4" s="6">
        <f>60/100</f>
        <v>0.6</v>
      </c>
      <c r="G4" s="22">
        <f>7.1/100</f>
        <v>7.0999999999999994E-2</v>
      </c>
      <c r="H4" s="18">
        <f>371/100</f>
        <v>3.71</v>
      </c>
      <c r="I4" s="20">
        <f t="shared" ref="I4:K35" si="0">IF($M4=TRUE,E4*$C4,0)</f>
        <v>7.68</v>
      </c>
      <c r="J4" s="6">
        <f t="shared" si="0"/>
        <v>38.4</v>
      </c>
      <c r="K4" s="22">
        <f t="shared" si="0"/>
        <v>4.5439999999999996</v>
      </c>
      <c r="L4" s="18">
        <f t="shared" ref="L4:L41" si="1">IF($M4=TRUE, H4*C4,0)</f>
        <v>237.44</v>
      </c>
      <c r="M4" t="b">
        <v>1</v>
      </c>
    </row>
    <row r="5" spans="1:16" x14ac:dyDescent="0.25">
      <c r="A5" s="34" t="s">
        <v>33</v>
      </c>
      <c r="B5" s="32"/>
      <c r="C5" s="33">
        <f>143</f>
        <v>143</v>
      </c>
      <c r="E5" s="20">
        <f>11/100</f>
        <v>0.11</v>
      </c>
      <c r="F5" s="6">
        <f>0.7/100</f>
        <v>6.9999999999999993E-3</v>
      </c>
      <c r="G5" s="22">
        <f>0.2/100</f>
        <v>2E-3</v>
      </c>
      <c r="H5" s="18">
        <f>52/100</f>
        <v>0.52</v>
      </c>
      <c r="I5" s="20">
        <f t="shared" si="0"/>
        <v>15.73</v>
      </c>
      <c r="J5" s="6">
        <f t="shared" si="0"/>
        <v>1.0009999999999999</v>
      </c>
      <c r="K5" s="22">
        <f t="shared" si="0"/>
        <v>0.28600000000000003</v>
      </c>
      <c r="L5" s="18">
        <f>IF($M5=TRUE, H5*C5,0)</f>
        <v>74.36</v>
      </c>
      <c r="M5" t="b">
        <v>1</v>
      </c>
    </row>
    <row r="6" spans="1:16" x14ac:dyDescent="0.25">
      <c r="A6" s="34" t="s">
        <v>67</v>
      </c>
      <c r="B6" s="32"/>
      <c r="C6" s="33">
        <f>36</f>
        <v>36</v>
      </c>
      <c r="E6" s="20">
        <f>2.4/100</f>
        <v>2.4E-2</v>
      </c>
      <c r="F6" s="6">
        <v>0</v>
      </c>
      <c r="G6" s="22">
        <f>27/100</f>
        <v>0.27</v>
      </c>
      <c r="H6" s="18">
        <f>350/100</f>
        <v>3.5</v>
      </c>
      <c r="I6" s="20">
        <f t="shared" si="0"/>
        <v>0.86399999999999999</v>
      </c>
      <c r="J6" s="6">
        <f t="shared" si="0"/>
        <v>0</v>
      </c>
      <c r="K6" s="22">
        <f t="shared" si="0"/>
        <v>9.7200000000000006</v>
      </c>
      <c r="L6" s="18">
        <f>IF($M6=TRUE, H6*C6,0)</f>
        <v>126</v>
      </c>
      <c r="M6" t="b">
        <v>1</v>
      </c>
      <c r="P6">
        <v>1</v>
      </c>
    </row>
    <row r="7" spans="1:16" x14ac:dyDescent="0.25">
      <c r="A7" s="32" t="s">
        <v>18</v>
      </c>
      <c r="B7" s="32"/>
      <c r="C7" s="33">
        <f>150</f>
        <v>150</v>
      </c>
      <c r="E7" s="20">
        <f>3.2/100</f>
        <v>3.2000000000000001E-2</v>
      </c>
      <c r="F7" s="6">
        <f>4.8/100</f>
        <v>4.8000000000000001E-2</v>
      </c>
      <c r="G7" s="22">
        <f>1.6/100</f>
        <v>1.6E-2</v>
      </c>
      <c r="H7" s="18">
        <f>46/100</f>
        <v>0.46</v>
      </c>
      <c r="I7" s="20">
        <f t="shared" si="0"/>
        <v>4.8</v>
      </c>
      <c r="J7" s="6">
        <f t="shared" si="0"/>
        <v>7.2</v>
      </c>
      <c r="K7" s="22">
        <f t="shared" si="0"/>
        <v>2.4</v>
      </c>
      <c r="L7" s="18">
        <f>IF($M7=TRUE, H7*C7,0)</f>
        <v>69</v>
      </c>
      <c r="M7" t="b">
        <v>1</v>
      </c>
    </row>
    <row r="8" spans="1:16" x14ac:dyDescent="0.25">
      <c r="A8" s="36" t="s">
        <v>5</v>
      </c>
      <c r="B8" s="36"/>
      <c r="C8" s="38">
        <f>166+175</f>
        <v>341</v>
      </c>
      <c r="E8" s="20">
        <f>20.7/100</f>
        <v>0.20699999999999999</v>
      </c>
      <c r="F8" s="6">
        <f>2.2/100</f>
        <v>2.2000000000000002E-2</v>
      </c>
      <c r="G8" s="22">
        <f>0.9/100</f>
        <v>9.0000000000000011E-3</v>
      </c>
      <c r="H8" s="18">
        <f>94/100</f>
        <v>0.94</v>
      </c>
      <c r="I8" s="20">
        <f t="shared" si="0"/>
        <v>70.587000000000003</v>
      </c>
      <c r="J8" s="6">
        <f t="shared" si="0"/>
        <v>7.5020000000000007</v>
      </c>
      <c r="K8" s="22">
        <f t="shared" si="0"/>
        <v>3.0690000000000004</v>
      </c>
      <c r="L8" s="18">
        <f t="shared" si="1"/>
        <v>320.53999999999996</v>
      </c>
      <c r="M8" t="b">
        <v>1</v>
      </c>
    </row>
    <row r="9" spans="1:16" x14ac:dyDescent="0.25">
      <c r="A9" s="36" t="s">
        <v>6</v>
      </c>
      <c r="B9" s="36"/>
      <c r="C9" s="38">
        <f>256/2*2</f>
        <v>256</v>
      </c>
      <c r="E9" s="20">
        <f>20/100</f>
        <v>0.2</v>
      </c>
      <c r="F9" s="6">
        <f>0.2/100</f>
        <v>2E-3</v>
      </c>
      <c r="G9" s="22">
        <f>5/100</f>
        <v>0.05</v>
      </c>
      <c r="H9" s="18">
        <f>126/100</f>
        <v>1.26</v>
      </c>
      <c r="I9" s="20">
        <f t="shared" si="0"/>
        <v>51.2</v>
      </c>
      <c r="J9" s="6">
        <f t="shared" si="0"/>
        <v>0.51200000000000001</v>
      </c>
      <c r="K9" s="22">
        <f t="shared" si="0"/>
        <v>12.8</v>
      </c>
      <c r="L9" s="18">
        <f t="shared" si="1"/>
        <v>322.56</v>
      </c>
      <c r="M9" t="b">
        <v>1</v>
      </c>
    </row>
    <row r="10" spans="1:16" x14ac:dyDescent="0.25">
      <c r="A10" s="36" t="s">
        <v>57</v>
      </c>
      <c r="B10" s="36"/>
      <c r="C10" s="38">
        <v>129</v>
      </c>
      <c r="E10" s="20">
        <f>19/100</f>
        <v>0.19</v>
      </c>
      <c r="F10" s="6">
        <v>0</v>
      </c>
      <c r="G10" s="22">
        <f>12/100</f>
        <v>0.12</v>
      </c>
      <c r="H10" s="18">
        <f>184/100</f>
        <v>1.84</v>
      </c>
      <c r="I10" s="20">
        <f t="shared" si="0"/>
        <v>0</v>
      </c>
      <c r="J10" s="6">
        <f t="shared" si="0"/>
        <v>0</v>
      </c>
      <c r="K10" s="22">
        <f t="shared" si="0"/>
        <v>0</v>
      </c>
      <c r="L10" s="18">
        <f t="shared" si="1"/>
        <v>0</v>
      </c>
      <c r="M10" t="b">
        <v>0</v>
      </c>
    </row>
    <row r="11" spans="1:16" x14ac:dyDescent="0.25">
      <c r="A11" s="36" t="s">
        <v>87</v>
      </c>
      <c r="B11" s="36"/>
      <c r="C11" s="38"/>
      <c r="E11" s="20">
        <f>25/100</f>
        <v>0.25</v>
      </c>
      <c r="F11" s="6">
        <f>0</f>
        <v>0</v>
      </c>
      <c r="G11" s="22">
        <f>11/100</f>
        <v>0.11</v>
      </c>
      <c r="H11" s="18">
        <f>208/100</f>
        <v>2.08</v>
      </c>
      <c r="I11" s="20">
        <f t="shared" si="0"/>
        <v>0</v>
      </c>
      <c r="J11" s="6">
        <f t="shared" si="0"/>
        <v>0</v>
      </c>
      <c r="K11" s="22">
        <f t="shared" si="0"/>
        <v>0</v>
      </c>
      <c r="L11" s="18">
        <f t="shared" si="1"/>
        <v>0</v>
      </c>
      <c r="M11" t="b">
        <v>0</v>
      </c>
    </row>
    <row r="12" spans="1:16" x14ac:dyDescent="0.25">
      <c r="A12" s="36" t="s">
        <v>59</v>
      </c>
      <c r="B12" s="36"/>
      <c r="C12" s="38">
        <v>360</v>
      </c>
      <c r="E12" s="20">
        <f>20/100</f>
        <v>0.2</v>
      </c>
      <c r="F12" s="6">
        <v>0</v>
      </c>
      <c r="G12" s="22">
        <f>5/100</f>
        <v>0.05</v>
      </c>
      <c r="H12" s="18">
        <f>121/100</f>
        <v>1.21</v>
      </c>
      <c r="I12" s="20">
        <f t="shared" si="0"/>
        <v>0</v>
      </c>
      <c r="J12" s="6">
        <f t="shared" si="0"/>
        <v>0</v>
      </c>
      <c r="K12" s="22">
        <f t="shared" si="0"/>
        <v>0</v>
      </c>
      <c r="L12" s="18">
        <f t="shared" si="1"/>
        <v>0</v>
      </c>
      <c r="M12" t="b">
        <v>0</v>
      </c>
    </row>
    <row r="13" spans="1:16" x14ac:dyDescent="0.25">
      <c r="A13" s="36" t="s">
        <v>13</v>
      </c>
      <c r="B13" s="36"/>
      <c r="C13" s="38">
        <v>1</v>
      </c>
      <c r="E13" s="20">
        <v>20</v>
      </c>
      <c r="F13" s="6">
        <v>1</v>
      </c>
      <c r="G13" s="22">
        <v>1</v>
      </c>
      <c r="H13" s="18">
        <v>93</v>
      </c>
      <c r="I13" s="20">
        <f t="shared" si="0"/>
        <v>0</v>
      </c>
      <c r="J13" s="6">
        <f t="shared" si="0"/>
        <v>0</v>
      </c>
      <c r="K13" s="22">
        <f t="shared" si="0"/>
        <v>0</v>
      </c>
      <c r="L13" s="18">
        <f t="shared" si="1"/>
        <v>0</v>
      </c>
      <c r="M13" t="b">
        <v>0</v>
      </c>
    </row>
    <row r="14" spans="1:16" x14ac:dyDescent="0.25">
      <c r="A14" s="36" t="s">
        <v>80</v>
      </c>
      <c r="B14" s="36"/>
      <c r="C14" s="38">
        <v>126</v>
      </c>
      <c r="E14" s="20">
        <f>24/100</f>
        <v>0.24</v>
      </c>
      <c r="F14" s="6">
        <f>1/100</f>
        <v>0.01</v>
      </c>
      <c r="G14" s="22">
        <f>1/100</f>
        <v>0.01</v>
      </c>
      <c r="H14" s="18">
        <f>105/100</f>
        <v>1.05</v>
      </c>
      <c r="I14" s="20">
        <f t="shared" si="0"/>
        <v>0</v>
      </c>
      <c r="J14" s="6">
        <f t="shared" si="0"/>
        <v>0</v>
      </c>
      <c r="K14" s="22">
        <f t="shared" si="0"/>
        <v>0</v>
      </c>
      <c r="L14" s="18">
        <f t="shared" si="1"/>
        <v>0</v>
      </c>
      <c r="M14" t="b">
        <v>0</v>
      </c>
    </row>
    <row r="15" spans="1:16" x14ac:dyDescent="0.25">
      <c r="A15" s="36" t="s">
        <v>82</v>
      </c>
      <c r="B15" s="36"/>
      <c r="C15" s="38">
        <v>86</v>
      </c>
      <c r="E15" s="20">
        <f>24/100</f>
        <v>0.24</v>
      </c>
      <c r="F15" s="6">
        <v>0</v>
      </c>
      <c r="G15" s="22">
        <f>0</f>
        <v>0</v>
      </c>
      <c r="H15" s="18">
        <f>24*4/100</f>
        <v>0.96</v>
      </c>
      <c r="I15" s="20">
        <f t="shared" si="0"/>
        <v>20.64</v>
      </c>
      <c r="J15" s="6">
        <f t="shared" si="0"/>
        <v>0</v>
      </c>
      <c r="K15" s="22">
        <f t="shared" si="0"/>
        <v>0</v>
      </c>
      <c r="L15" s="18">
        <f t="shared" si="1"/>
        <v>82.56</v>
      </c>
      <c r="M15" t="b">
        <v>1</v>
      </c>
    </row>
    <row r="16" spans="1:16" x14ac:dyDescent="0.25">
      <c r="A16" t="s">
        <v>7</v>
      </c>
      <c r="C16" s="28">
        <v>50</v>
      </c>
      <c r="E16" s="20">
        <f>12.68/100</f>
        <v>0.1268</v>
      </c>
      <c r="F16" s="6">
        <f>72.83/100</f>
        <v>0.72829999999999995</v>
      </c>
      <c r="G16" s="22">
        <f>1.05/100</f>
        <v>1.0500000000000001E-2</v>
      </c>
      <c r="H16" s="18">
        <f>360/100</f>
        <v>3.6</v>
      </c>
      <c r="I16" s="20">
        <f t="shared" si="0"/>
        <v>0</v>
      </c>
      <c r="J16" s="6">
        <f t="shared" si="0"/>
        <v>0</v>
      </c>
      <c r="K16" s="22">
        <f t="shared" si="0"/>
        <v>0</v>
      </c>
      <c r="L16" s="18">
        <f t="shared" si="1"/>
        <v>0</v>
      </c>
      <c r="M16" t="b">
        <v>0</v>
      </c>
    </row>
    <row r="17" spans="1:13" x14ac:dyDescent="0.25">
      <c r="A17" t="s">
        <v>8</v>
      </c>
      <c r="C17" s="28">
        <v>39</v>
      </c>
      <c r="E17" s="20">
        <f>8.8/100</f>
        <v>8.8000000000000009E-2</v>
      </c>
      <c r="F17" s="6">
        <f>72/100</f>
        <v>0.72</v>
      </c>
      <c r="G17" s="22">
        <f>2.2/100</f>
        <v>2.2000000000000002E-2</v>
      </c>
      <c r="H17" s="18">
        <f>343/100</f>
        <v>3.43</v>
      </c>
      <c r="I17" s="20">
        <f t="shared" si="0"/>
        <v>0</v>
      </c>
      <c r="J17" s="6">
        <f t="shared" si="0"/>
        <v>0</v>
      </c>
      <c r="K17" s="22">
        <f t="shared" si="0"/>
        <v>0</v>
      </c>
      <c r="L17" s="18">
        <f t="shared" si="1"/>
        <v>0</v>
      </c>
      <c r="M17" t="b">
        <v>0</v>
      </c>
    </row>
    <row r="18" spans="1:13" x14ac:dyDescent="0.25">
      <c r="A18" s="35" t="s">
        <v>9</v>
      </c>
      <c r="B18" s="35"/>
      <c r="C18" s="39">
        <f>100*2+100</f>
        <v>300</v>
      </c>
      <c r="E18" s="20">
        <f>1.5/100</f>
        <v>1.4999999999999999E-2</v>
      </c>
      <c r="F18" s="6">
        <f>20/100</f>
        <v>0.2</v>
      </c>
      <c r="G18" s="22">
        <v>0</v>
      </c>
      <c r="H18" s="18">
        <f>90/100</f>
        <v>0.9</v>
      </c>
      <c r="I18" s="20">
        <f t="shared" si="0"/>
        <v>4.5</v>
      </c>
      <c r="J18" s="6">
        <f t="shared" si="0"/>
        <v>60</v>
      </c>
      <c r="K18" s="22">
        <f t="shared" si="0"/>
        <v>0</v>
      </c>
      <c r="L18" s="18">
        <f t="shared" si="1"/>
        <v>270</v>
      </c>
      <c r="M18" t="b">
        <v>1</v>
      </c>
    </row>
    <row r="19" spans="1:13" x14ac:dyDescent="0.25">
      <c r="A19" s="35" t="s">
        <v>10</v>
      </c>
      <c r="B19" s="35"/>
      <c r="C19" s="39">
        <v>69</v>
      </c>
      <c r="E19" s="20">
        <f>1.6/100</f>
        <v>1.6E-2</v>
      </c>
      <c r="F19" s="6">
        <f>11/100</f>
        <v>0.11</v>
      </c>
      <c r="G19" s="22">
        <f>0.3/100</f>
        <v>3.0000000000000001E-3</v>
      </c>
      <c r="H19" s="18">
        <f>53/100</f>
        <v>0.53</v>
      </c>
      <c r="I19" s="20">
        <f t="shared" si="0"/>
        <v>0</v>
      </c>
      <c r="J19" s="6">
        <f t="shared" si="0"/>
        <v>0</v>
      </c>
      <c r="K19" s="22">
        <f t="shared" si="0"/>
        <v>0</v>
      </c>
      <c r="L19" s="18">
        <f t="shared" si="1"/>
        <v>0</v>
      </c>
      <c r="M19" t="b">
        <v>0</v>
      </c>
    </row>
    <row r="20" spans="1:13" x14ac:dyDescent="0.25">
      <c r="A20" s="35" t="s">
        <v>11</v>
      </c>
      <c r="B20" s="35"/>
      <c r="C20" s="39">
        <f>140</f>
        <v>140</v>
      </c>
      <c r="E20" s="20">
        <f>1/100</f>
        <v>0.01</v>
      </c>
      <c r="F20" s="6">
        <f>9/100</f>
        <v>0.09</v>
      </c>
      <c r="G20" s="22">
        <f>0.2/100</f>
        <v>2E-3</v>
      </c>
      <c r="H20" s="18">
        <f>45/100</f>
        <v>0.45</v>
      </c>
      <c r="I20" s="20">
        <f t="shared" si="0"/>
        <v>1.4000000000000001</v>
      </c>
      <c r="J20" s="6">
        <f t="shared" si="0"/>
        <v>12.6</v>
      </c>
      <c r="K20" s="22">
        <f t="shared" si="0"/>
        <v>0.28000000000000003</v>
      </c>
      <c r="L20" s="18">
        <f t="shared" si="1"/>
        <v>63</v>
      </c>
      <c r="M20" t="b">
        <v>1</v>
      </c>
    </row>
    <row r="21" spans="1:13" x14ac:dyDescent="0.25">
      <c r="A21" t="s">
        <v>58</v>
      </c>
      <c r="C21" s="28">
        <v>180</v>
      </c>
      <c r="E21" s="20">
        <f>1.6/100</f>
        <v>1.6E-2</v>
      </c>
      <c r="F21" s="6">
        <f>20/100</f>
        <v>0.2</v>
      </c>
      <c r="G21" s="22">
        <f>0.1/100</f>
        <v>1E-3</v>
      </c>
      <c r="H21" s="18">
        <f>86/100</f>
        <v>0.86</v>
      </c>
      <c r="I21" s="20">
        <f>IF($M21=TRUE,E21*$C21,0)</f>
        <v>0</v>
      </c>
      <c r="J21" s="6">
        <f>IF($M21=TRUE,F21*$C21,0)</f>
        <v>0</v>
      </c>
      <c r="K21" s="22">
        <f>IF($M21=TRUE,G21*$C21,0)</f>
        <v>0</v>
      </c>
      <c r="L21" s="18">
        <f>IF($M21=TRUE, H21*C21,0)</f>
        <v>0</v>
      </c>
      <c r="M21" t="b">
        <v>0</v>
      </c>
    </row>
    <row r="22" spans="1:13" x14ac:dyDescent="0.25">
      <c r="A22" t="s">
        <v>12</v>
      </c>
      <c r="C22" s="28">
        <f>50+50</f>
        <v>100</v>
      </c>
      <c r="E22" s="20">
        <f>11/100</f>
        <v>0.11</v>
      </c>
      <c r="F22" s="6">
        <f>54/100</f>
        <v>0.54</v>
      </c>
      <c r="G22" s="22">
        <f>3.3/100</f>
        <v>3.3000000000000002E-2</v>
      </c>
      <c r="H22" s="18">
        <f>293/100</f>
        <v>2.93</v>
      </c>
      <c r="I22" s="20">
        <f t="shared" si="0"/>
        <v>0</v>
      </c>
      <c r="J22" s="6">
        <f t="shared" si="0"/>
        <v>0</v>
      </c>
      <c r="K22" s="22">
        <f t="shared" si="0"/>
        <v>0</v>
      </c>
      <c r="L22" s="18">
        <f t="shared" si="1"/>
        <v>0</v>
      </c>
      <c r="M22" t="b">
        <v>0</v>
      </c>
    </row>
    <row r="23" spans="1:13" x14ac:dyDescent="0.25">
      <c r="A23" t="s">
        <v>17</v>
      </c>
      <c r="C23" s="28">
        <v>24</v>
      </c>
      <c r="D23" s="2" t="s">
        <v>23</v>
      </c>
      <c r="E23" s="20">
        <f>3/100</f>
        <v>0.03</v>
      </c>
      <c r="F23" s="6">
        <f>11/100</f>
        <v>0.11</v>
      </c>
      <c r="G23" s="22">
        <f>1.5/100</f>
        <v>1.4999999999999999E-2</v>
      </c>
      <c r="H23" s="18">
        <f>74/100</f>
        <v>0.74</v>
      </c>
      <c r="I23" s="20">
        <f t="shared" si="0"/>
        <v>0</v>
      </c>
      <c r="J23" s="6">
        <f t="shared" si="0"/>
        <v>0</v>
      </c>
      <c r="K23" s="22">
        <f t="shared" si="0"/>
        <v>0</v>
      </c>
      <c r="L23" s="18">
        <f t="shared" si="1"/>
        <v>0</v>
      </c>
      <c r="M23" t="b">
        <v>0</v>
      </c>
    </row>
    <row r="24" spans="1:13" x14ac:dyDescent="0.25">
      <c r="A24" t="s">
        <v>19</v>
      </c>
      <c r="C24" s="28">
        <v>137</v>
      </c>
      <c r="D24" s="2" t="s">
        <v>25</v>
      </c>
      <c r="E24" s="20">
        <f>2/100</f>
        <v>0.02</v>
      </c>
      <c r="F24" s="6">
        <f>17/100</f>
        <v>0.17</v>
      </c>
      <c r="G24" s="22">
        <f>0.1/100</f>
        <v>1E-3</v>
      </c>
      <c r="H24" s="18">
        <f>77/100</f>
        <v>0.77</v>
      </c>
      <c r="I24" s="20">
        <f t="shared" si="0"/>
        <v>0</v>
      </c>
      <c r="J24" s="6">
        <f t="shared" si="0"/>
        <v>0</v>
      </c>
      <c r="K24" s="22">
        <f t="shared" si="0"/>
        <v>0</v>
      </c>
      <c r="L24" s="18">
        <f t="shared" si="1"/>
        <v>0</v>
      </c>
      <c r="M24" t="b">
        <v>0</v>
      </c>
    </row>
    <row r="25" spans="1:13" x14ac:dyDescent="0.25">
      <c r="A25" t="s">
        <v>20</v>
      </c>
      <c r="C25" s="28">
        <f>118</f>
        <v>118</v>
      </c>
      <c r="E25" s="20">
        <f>25/100</f>
        <v>0.25</v>
      </c>
      <c r="F25" s="6">
        <v>0</v>
      </c>
      <c r="G25" s="22">
        <f>1/100</f>
        <v>0.01</v>
      </c>
      <c r="H25" s="18">
        <f>109/100</f>
        <v>1.0900000000000001</v>
      </c>
      <c r="I25" s="20">
        <f t="shared" si="0"/>
        <v>0</v>
      </c>
      <c r="J25" s="6">
        <f t="shared" si="0"/>
        <v>0</v>
      </c>
      <c r="K25" s="22">
        <f t="shared" si="0"/>
        <v>0</v>
      </c>
      <c r="L25" s="18">
        <f t="shared" si="1"/>
        <v>0</v>
      </c>
      <c r="M25" t="b">
        <v>0</v>
      </c>
    </row>
    <row r="26" spans="1:13" x14ac:dyDescent="0.25">
      <c r="A26" s="35" t="s">
        <v>21</v>
      </c>
      <c r="B26" s="35"/>
      <c r="C26" s="39">
        <f>257</f>
        <v>257</v>
      </c>
      <c r="D26" s="2" t="s">
        <v>22</v>
      </c>
      <c r="E26" s="20">
        <f>2.3/100</f>
        <v>2.3E-2</v>
      </c>
      <c r="F26" s="6">
        <f>7.2/100</f>
        <v>7.2000000000000008E-2</v>
      </c>
      <c r="G26" s="22">
        <f>0.5/100</f>
        <v>5.0000000000000001E-3</v>
      </c>
      <c r="H26" s="18">
        <f>44/100</f>
        <v>0.44</v>
      </c>
      <c r="I26" s="20">
        <f t="shared" si="0"/>
        <v>5.9109999999999996</v>
      </c>
      <c r="J26" s="6">
        <f t="shared" si="0"/>
        <v>18.504000000000001</v>
      </c>
      <c r="K26" s="22">
        <f t="shared" si="0"/>
        <v>1.2849999999999999</v>
      </c>
      <c r="L26" s="18">
        <f t="shared" si="1"/>
        <v>113.08</v>
      </c>
      <c r="M26" t="b">
        <v>1</v>
      </c>
    </row>
    <row r="27" spans="1:13" x14ac:dyDescent="0.25">
      <c r="A27" t="s">
        <v>26</v>
      </c>
      <c r="C27" s="28"/>
      <c r="E27" s="20">
        <v>0</v>
      </c>
      <c r="F27" s="6">
        <v>0</v>
      </c>
      <c r="G27" s="22">
        <v>0</v>
      </c>
      <c r="H27" s="18">
        <f>275/100</f>
        <v>2.75</v>
      </c>
      <c r="I27" s="20">
        <f t="shared" si="0"/>
        <v>0</v>
      </c>
      <c r="J27" s="6">
        <f t="shared" si="0"/>
        <v>0</v>
      </c>
      <c r="K27" s="22">
        <f t="shared" si="0"/>
        <v>0</v>
      </c>
      <c r="L27" s="18">
        <f t="shared" si="1"/>
        <v>0</v>
      </c>
      <c r="M27" t="b">
        <v>0</v>
      </c>
    </row>
    <row r="28" spans="1:13" x14ac:dyDescent="0.25">
      <c r="A28" t="s">
        <v>32</v>
      </c>
      <c r="C28" s="28">
        <v>10</v>
      </c>
      <c r="E28" s="20">
        <f>22/100</f>
        <v>0.22</v>
      </c>
      <c r="F28" s="6">
        <f>6.9/100</f>
        <v>6.9000000000000006E-2</v>
      </c>
      <c r="G28" s="22">
        <f>54/100</f>
        <v>0.54</v>
      </c>
      <c r="H28" s="18">
        <f>620/100</f>
        <v>6.2</v>
      </c>
      <c r="I28" s="20">
        <f t="shared" si="0"/>
        <v>2.2000000000000002</v>
      </c>
      <c r="J28" s="6">
        <f t="shared" si="0"/>
        <v>0.69000000000000006</v>
      </c>
      <c r="K28" s="22">
        <f t="shared" si="0"/>
        <v>5.4</v>
      </c>
      <c r="L28" s="18">
        <f t="shared" si="1"/>
        <v>62</v>
      </c>
      <c r="M28" t="b">
        <v>1</v>
      </c>
    </row>
    <row r="29" spans="1:13" x14ac:dyDescent="0.25">
      <c r="A29" t="s">
        <v>33</v>
      </c>
      <c r="C29" s="28">
        <v>143</v>
      </c>
      <c r="E29" s="20">
        <v>3.6</v>
      </c>
      <c r="F29" s="6">
        <v>0.2</v>
      </c>
      <c r="G29" s="22">
        <v>0.1</v>
      </c>
      <c r="H29" s="18">
        <f>17</f>
        <v>17</v>
      </c>
      <c r="I29" s="20">
        <f t="shared" si="0"/>
        <v>0</v>
      </c>
      <c r="J29" s="6">
        <f t="shared" si="0"/>
        <v>0</v>
      </c>
      <c r="K29" s="22">
        <f t="shared" si="0"/>
        <v>0</v>
      </c>
      <c r="L29" s="18">
        <f t="shared" si="1"/>
        <v>0</v>
      </c>
      <c r="M29" t="b">
        <v>0</v>
      </c>
    </row>
    <row r="30" spans="1:13" x14ac:dyDescent="0.25">
      <c r="A30" t="s">
        <v>34</v>
      </c>
      <c r="C30" s="28">
        <v>50</v>
      </c>
      <c r="E30" s="20">
        <f>7.4/100</f>
        <v>7.400000000000001E-2</v>
      </c>
      <c r="F30" s="6">
        <f>78.7/100</f>
        <v>0.78700000000000003</v>
      </c>
      <c r="G30" s="22">
        <f>0.7/100</f>
        <v>6.9999999999999993E-3</v>
      </c>
      <c r="H30" s="18">
        <f>351/100</f>
        <v>3.51</v>
      </c>
      <c r="I30" s="20">
        <f t="shared" si="0"/>
        <v>0</v>
      </c>
      <c r="J30" s="6">
        <f t="shared" si="0"/>
        <v>0</v>
      </c>
      <c r="K30" s="22">
        <f t="shared" si="0"/>
        <v>0</v>
      </c>
      <c r="L30" s="18">
        <f t="shared" si="1"/>
        <v>0</v>
      </c>
      <c r="M30" t="b">
        <v>0</v>
      </c>
    </row>
    <row r="31" spans="1:13" x14ac:dyDescent="0.25">
      <c r="A31" t="s">
        <v>55</v>
      </c>
      <c r="C31" s="28"/>
      <c r="E31" s="20">
        <f>19/100</f>
        <v>0.19</v>
      </c>
      <c r="F31" s="6">
        <f>61/100</f>
        <v>0.61</v>
      </c>
      <c r="G31" s="22">
        <f>6/100</f>
        <v>0.06</v>
      </c>
      <c r="H31" s="18">
        <f>364/100</f>
        <v>3.64</v>
      </c>
      <c r="I31" s="20">
        <f t="shared" si="0"/>
        <v>0</v>
      </c>
      <c r="J31" s="6">
        <f t="shared" si="0"/>
        <v>0</v>
      </c>
      <c r="K31" s="22">
        <f t="shared" si="0"/>
        <v>0</v>
      </c>
      <c r="L31" s="18">
        <f t="shared" si="1"/>
        <v>0</v>
      </c>
      <c r="M31" t="b">
        <v>0</v>
      </c>
    </row>
    <row r="32" spans="1:13" x14ac:dyDescent="0.25">
      <c r="A32" t="s">
        <v>60</v>
      </c>
      <c r="C32" s="28">
        <v>60</v>
      </c>
      <c r="E32" s="20">
        <f>7.5/100</f>
        <v>7.4999999999999997E-2</v>
      </c>
      <c r="F32" s="6">
        <f>78/100</f>
        <v>0.78</v>
      </c>
      <c r="G32" s="22">
        <f>0.6/100</f>
        <v>6.0000000000000001E-3</v>
      </c>
      <c r="H32" s="18">
        <f>347/100</f>
        <v>3.47</v>
      </c>
      <c r="I32" s="20">
        <f t="shared" si="0"/>
        <v>0</v>
      </c>
      <c r="J32" s="6">
        <f t="shared" si="0"/>
        <v>0</v>
      </c>
      <c r="K32" s="22">
        <f t="shared" si="0"/>
        <v>0</v>
      </c>
      <c r="L32" s="18">
        <f t="shared" si="1"/>
        <v>0</v>
      </c>
      <c r="M32" t="b">
        <v>0</v>
      </c>
    </row>
    <row r="33" spans="1:16" x14ac:dyDescent="0.25">
      <c r="A33" t="s">
        <v>63</v>
      </c>
      <c r="C33" s="28">
        <v>39</v>
      </c>
      <c r="E33" s="20">
        <f>1.4/100</f>
        <v>1.3999999999999999E-2</v>
      </c>
      <c r="F33" s="6">
        <f>9/100</f>
        <v>0.09</v>
      </c>
      <c r="G33" s="22">
        <f>0.2/100</f>
        <v>2E-3</v>
      </c>
      <c r="H33" s="18">
        <f>43/100</f>
        <v>0.43</v>
      </c>
      <c r="I33" s="20">
        <f t="shared" si="0"/>
        <v>0</v>
      </c>
      <c r="J33" s="6">
        <f t="shared" si="0"/>
        <v>0</v>
      </c>
      <c r="K33" s="22">
        <f t="shared" si="0"/>
        <v>0</v>
      </c>
      <c r="L33" s="18">
        <f t="shared" si="1"/>
        <v>0</v>
      </c>
      <c r="M33" t="b">
        <v>0</v>
      </c>
    </row>
    <row r="34" spans="1:16" x14ac:dyDescent="0.25">
      <c r="A34" t="s">
        <v>64</v>
      </c>
      <c r="C34" s="28">
        <v>10</v>
      </c>
      <c r="E34" s="20">
        <f>4.1/100</f>
        <v>4.0999999999999995E-2</v>
      </c>
      <c r="F34" s="6">
        <f>6.6/100</f>
        <v>6.6000000000000003E-2</v>
      </c>
      <c r="G34" s="22">
        <f>5/100</f>
        <v>0.05</v>
      </c>
      <c r="H34" s="18">
        <f>84/100</f>
        <v>0.84</v>
      </c>
      <c r="I34" s="20">
        <f t="shared" si="0"/>
        <v>0</v>
      </c>
      <c r="J34" s="6">
        <f t="shared" si="0"/>
        <v>0</v>
      </c>
      <c r="K34" s="22">
        <f t="shared" si="0"/>
        <v>0</v>
      </c>
      <c r="L34" s="18">
        <f t="shared" si="1"/>
        <v>0</v>
      </c>
      <c r="M34" t="b">
        <v>0</v>
      </c>
    </row>
    <row r="35" spans="1:16" x14ac:dyDescent="0.25">
      <c r="A35" t="s">
        <v>66</v>
      </c>
      <c r="C35" s="28">
        <v>70</v>
      </c>
      <c r="E35" s="20">
        <f>14.1/100</f>
        <v>0.14099999999999999</v>
      </c>
      <c r="F35" s="6">
        <f>68.9/100</f>
        <v>0.68900000000000006</v>
      </c>
      <c r="G35" s="22">
        <f>5.8/100</f>
        <v>5.7999999999999996E-2</v>
      </c>
      <c r="H35" s="18">
        <f>380/100</f>
        <v>3.8</v>
      </c>
      <c r="I35" s="20">
        <f t="shared" si="0"/>
        <v>0</v>
      </c>
      <c r="J35" s="6">
        <f t="shared" si="0"/>
        <v>0</v>
      </c>
      <c r="K35" s="22">
        <f t="shared" si="0"/>
        <v>0</v>
      </c>
      <c r="L35" s="18">
        <f t="shared" si="1"/>
        <v>0</v>
      </c>
      <c r="M35" t="b">
        <v>0</v>
      </c>
    </row>
    <row r="36" spans="1:16" x14ac:dyDescent="0.25">
      <c r="A36" t="s">
        <v>79</v>
      </c>
      <c r="C36" s="28"/>
      <c r="E36" s="20"/>
      <c r="F36" s="6"/>
      <c r="G36" s="22"/>
      <c r="H36" s="18"/>
      <c r="I36" s="20">
        <f t="shared" ref="I36:K41" si="2">IF($M36=TRUE,E36*$C36,0)</f>
        <v>0</v>
      </c>
      <c r="J36" s="6">
        <f t="shared" si="2"/>
        <v>0</v>
      </c>
      <c r="K36" s="22">
        <f t="shared" si="2"/>
        <v>0</v>
      </c>
      <c r="L36" s="18">
        <f t="shared" si="1"/>
        <v>0</v>
      </c>
      <c r="M36" t="b">
        <v>0</v>
      </c>
      <c r="P36">
        <v>2.2046199999999998</v>
      </c>
    </row>
    <row r="37" spans="1:16" x14ac:dyDescent="0.25">
      <c r="A37" t="s">
        <v>81</v>
      </c>
      <c r="C37" s="28">
        <v>66</v>
      </c>
      <c r="E37" s="20">
        <f>1.4/100</f>
        <v>1.3999999999999999E-2</v>
      </c>
      <c r="F37" s="6">
        <f>7/100</f>
        <v>7.0000000000000007E-2</v>
      </c>
      <c r="G37" s="22">
        <f>0.2/100</f>
        <v>2E-3</v>
      </c>
      <c r="H37" s="18"/>
      <c r="I37" s="20">
        <f t="shared" si="2"/>
        <v>0</v>
      </c>
      <c r="J37" s="6">
        <f t="shared" si="2"/>
        <v>0</v>
      </c>
      <c r="K37" s="22">
        <f t="shared" si="2"/>
        <v>0</v>
      </c>
      <c r="L37" s="18">
        <f t="shared" si="1"/>
        <v>0</v>
      </c>
      <c r="M37" t="b">
        <v>0</v>
      </c>
    </row>
    <row r="38" spans="1:16" x14ac:dyDescent="0.25">
      <c r="A38" t="s">
        <v>83</v>
      </c>
      <c r="C38" s="28">
        <v>1</v>
      </c>
      <c r="E38" s="20">
        <f>0.1</f>
        <v>0.1</v>
      </c>
      <c r="F38" s="6">
        <f>2.7</f>
        <v>2.7</v>
      </c>
      <c r="G38" s="22">
        <f>0</f>
        <v>0</v>
      </c>
      <c r="H38" s="18"/>
      <c r="I38" s="20">
        <f t="shared" si="2"/>
        <v>0</v>
      </c>
      <c r="J38" s="6">
        <f t="shared" si="2"/>
        <v>0</v>
      </c>
      <c r="K38" s="22">
        <f t="shared" si="2"/>
        <v>0</v>
      </c>
      <c r="L38" s="18">
        <f t="shared" si="1"/>
        <v>0</v>
      </c>
      <c r="M38" t="b">
        <v>0</v>
      </c>
      <c r="N38" s="2" t="s">
        <v>68</v>
      </c>
    </row>
    <row r="39" spans="1:16" x14ac:dyDescent="0.25">
      <c r="A39" t="s">
        <v>86</v>
      </c>
      <c r="C39" s="2">
        <v>38</v>
      </c>
      <c r="E39" s="20">
        <f>0.7/100</f>
        <v>6.9999999999999993E-3</v>
      </c>
      <c r="F39" s="6">
        <f>3.4/100</f>
        <v>3.4000000000000002E-2</v>
      </c>
      <c r="G39" s="22">
        <f>0.1/100</f>
        <v>1E-3</v>
      </c>
      <c r="H39" s="18"/>
      <c r="I39" s="20">
        <f t="shared" si="2"/>
        <v>0</v>
      </c>
      <c r="J39" s="6">
        <f t="shared" si="2"/>
        <v>0</v>
      </c>
      <c r="K39" s="22">
        <f t="shared" si="2"/>
        <v>0</v>
      </c>
      <c r="L39" s="18">
        <f t="shared" si="1"/>
        <v>0</v>
      </c>
      <c r="M39" t="b">
        <v>0</v>
      </c>
      <c r="N39" s="2"/>
    </row>
    <row r="40" spans="1:16" x14ac:dyDescent="0.25">
      <c r="A40" t="s">
        <v>85</v>
      </c>
      <c r="E40" s="20">
        <f>2/100</f>
        <v>0.02</v>
      </c>
      <c r="F40" s="6">
        <f>9/100</f>
        <v>0.09</v>
      </c>
      <c r="G40" s="22">
        <f>15/100</f>
        <v>0.15</v>
      </c>
      <c r="H40" s="18"/>
      <c r="I40" s="20">
        <f t="shared" si="2"/>
        <v>0</v>
      </c>
      <c r="J40" s="6">
        <f t="shared" si="2"/>
        <v>0</v>
      </c>
      <c r="K40" s="22">
        <f t="shared" si="2"/>
        <v>0</v>
      </c>
      <c r="L40" s="18">
        <f t="shared" si="1"/>
        <v>0</v>
      </c>
      <c r="M40" t="b">
        <v>0</v>
      </c>
      <c r="N40" s="2"/>
    </row>
    <row r="41" spans="1:16" x14ac:dyDescent="0.25">
      <c r="A41" t="s">
        <v>89</v>
      </c>
      <c r="E41" s="20">
        <f>1.2/100</f>
        <v>1.2E-2</v>
      </c>
      <c r="F41" s="6">
        <f>5.6/100</f>
        <v>5.5999999999999994E-2</v>
      </c>
      <c r="G41" s="22">
        <f>0.5/100</f>
        <v>5.0000000000000001E-3</v>
      </c>
      <c r="H41" s="10"/>
      <c r="I41" s="20">
        <f t="shared" si="2"/>
        <v>0</v>
      </c>
      <c r="J41" s="6">
        <f t="shared" si="2"/>
        <v>0</v>
      </c>
      <c r="K41" s="22">
        <f t="shared" si="2"/>
        <v>0</v>
      </c>
      <c r="L41" s="18">
        <f t="shared" si="1"/>
        <v>0</v>
      </c>
      <c r="M41" t="b">
        <v>0</v>
      </c>
      <c r="N41" s="2"/>
    </row>
    <row r="42" spans="1:16" x14ac:dyDescent="0.25">
      <c r="A42" t="s">
        <v>90</v>
      </c>
      <c r="C42" s="2">
        <v>200</v>
      </c>
      <c r="E42" s="50">
        <f>0.8/100</f>
        <v>8.0000000000000002E-3</v>
      </c>
      <c r="F42" s="51">
        <f>15/100</f>
        <v>0.15</v>
      </c>
      <c r="G42" s="52">
        <f>0.4/100</f>
        <v>4.0000000000000001E-3</v>
      </c>
      <c r="H42" s="10"/>
      <c r="I42" s="20">
        <f>IF($M42=TRUE,E42*$C42,0)</f>
        <v>0</v>
      </c>
      <c r="J42" s="6">
        <f>IF($M42=TRUE,F42*$C42,0)</f>
        <v>0</v>
      </c>
      <c r="K42" s="22">
        <f>IF($M42=TRUE,G42*$C42,0)</f>
        <v>0</v>
      </c>
      <c r="L42" s="18">
        <f>IF($M42=TRUE, H42*C42,0)</f>
        <v>0</v>
      </c>
      <c r="M42" t="b">
        <v>0</v>
      </c>
      <c r="N42" s="2"/>
    </row>
    <row r="43" spans="1:16" x14ac:dyDescent="0.25">
      <c r="H43" t="s">
        <v>73</v>
      </c>
      <c r="I43" s="46">
        <f>SUM(I4:I42)</f>
        <v>185.51199999999997</v>
      </c>
      <c r="J43" s="47">
        <f>SUM(J4:J42)</f>
        <v>146.40899999999999</v>
      </c>
      <c r="K43" s="48">
        <f>SUM(K4:K42)</f>
        <v>39.783999999999999</v>
      </c>
      <c r="L43" t="s">
        <v>65</v>
      </c>
      <c r="N43" s="2">
        <v>67</v>
      </c>
    </row>
    <row r="44" spans="1:16" x14ac:dyDescent="0.25">
      <c r="I44" s="49">
        <f>I43-I46</f>
        <v>0.87507499999998117</v>
      </c>
      <c r="J44" s="49">
        <f>J43-J46</f>
        <v>-1.3005399999999838</v>
      </c>
      <c r="K44" s="49">
        <f>K43-K46</f>
        <v>-9.7575800000001323E-2</v>
      </c>
    </row>
    <row r="45" spans="1:16" x14ac:dyDescent="0.25">
      <c r="L45" s="4">
        <f>SUM(L4:L35)</f>
        <v>1740.5399999999997</v>
      </c>
    </row>
    <row r="46" spans="1:16" x14ac:dyDescent="0.25">
      <c r="H46" t="s">
        <v>70</v>
      </c>
      <c r="I46" s="43">
        <f>1.25 * $P$36 * $N$43</f>
        <v>184.63692499999999</v>
      </c>
      <c r="J46" s="44">
        <f>1 * $P$36 * $N$43</f>
        <v>147.70953999999998</v>
      </c>
      <c r="K46" s="45">
        <f>0.27 * $P$36 * $N$43</f>
        <v>39.8815758</v>
      </c>
      <c r="L46">
        <f>11.43*P36* N43</f>
        <v>1688.3200421999998</v>
      </c>
    </row>
    <row r="47" spans="1:16" x14ac:dyDescent="0.25">
      <c r="H47" t="s">
        <v>71</v>
      </c>
      <c r="I47" s="43">
        <f>1.15 * $P$36 * $N$43</f>
        <v>169.86597099999997</v>
      </c>
      <c r="J47" s="44">
        <f>1.25 * $P$36 * $N$43</f>
        <v>184.63692499999999</v>
      </c>
      <c r="K47" s="45">
        <f>0.35 * $P$36 * $N$43</f>
        <v>51.69833899999999</v>
      </c>
      <c r="L47">
        <f>11.43*P36* N43</f>
        <v>1688.3200421999998</v>
      </c>
    </row>
    <row r="48" spans="1:16" x14ac:dyDescent="0.25">
      <c r="H48" t="s">
        <v>72</v>
      </c>
      <c r="I48" s="43">
        <f>1.1 * $P$36 * $N$43</f>
        <v>162.48049400000002</v>
      </c>
      <c r="J48" s="44">
        <f>2 * $P$36 * $N$43</f>
        <v>295.41907999999995</v>
      </c>
      <c r="K48" s="45">
        <f>0.5* $P$36 * $N$43</f>
        <v>73.854769999999988</v>
      </c>
      <c r="L48">
        <f>11.43*P36* N43</f>
        <v>1688.3200421999998</v>
      </c>
    </row>
    <row r="49" spans="1:2" x14ac:dyDescent="0.25">
      <c r="A49" t="s">
        <v>77</v>
      </c>
      <c r="B49" t="s">
        <v>78</v>
      </c>
    </row>
    <row r="50" spans="1:2" x14ac:dyDescent="0.25">
      <c r="A50" t="s">
        <v>75</v>
      </c>
    </row>
    <row r="51" spans="1:2" x14ac:dyDescent="0.25">
      <c r="A51" t="s">
        <v>74</v>
      </c>
    </row>
    <row r="52" spans="1:2" x14ac:dyDescent="0.25">
      <c r="A52">
        <f>0.25*J46</f>
        <v>36.927384999999994</v>
      </c>
    </row>
    <row r="53" spans="1:2" x14ac:dyDescent="0.25">
      <c r="A53">
        <f>0.35*J46</f>
        <v>51.69833899999999</v>
      </c>
    </row>
    <row r="54" spans="1:2" x14ac:dyDescent="0.25">
      <c r="A54" t="s">
        <v>76</v>
      </c>
    </row>
  </sheetData>
  <conditionalFormatting sqref="I44">
    <cfRule type="colorScale" priority="3">
      <colorScale>
        <cfvo type="formula" val="-$I$46"/>
        <cfvo type="num" val="0"/>
        <cfvo type="num" val="20"/>
        <color rgb="FFFF8B8B"/>
        <color rgb="FF00B050"/>
        <color rgb="FFFF8B8B"/>
      </colorScale>
    </cfRule>
  </conditionalFormatting>
  <conditionalFormatting sqref="J44">
    <cfRule type="colorScale" priority="2">
      <colorScale>
        <cfvo type="formula" val="-$J$46"/>
        <cfvo type="percentile" val="0"/>
        <cfvo type="num" val="20"/>
        <color rgb="FFFF8B8B"/>
        <color rgb="FF00B050"/>
        <color rgb="FFFF8B8B"/>
      </colorScale>
    </cfRule>
  </conditionalFormatting>
  <conditionalFormatting sqref="K44">
    <cfRule type="colorScale" priority="1">
      <colorScale>
        <cfvo type="formula" val="-$K$46"/>
        <cfvo type="percentile" val="0"/>
        <cfvo type="num" val="20"/>
        <color rgb="FFFF8B8B"/>
        <color rgb="FF00B050"/>
        <color rgb="FFFF8B8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Case à cocher 1">
              <controlPr defaultSize="0" autoFill="0" autoLine="0" autoPict="0">
                <anchor moveWithCells="1">
                  <from>
                    <xdr:col>1</xdr:col>
                    <xdr:colOff>161925</xdr:colOff>
                    <xdr:row>3</xdr:row>
                    <xdr:rowOff>0</xdr:rowOff>
                  </from>
                  <to>
                    <xdr:col>1</xdr:col>
                    <xdr:colOff>342900</xdr:colOff>
                    <xdr:row>4</xdr:row>
                    <xdr:rowOff>0</xdr:rowOff>
                  </to>
                </anchor>
              </controlPr>
            </control>
          </mc:Choice>
        </mc:AlternateContent>
        <mc:AlternateContent xmlns:mc="http://schemas.openxmlformats.org/markup-compatibility/2006">
          <mc:Choice Requires="x14">
            <control shapeId="46082" r:id="rId5" name="Case à cocher 2">
              <controlPr defaultSize="0" autoFill="0" autoLine="0" autoPict="0">
                <anchor moveWithCells="1">
                  <from>
                    <xdr:col>1</xdr:col>
                    <xdr:colOff>152400</xdr:colOff>
                    <xdr:row>3</xdr:row>
                    <xdr:rowOff>9525</xdr:rowOff>
                  </from>
                  <to>
                    <xdr:col>1</xdr:col>
                    <xdr:colOff>333375</xdr:colOff>
                    <xdr:row>4</xdr:row>
                    <xdr:rowOff>9525</xdr:rowOff>
                  </to>
                </anchor>
              </controlPr>
            </control>
          </mc:Choice>
        </mc:AlternateContent>
        <mc:AlternateContent xmlns:mc="http://schemas.openxmlformats.org/markup-compatibility/2006">
          <mc:Choice Requires="x14">
            <control shapeId="46083" r:id="rId6" name="Case à cocher 4">
              <controlPr defaultSize="0" autoFill="0" autoLine="0" autoPict="0">
                <anchor moveWithCells="1">
                  <from>
                    <xdr:col>1</xdr:col>
                    <xdr:colOff>152400</xdr:colOff>
                    <xdr:row>7</xdr:row>
                    <xdr:rowOff>0</xdr:rowOff>
                  </from>
                  <to>
                    <xdr:col>1</xdr:col>
                    <xdr:colOff>333375</xdr:colOff>
                    <xdr:row>8</xdr:row>
                    <xdr:rowOff>0</xdr:rowOff>
                  </to>
                </anchor>
              </controlPr>
            </control>
          </mc:Choice>
        </mc:AlternateContent>
        <mc:AlternateContent xmlns:mc="http://schemas.openxmlformats.org/markup-compatibility/2006">
          <mc:Choice Requires="x14">
            <control shapeId="46084" r:id="rId7" name="Case à cocher 5">
              <controlPr defaultSize="0" autoFill="0" autoLine="0" autoPict="0">
                <anchor moveWithCells="1">
                  <from>
                    <xdr:col>1</xdr:col>
                    <xdr:colOff>152400</xdr:colOff>
                    <xdr:row>8</xdr:row>
                    <xdr:rowOff>9525</xdr:rowOff>
                  </from>
                  <to>
                    <xdr:col>1</xdr:col>
                    <xdr:colOff>333375</xdr:colOff>
                    <xdr:row>9</xdr:row>
                    <xdr:rowOff>9525</xdr:rowOff>
                  </to>
                </anchor>
              </controlPr>
            </control>
          </mc:Choice>
        </mc:AlternateContent>
        <mc:AlternateContent xmlns:mc="http://schemas.openxmlformats.org/markup-compatibility/2006">
          <mc:Choice Requires="x14">
            <control shapeId="46085" r:id="rId8" name="Case à cocher 6">
              <controlPr defaultSize="0" autoFill="0" autoLine="0" autoPict="0">
                <anchor moveWithCells="1">
                  <from>
                    <xdr:col>1</xdr:col>
                    <xdr:colOff>152400</xdr:colOff>
                    <xdr:row>29</xdr:row>
                    <xdr:rowOff>190500</xdr:rowOff>
                  </from>
                  <to>
                    <xdr:col>1</xdr:col>
                    <xdr:colOff>333375</xdr:colOff>
                    <xdr:row>31</xdr:row>
                    <xdr:rowOff>0</xdr:rowOff>
                  </to>
                </anchor>
              </controlPr>
            </control>
          </mc:Choice>
        </mc:AlternateContent>
        <mc:AlternateContent xmlns:mc="http://schemas.openxmlformats.org/markup-compatibility/2006">
          <mc:Choice Requires="x14">
            <control shapeId="46086" r:id="rId9" name="Case à cocher 7">
              <controlPr defaultSize="0" autoFill="0" autoLine="0" autoPict="0">
                <anchor moveWithCells="1">
                  <from>
                    <xdr:col>1</xdr:col>
                    <xdr:colOff>152400</xdr:colOff>
                    <xdr:row>15</xdr:row>
                    <xdr:rowOff>19050</xdr:rowOff>
                  </from>
                  <to>
                    <xdr:col>1</xdr:col>
                    <xdr:colOff>333375</xdr:colOff>
                    <xdr:row>16</xdr:row>
                    <xdr:rowOff>19050</xdr:rowOff>
                  </to>
                </anchor>
              </controlPr>
            </control>
          </mc:Choice>
        </mc:AlternateContent>
        <mc:AlternateContent xmlns:mc="http://schemas.openxmlformats.org/markup-compatibility/2006">
          <mc:Choice Requires="x14">
            <control shapeId="46087" r:id="rId10" name="Case à cocher 8">
              <controlPr defaultSize="0" autoFill="0" autoLine="0" autoPict="0">
                <anchor moveWithCells="1">
                  <from>
                    <xdr:col>1</xdr:col>
                    <xdr:colOff>152400</xdr:colOff>
                    <xdr:row>16</xdr:row>
                    <xdr:rowOff>9525</xdr:rowOff>
                  </from>
                  <to>
                    <xdr:col>1</xdr:col>
                    <xdr:colOff>333375</xdr:colOff>
                    <xdr:row>17</xdr:row>
                    <xdr:rowOff>9525</xdr:rowOff>
                  </to>
                </anchor>
              </controlPr>
            </control>
          </mc:Choice>
        </mc:AlternateContent>
        <mc:AlternateContent xmlns:mc="http://schemas.openxmlformats.org/markup-compatibility/2006">
          <mc:Choice Requires="x14">
            <control shapeId="46088" r:id="rId11" name="Case à cocher 9">
              <controlPr defaultSize="0" autoFill="0" autoLine="0" autoPict="0">
                <anchor moveWithCells="1">
                  <from>
                    <xdr:col>1</xdr:col>
                    <xdr:colOff>152400</xdr:colOff>
                    <xdr:row>17</xdr:row>
                    <xdr:rowOff>9525</xdr:rowOff>
                  </from>
                  <to>
                    <xdr:col>1</xdr:col>
                    <xdr:colOff>333375</xdr:colOff>
                    <xdr:row>18</xdr:row>
                    <xdr:rowOff>9525</xdr:rowOff>
                  </to>
                </anchor>
              </controlPr>
            </control>
          </mc:Choice>
        </mc:AlternateContent>
        <mc:AlternateContent xmlns:mc="http://schemas.openxmlformats.org/markup-compatibility/2006">
          <mc:Choice Requires="x14">
            <control shapeId="46089" r:id="rId12" name="Case à cocher 10">
              <controlPr defaultSize="0" autoFill="0" autoLine="0" autoPict="0">
                <anchor moveWithCells="1">
                  <from>
                    <xdr:col>1</xdr:col>
                    <xdr:colOff>152400</xdr:colOff>
                    <xdr:row>17</xdr:row>
                    <xdr:rowOff>171450</xdr:rowOff>
                  </from>
                  <to>
                    <xdr:col>1</xdr:col>
                    <xdr:colOff>333375</xdr:colOff>
                    <xdr:row>18</xdr:row>
                    <xdr:rowOff>171450</xdr:rowOff>
                  </to>
                </anchor>
              </controlPr>
            </control>
          </mc:Choice>
        </mc:AlternateContent>
        <mc:AlternateContent xmlns:mc="http://schemas.openxmlformats.org/markup-compatibility/2006">
          <mc:Choice Requires="x14">
            <control shapeId="46090" r:id="rId13" name="Case à cocher 11">
              <controlPr defaultSize="0" autoFill="0" autoLine="0" autoPict="0">
                <anchor moveWithCells="1">
                  <from>
                    <xdr:col>1</xdr:col>
                    <xdr:colOff>152400</xdr:colOff>
                    <xdr:row>18</xdr:row>
                    <xdr:rowOff>171450</xdr:rowOff>
                  </from>
                  <to>
                    <xdr:col>1</xdr:col>
                    <xdr:colOff>333375</xdr:colOff>
                    <xdr:row>19</xdr:row>
                    <xdr:rowOff>171450</xdr:rowOff>
                  </to>
                </anchor>
              </controlPr>
            </control>
          </mc:Choice>
        </mc:AlternateContent>
        <mc:AlternateContent xmlns:mc="http://schemas.openxmlformats.org/markup-compatibility/2006">
          <mc:Choice Requires="x14">
            <control shapeId="46091" r:id="rId14" name="Check Box 11">
              <controlPr defaultSize="0" autoFill="0" autoLine="0" autoPict="0">
                <anchor moveWithCells="1">
                  <from>
                    <xdr:col>1</xdr:col>
                    <xdr:colOff>152400</xdr:colOff>
                    <xdr:row>20</xdr:row>
                    <xdr:rowOff>180975</xdr:rowOff>
                  </from>
                  <to>
                    <xdr:col>1</xdr:col>
                    <xdr:colOff>333375</xdr:colOff>
                    <xdr:row>21</xdr:row>
                    <xdr:rowOff>180975</xdr:rowOff>
                  </to>
                </anchor>
              </controlPr>
            </control>
          </mc:Choice>
        </mc:AlternateContent>
        <mc:AlternateContent xmlns:mc="http://schemas.openxmlformats.org/markup-compatibility/2006">
          <mc:Choice Requires="x14">
            <control shapeId="46092" r:id="rId15" name="Check Box 13">
              <controlPr defaultSize="0" autoFill="0" autoLine="0" autoPict="0">
                <anchor moveWithCells="1">
                  <from>
                    <xdr:col>1</xdr:col>
                    <xdr:colOff>152400</xdr:colOff>
                    <xdr:row>11</xdr:row>
                    <xdr:rowOff>180975</xdr:rowOff>
                  </from>
                  <to>
                    <xdr:col>1</xdr:col>
                    <xdr:colOff>333375</xdr:colOff>
                    <xdr:row>13</xdr:row>
                    <xdr:rowOff>0</xdr:rowOff>
                  </to>
                </anchor>
              </controlPr>
            </control>
          </mc:Choice>
        </mc:AlternateContent>
        <mc:AlternateContent xmlns:mc="http://schemas.openxmlformats.org/markup-compatibility/2006">
          <mc:Choice Requires="x14">
            <control shapeId="46093" r:id="rId16" name="Check Box 14">
              <controlPr defaultSize="0" autoFill="0" autoLine="0" autoPict="0">
                <anchor moveWithCells="1">
                  <from>
                    <xdr:col>1</xdr:col>
                    <xdr:colOff>152400</xdr:colOff>
                    <xdr:row>21</xdr:row>
                    <xdr:rowOff>180975</xdr:rowOff>
                  </from>
                  <to>
                    <xdr:col>1</xdr:col>
                    <xdr:colOff>333375</xdr:colOff>
                    <xdr:row>23</xdr:row>
                    <xdr:rowOff>0</xdr:rowOff>
                  </to>
                </anchor>
              </controlPr>
            </control>
          </mc:Choice>
        </mc:AlternateContent>
        <mc:AlternateContent xmlns:mc="http://schemas.openxmlformats.org/markup-compatibility/2006">
          <mc:Choice Requires="x14">
            <control shapeId="46094" r:id="rId17" name="Check Box 15">
              <controlPr defaultSize="0" autoFill="0" autoLine="0" autoPict="0">
                <anchor moveWithCells="1">
                  <from>
                    <xdr:col>1</xdr:col>
                    <xdr:colOff>152400</xdr:colOff>
                    <xdr:row>6</xdr:row>
                    <xdr:rowOff>0</xdr:rowOff>
                  </from>
                  <to>
                    <xdr:col>1</xdr:col>
                    <xdr:colOff>333375</xdr:colOff>
                    <xdr:row>7</xdr:row>
                    <xdr:rowOff>0</xdr:rowOff>
                  </to>
                </anchor>
              </controlPr>
            </control>
          </mc:Choice>
        </mc:AlternateContent>
        <mc:AlternateContent xmlns:mc="http://schemas.openxmlformats.org/markup-compatibility/2006">
          <mc:Choice Requires="x14">
            <control shapeId="46095" r:id="rId18" name="Check Box 16">
              <controlPr defaultSize="0" autoFill="0" autoLine="0" autoPict="0">
                <anchor moveWithCells="1">
                  <from>
                    <xdr:col>1</xdr:col>
                    <xdr:colOff>152400</xdr:colOff>
                    <xdr:row>23</xdr:row>
                    <xdr:rowOff>0</xdr:rowOff>
                  </from>
                  <to>
                    <xdr:col>1</xdr:col>
                    <xdr:colOff>333375</xdr:colOff>
                    <xdr:row>24</xdr:row>
                    <xdr:rowOff>9525</xdr:rowOff>
                  </to>
                </anchor>
              </controlPr>
            </control>
          </mc:Choice>
        </mc:AlternateContent>
        <mc:AlternateContent xmlns:mc="http://schemas.openxmlformats.org/markup-compatibility/2006">
          <mc:Choice Requires="x14">
            <control shapeId="46096" r:id="rId19" name="Check Box 17">
              <controlPr defaultSize="0" autoFill="0" autoLine="0" autoPict="0">
                <anchor moveWithCells="1">
                  <from>
                    <xdr:col>1</xdr:col>
                    <xdr:colOff>152400</xdr:colOff>
                    <xdr:row>23</xdr:row>
                    <xdr:rowOff>180975</xdr:rowOff>
                  </from>
                  <to>
                    <xdr:col>1</xdr:col>
                    <xdr:colOff>333375</xdr:colOff>
                    <xdr:row>25</xdr:row>
                    <xdr:rowOff>0</xdr:rowOff>
                  </to>
                </anchor>
              </controlPr>
            </control>
          </mc:Choice>
        </mc:AlternateContent>
        <mc:AlternateContent xmlns:mc="http://schemas.openxmlformats.org/markup-compatibility/2006">
          <mc:Choice Requires="x14">
            <control shapeId="46097" r:id="rId20" name="Check Box 18">
              <controlPr defaultSize="0" autoFill="0" autoLine="0" autoPict="0">
                <anchor moveWithCells="1">
                  <from>
                    <xdr:col>1</xdr:col>
                    <xdr:colOff>152400</xdr:colOff>
                    <xdr:row>25</xdr:row>
                    <xdr:rowOff>0</xdr:rowOff>
                  </from>
                  <to>
                    <xdr:col>1</xdr:col>
                    <xdr:colOff>333375</xdr:colOff>
                    <xdr:row>26</xdr:row>
                    <xdr:rowOff>0</xdr:rowOff>
                  </to>
                </anchor>
              </controlPr>
            </control>
          </mc:Choice>
        </mc:AlternateContent>
        <mc:AlternateContent xmlns:mc="http://schemas.openxmlformats.org/markup-compatibility/2006">
          <mc:Choice Requires="x14">
            <control shapeId="46098" r:id="rId21" name="Check Box 19">
              <controlPr defaultSize="0" autoFill="0" autoLine="0" autoPict="0">
                <anchor moveWithCells="1">
                  <from>
                    <xdr:col>1</xdr:col>
                    <xdr:colOff>152400</xdr:colOff>
                    <xdr:row>26</xdr:row>
                    <xdr:rowOff>0</xdr:rowOff>
                  </from>
                  <to>
                    <xdr:col>1</xdr:col>
                    <xdr:colOff>333375</xdr:colOff>
                    <xdr:row>27</xdr:row>
                    <xdr:rowOff>0</xdr:rowOff>
                  </to>
                </anchor>
              </controlPr>
            </control>
          </mc:Choice>
        </mc:AlternateContent>
        <mc:AlternateContent xmlns:mc="http://schemas.openxmlformats.org/markup-compatibility/2006">
          <mc:Choice Requires="x14">
            <control shapeId="46099" r:id="rId22" name="Check Box 20">
              <controlPr defaultSize="0" autoFill="0" autoLine="0" autoPict="0">
                <anchor moveWithCells="1">
                  <from>
                    <xdr:col>1</xdr:col>
                    <xdr:colOff>152400</xdr:colOff>
                    <xdr:row>27</xdr:row>
                    <xdr:rowOff>9525</xdr:rowOff>
                  </from>
                  <to>
                    <xdr:col>1</xdr:col>
                    <xdr:colOff>333375</xdr:colOff>
                    <xdr:row>28</xdr:row>
                    <xdr:rowOff>9525</xdr:rowOff>
                  </to>
                </anchor>
              </controlPr>
            </control>
          </mc:Choice>
        </mc:AlternateContent>
        <mc:AlternateContent xmlns:mc="http://schemas.openxmlformats.org/markup-compatibility/2006">
          <mc:Choice Requires="x14">
            <control shapeId="46100" r:id="rId23" name="Check Box 21">
              <controlPr defaultSize="0" autoFill="0" autoLine="0" autoPict="0">
                <anchor moveWithCells="1">
                  <from>
                    <xdr:col>1</xdr:col>
                    <xdr:colOff>152400</xdr:colOff>
                    <xdr:row>28</xdr:row>
                    <xdr:rowOff>9525</xdr:rowOff>
                  </from>
                  <to>
                    <xdr:col>1</xdr:col>
                    <xdr:colOff>333375</xdr:colOff>
                    <xdr:row>29</xdr:row>
                    <xdr:rowOff>9525</xdr:rowOff>
                  </to>
                </anchor>
              </controlPr>
            </control>
          </mc:Choice>
        </mc:AlternateContent>
        <mc:AlternateContent xmlns:mc="http://schemas.openxmlformats.org/markup-compatibility/2006">
          <mc:Choice Requires="x14">
            <control shapeId="46101" r:id="rId24" name="Check Box 21">
              <controlPr defaultSize="0" autoFill="0" autoLine="0" autoPict="0">
                <anchor moveWithCells="1">
                  <from>
                    <xdr:col>1</xdr:col>
                    <xdr:colOff>152400</xdr:colOff>
                    <xdr:row>28</xdr:row>
                    <xdr:rowOff>180975</xdr:rowOff>
                  </from>
                  <to>
                    <xdr:col>1</xdr:col>
                    <xdr:colOff>333375</xdr:colOff>
                    <xdr:row>29</xdr:row>
                    <xdr:rowOff>180975</xdr:rowOff>
                  </to>
                </anchor>
              </controlPr>
            </control>
          </mc:Choice>
        </mc:AlternateContent>
        <mc:AlternateContent xmlns:mc="http://schemas.openxmlformats.org/markup-compatibility/2006">
          <mc:Choice Requires="x14">
            <control shapeId="46102" r:id="rId25" name="Check Box 22">
              <controlPr defaultSize="0" autoFill="0" autoLine="0" autoPict="0">
                <anchor moveWithCells="1">
                  <from>
                    <xdr:col>1</xdr:col>
                    <xdr:colOff>152400</xdr:colOff>
                    <xdr:row>4</xdr:row>
                    <xdr:rowOff>0</xdr:rowOff>
                  </from>
                  <to>
                    <xdr:col>1</xdr:col>
                    <xdr:colOff>333375</xdr:colOff>
                    <xdr:row>5</xdr:row>
                    <xdr:rowOff>0</xdr:rowOff>
                  </to>
                </anchor>
              </controlPr>
            </control>
          </mc:Choice>
        </mc:AlternateContent>
        <mc:AlternateContent xmlns:mc="http://schemas.openxmlformats.org/markup-compatibility/2006">
          <mc:Choice Requires="x14">
            <control shapeId="46103" r:id="rId26" name="Check Box 23">
              <controlPr defaultSize="0" autoFill="0" autoLine="0" autoPict="0">
                <anchor moveWithCells="1">
                  <from>
                    <xdr:col>1</xdr:col>
                    <xdr:colOff>152400</xdr:colOff>
                    <xdr:row>19</xdr:row>
                    <xdr:rowOff>180975</xdr:rowOff>
                  </from>
                  <to>
                    <xdr:col>1</xdr:col>
                    <xdr:colOff>333375</xdr:colOff>
                    <xdr:row>20</xdr:row>
                    <xdr:rowOff>180975</xdr:rowOff>
                  </to>
                </anchor>
              </controlPr>
            </control>
          </mc:Choice>
        </mc:AlternateContent>
        <mc:AlternateContent xmlns:mc="http://schemas.openxmlformats.org/markup-compatibility/2006">
          <mc:Choice Requires="x14">
            <control shapeId="46104" r:id="rId27" name="Check Box 24">
              <controlPr defaultSize="0" autoFill="0" autoLine="0" autoPict="0">
                <anchor moveWithCells="1">
                  <from>
                    <xdr:col>1</xdr:col>
                    <xdr:colOff>152400</xdr:colOff>
                    <xdr:row>10</xdr:row>
                    <xdr:rowOff>190500</xdr:rowOff>
                  </from>
                  <to>
                    <xdr:col>1</xdr:col>
                    <xdr:colOff>333375</xdr:colOff>
                    <xdr:row>12</xdr:row>
                    <xdr:rowOff>0</xdr:rowOff>
                  </to>
                </anchor>
              </controlPr>
            </control>
          </mc:Choice>
        </mc:AlternateContent>
        <mc:AlternateContent xmlns:mc="http://schemas.openxmlformats.org/markup-compatibility/2006">
          <mc:Choice Requires="x14">
            <control shapeId="46105" r:id="rId28" name="Check Box 25">
              <controlPr defaultSize="0" autoFill="0" autoLine="0" autoPict="0">
                <anchor moveWithCells="1">
                  <from>
                    <xdr:col>1</xdr:col>
                    <xdr:colOff>152400</xdr:colOff>
                    <xdr:row>31</xdr:row>
                    <xdr:rowOff>0</xdr:rowOff>
                  </from>
                  <to>
                    <xdr:col>1</xdr:col>
                    <xdr:colOff>333375</xdr:colOff>
                    <xdr:row>32</xdr:row>
                    <xdr:rowOff>0</xdr:rowOff>
                  </to>
                </anchor>
              </controlPr>
            </control>
          </mc:Choice>
        </mc:AlternateContent>
        <mc:AlternateContent xmlns:mc="http://schemas.openxmlformats.org/markup-compatibility/2006">
          <mc:Choice Requires="x14">
            <control shapeId="46106" r:id="rId29" name="Check Box 26">
              <controlPr defaultSize="0" autoFill="0" autoLine="0" autoPict="0">
                <anchor moveWithCells="1">
                  <from>
                    <xdr:col>1</xdr:col>
                    <xdr:colOff>152400</xdr:colOff>
                    <xdr:row>32</xdr:row>
                    <xdr:rowOff>0</xdr:rowOff>
                  </from>
                  <to>
                    <xdr:col>1</xdr:col>
                    <xdr:colOff>333375</xdr:colOff>
                    <xdr:row>33</xdr:row>
                    <xdr:rowOff>0</xdr:rowOff>
                  </to>
                </anchor>
              </controlPr>
            </control>
          </mc:Choice>
        </mc:AlternateContent>
        <mc:AlternateContent xmlns:mc="http://schemas.openxmlformats.org/markup-compatibility/2006">
          <mc:Choice Requires="x14">
            <control shapeId="46107" r:id="rId30" name="Check Box 27">
              <controlPr defaultSize="0" autoFill="0" autoLine="0" autoPict="0">
                <anchor moveWithCells="1">
                  <from>
                    <xdr:col>1</xdr:col>
                    <xdr:colOff>152400</xdr:colOff>
                    <xdr:row>33</xdr:row>
                    <xdr:rowOff>0</xdr:rowOff>
                  </from>
                  <to>
                    <xdr:col>1</xdr:col>
                    <xdr:colOff>333375</xdr:colOff>
                    <xdr:row>34</xdr:row>
                    <xdr:rowOff>0</xdr:rowOff>
                  </to>
                </anchor>
              </controlPr>
            </control>
          </mc:Choice>
        </mc:AlternateContent>
        <mc:AlternateContent xmlns:mc="http://schemas.openxmlformats.org/markup-compatibility/2006">
          <mc:Choice Requires="x14">
            <control shapeId="46108" r:id="rId31" name="Check Box 28">
              <controlPr defaultSize="0" autoFill="0" autoLine="0" autoPict="0">
                <anchor moveWithCells="1">
                  <from>
                    <xdr:col>1</xdr:col>
                    <xdr:colOff>152400</xdr:colOff>
                    <xdr:row>33</xdr:row>
                    <xdr:rowOff>171450</xdr:rowOff>
                  </from>
                  <to>
                    <xdr:col>1</xdr:col>
                    <xdr:colOff>333375</xdr:colOff>
                    <xdr:row>34</xdr:row>
                    <xdr:rowOff>171450</xdr:rowOff>
                  </to>
                </anchor>
              </controlPr>
            </control>
          </mc:Choice>
        </mc:AlternateContent>
        <mc:AlternateContent xmlns:mc="http://schemas.openxmlformats.org/markup-compatibility/2006">
          <mc:Choice Requires="x14">
            <control shapeId="46109" r:id="rId32" name="Check Box 29">
              <controlPr defaultSize="0" autoFill="0" autoLine="0" autoPict="0">
                <anchor moveWithCells="1">
                  <from>
                    <xdr:col>1</xdr:col>
                    <xdr:colOff>152400</xdr:colOff>
                    <xdr:row>5</xdr:row>
                    <xdr:rowOff>0</xdr:rowOff>
                  </from>
                  <to>
                    <xdr:col>1</xdr:col>
                    <xdr:colOff>333375</xdr:colOff>
                    <xdr:row>6</xdr:row>
                    <xdr:rowOff>0</xdr:rowOff>
                  </to>
                </anchor>
              </controlPr>
            </control>
          </mc:Choice>
        </mc:AlternateContent>
        <mc:AlternateContent xmlns:mc="http://schemas.openxmlformats.org/markup-compatibility/2006">
          <mc:Choice Requires="x14">
            <control shapeId="46110" r:id="rId33" name="Check Box 30">
              <controlPr defaultSize="0" autoFill="0" autoLine="0" autoPict="0">
                <anchor moveWithCells="1">
                  <from>
                    <xdr:col>1</xdr:col>
                    <xdr:colOff>152400</xdr:colOff>
                    <xdr:row>8</xdr:row>
                    <xdr:rowOff>180975</xdr:rowOff>
                  </from>
                  <to>
                    <xdr:col>1</xdr:col>
                    <xdr:colOff>333375</xdr:colOff>
                    <xdr:row>9</xdr:row>
                    <xdr:rowOff>180975</xdr:rowOff>
                  </to>
                </anchor>
              </controlPr>
            </control>
          </mc:Choice>
        </mc:AlternateContent>
        <mc:AlternateContent xmlns:mc="http://schemas.openxmlformats.org/markup-compatibility/2006">
          <mc:Choice Requires="x14">
            <control shapeId="46111" r:id="rId34" name="Check Box 31">
              <controlPr defaultSize="0" autoFill="0" autoLine="0" autoPict="0">
                <anchor moveWithCells="1">
                  <from>
                    <xdr:col>1</xdr:col>
                    <xdr:colOff>152400</xdr:colOff>
                    <xdr:row>12</xdr:row>
                    <xdr:rowOff>171450</xdr:rowOff>
                  </from>
                  <to>
                    <xdr:col>1</xdr:col>
                    <xdr:colOff>333375</xdr:colOff>
                    <xdr:row>13</xdr:row>
                    <xdr:rowOff>180975</xdr:rowOff>
                  </to>
                </anchor>
              </controlPr>
            </control>
          </mc:Choice>
        </mc:AlternateContent>
        <mc:AlternateContent xmlns:mc="http://schemas.openxmlformats.org/markup-compatibility/2006">
          <mc:Choice Requires="x14">
            <control shapeId="46112" r:id="rId35" name="Check Box 32">
              <controlPr defaultSize="0" autoFill="0" autoLine="0" autoPict="0">
                <anchor moveWithCells="1">
                  <from>
                    <xdr:col>1</xdr:col>
                    <xdr:colOff>152400</xdr:colOff>
                    <xdr:row>34</xdr:row>
                    <xdr:rowOff>180975</xdr:rowOff>
                  </from>
                  <to>
                    <xdr:col>1</xdr:col>
                    <xdr:colOff>333375</xdr:colOff>
                    <xdr:row>35</xdr:row>
                    <xdr:rowOff>180975</xdr:rowOff>
                  </to>
                </anchor>
              </controlPr>
            </control>
          </mc:Choice>
        </mc:AlternateContent>
        <mc:AlternateContent xmlns:mc="http://schemas.openxmlformats.org/markup-compatibility/2006">
          <mc:Choice Requires="x14">
            <control shapeId="46113" r:id="rId36" name="Check Box 33">
              <controlPr defaultSize="0" autoFill="0" autoLine="0" autoPict="0">
                <anchor moveWithCells="1">
                  <from>
                    <xdr:col>1</xdr:col>
                    <xdr:colOff>152400</xdr:colOff>
                    <xdr:row>35</xdr:row>
                    <xdr:rowOff>180975</xdr:rowOff>
                  </from>
                  <to>
                    <xdr:col>1</xdr:col>
                    <xdr:colOff>333375</xdr:colOff>
                    <xdr:row>36</xdr:row>
                    <xdr:rowOff>180975</xdr:rowOff>
                  </to>
                </anchor>
              </controlPr>
            </control>
          </mc:Choice>
        </mc:AlternateContent>
        <mc:AlternateContent xmlns:mc="http://schemas.openxmlformats.org/markup-compatibility/2006">
          <mc:Choice Requires="x14">
            <control shapeId="46114" r:id="rId37" name="Check Box 34">
              <controlPr defaultSize="0" autoFill="0" autoLine="0" autoPict="0">
                <anchor moveWithCells="1">
                  <from>
                    <xdr:col>1</xdr:col>
                    <xdr:colOff>152400</xdr:colOff>
                    <xdr:row>13</xdr:row>
                    <xdr:rowOff>161925</xdr:rowOff>
                  </from>
                  <to>
                    <xdr:col>1</xdr:col>
                    <xdr:colOff>333375</xdr:colOff>
                    <xdr:row>14</xdr:row>
                    <xdr:rowOff>171450</xdr:rowOff>
                  </to>
                </anchor>
              </controlPr>
            </control>
          </mc:Choice>
        </mc:AlternateContent>
        <mc:AlternateContent xmlns:mc="http://schemas.openxmlformats.org/markup-compatibility/2006">
          <mc:Choice Requires="x14">
            <control shapeId="46115" r:id="rId38" name="Check Box 35">
              <controlPr defaultSize="0" autoFill="0" autoLine="0" autoPict="0">
                <anchor moveWithCells="1">
                  <from>
                    <xdr:col>1</xdr:col>
                    <xdr:colOff>142875</xdr:colOff>
                    <xdr:row>36</xdr:row>
                    <xdr:rowOff>180975</xdr:rowOff>
                  </from>
                  <to>
                    <xdr:col>1</xdr:col>
                    <xdr:colOff>323850</xdr:colOff>
                    <xdr:row>37</xdr:row>
                    <xdr:rowOff>180975</xdr:rowOff>
                  </to>
                </anchor>
              </controlPr>
            </control>
          </mc:Choice>
        </mc:AlternateContent>
        <mc:AlternateContent xmlns:mc="http://schemas.openxmlformats.org/markup-compatibility/2006">
          <mc:Choice Requires="x14">
            <control shapeId="46116" r:id="rId39" name="Check Box 36">
              <controlPr defaultSize="0" autoFill="0" autoLine="0" autoPict="0">
                <anchor moveWithCells="1">
                  <from>
                    <xdr:col>1</xdr:col>
                    <xdr:colOff>142875</xdr:colOff>
                    <xdr:row>38</xdr:row>
                    <xdr:rowOff>171450</xdr:rowOff>
                  </from>
                  <to>
                    <xdr:col>1</xdr:col>
                    <xdr:colOff>323850</xdr:colOff>
                    <xdr:row>39</xdr:row>
                    <xdr:rowOff>171450</xdr:rowOff>
                  </to>
                </anchor>
              </controlPr>
            </control>
          </mc:Choice>
        </mc:AlternateContent>
        <mc:AlternateContent xmlns:mc="http://schemas.openxmlformats.org/markup-compatibility/2006">
          <mc:Choice Requires="x14">
            <control shapeId="46117" r:id="rId40" name="Check Box 37">
              <controlPr defaultSize="0" autoFill="0" autoLine="0" autoPict="0">
                <anchor moveWithCells="1">
                  <from>
                    <xdr:col>1</xdr:col>
                    <xdr:colOff>161925</xdr:colOff>
                    <xdr:row>37</xdr:row>
                    <xdr:rowOff>180975</xdr:rowOff>
                  </from>
                  <to>
                    <xdr:col>1</xdr:col>
                    <xdr:colOff>342900</xdr:colOff>
                    <xdr:row>38</xdr:row>
                    <xdr:rowOff>180975</xdr:rowOff>
                  </to>
                </anchor>
              </controlPr>
            </control>
          </mc:Choice>
        </mc:AlternateContent>
        <mc:AlternateContent xmlns:mc="http://schemas.openxmlformats.org/markup-compatibility/2006">
          <mc:Choice Requires="x14">
            <control shapeId="46118" r:id="rId41" name="Check Box 38">
              <controlPr defaultSize="0" autoFill="0" autoLine="0" autoPict="0">
                <anchor moveWithCells="1">
                  <from>
                    <xdr:col>1</xdr:col>
                    <xdr:colOff>142875</xdr:colOff>
                    <xdr:row>9</xdr:row>
                    <xdr:rowOff>171450</xdr:rowOff>
                  </from>
                  <to>
                    <xdr:col>1</xdr:col>
                    <xdr:colOff>323850</xdr:colOff>
                    <xdr:row>10</xdr:row>
                    <xdr:rowOff>171450</xdr:rowOff>
                  </to>
                </anchor>
              </controlPr>
            </control>
          </mc:Choice>
        </mc:AlternateContent>
        <mc:AlternateContent xmlns:mc="http://schemas.openxmlformats.org/markup-compatibility/2006">
          <mc:Choice Requires="x14">
            <control shapeId="46119" r:id="rId42" name="Check Box 39">
              <controlPr defaultSize="0" autoFill="0" autoLine="0" autoPict="0">
                <anchor moveWithCells="1">
                  <from>
                    <xdr:col>1</xdr:col>
                    <xdr:colOff>142875</xdr:colOff>
                    <xdr:row>39</xdr:row>
                    <xdr:rowOff>180975</xdr:rowOff>
                  </from>
                  <to>
                    <xdr:col>1</xdr:col>
                    <xdr:colOff>323850</xdr:colOff>
                    <xdr:row>40</xdr:row>
                    <xdr:rowOff>180975</xdr:rowOff>
                  </to>
                </anchor>
              </controlPr>
            </control>
          </mc:Choice>
        </mc:AlternateContent>
        <mc:AlternateContent xmlns:mc="http://schemas.openxmlformats.org/markup-compatibility/2006">
          <mc:Choice Requires="x14">
            <control shapeId="46120" r:id="rId43" name="Check Box 40">
              <controlPr defaultSize="0" autoFill="0" autoLine="0" autoPict="0">
                <anchor moveWithCells="1">
                  <from>
                    <xdr:col>1</xdr:col>
                    <xdr:colOff>142875</xdr:colOff>
                    <xdr:row>40</xdr:row>
                    <xdr:rowOff>171450</xdr:rowOff>
                  </from>
                  <to>
                    <xdr:col>1</xdr:col>
                    <xdr:colOff>323850</xdr:colOff>
                    <xdr:row>41</xdr:row>
                    <xdr:rowOff>171450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4"/>
  <dimension ref="A3:P55"/>
  <sheetViews>
    <sheetView zoomScale="85" zoomScaleNormal="85" workbookViewId="0">
      <selection activeCell="I48" sqref="I48:K48"/>
    </sheetView>
  </sheetViews>
  <sheetFormatPr defaultColWidth="11.42578125" defaultRowHeight="15" x14ac:dyDescent="0.25"/>
  <cols>
    <col min="1" max="1" width="18.5703125" customWidth="1"/>
    <col min="2" max="2" width="5.85546875" customWidth="1"/>
    <col min="3" max="3" width="11.42578125" style="2"/>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6" x14ac:dyDescent="0.25">
      <c r="C3" s="3" t="s">
        <v>1</v>
      </c>
      <c r="D3" s="3" t="s">
        <v>24</v>
      </c>
      <c r="E3" s="19" t="s">
        <v>16</v>
      </c>
      <c r="F3" s="16" t="s">
        <v>15</v>
      </c>
      <c r="G3" s="21" t="s">
        <v>14</v>
      </c>
      <c r="H3" s="17" t="s">
        <v>0</v>
      </c>
      <c r="I3" s="19" t="s">
        <v>29</v>
      </c>
      <c r="J3" s="16" t="s">
        <v>30</v>
      </c>
      <c r="K3" s="21" t="s">
        <v>14</v>
      </c>
      <c r="L3" s="17" t="s">
        <v>31</v>
      </c>
    </row>
    <row r="4" spans="1:16" x14ac:dyDescent="0.25">
      <c r="A4" s="32" t="s">
        <v>3</v>
      </c>
      <c r="B4" s="32"/>
      <c r="C4" s="33">
        <f>64+50</f>
        <v>114</v>
      </c>
      <c r="E4" s="20">
        <f>12/100</f>
        <v>0.12</v>
      </c>
      <c r="F4" s="6">
        <f>60/100</f>
        <v>0.6</v>
      </c>
      <c r="G4" s="22">
        <f>7.1/100</f>
        <v>7.0999999999999994E-2</v>
      </c>
      <c r="H4" s="18">
        <f>371/100</f>
        <v>3.71</v>
      </c>
      <c r="I4" s="20">
        <f t="shared" ref="I4:K35" si="0">IF($M4=TRUE,E4*$C4,0)</f>
        <v>13.68</v>
      </c>
      <c r="J4" s="6">
        <f t="shared" si="0"/>
        <v>68.399999999999991</v>
      </c>
      <c r="K4" s="22">
        <f t="shared" si="0"/>
        <v>8.0939999999999994</v>
      </c>
      <c r="L4" s="18">
        <f t="shared" ref="L4:L42" si="1">IF($M4=TRUE, H4*C4,0)</f>
        <v>422.94</v>
      </c>
      <c r="M4" t="b">
        <v>1</v>
      </c>
    </row>
    <row r="5" spans="1:16" x14ac:dyDescent="0.25">
      <c r="A5" s="34" t="s">
        <v>33</v>
      </c>
      <c r="B5" s="32"/>
      <c r="C5" s="33">
        <f>143</f>
        <v>143</v>
      </c>
      <c r="E5" s="20">
        <f>11/100</f>
        <v>0.11</v>
      </c>
      <c r="F5" s="6">
        <f>0.7/100</f>
        <v>6.9999999999999993E-3</v>
      </c>
      <c r="G5" s="22">
        <f>0.2/100</f>
        <v>2E-3</v>
      </c>
      <c r="H5" s="18">
        <f>52/100</f>
        <v>0.52</v>
      </c>
      <c r="I5" s="20">
        <f t="shared" si="0"/>
        <v>15.73</v>
      </c>
      <c r="J5" s="6">
        <f t="shared" si="0"/>
        <v>1.0009999999999999</v>
      </c>
      <c r="K5" s="22">
        <f t="shared" si="0"/>
        <v>0.28600000000000003</v>
      </c>
      <c r="L5" s="18">
        <f>IF($M5=TRUE, H5*C5,0)</f>
        <v>74.36</v>
      </c>
      <c r="M5" t="b">
        <v>1</v>
      </c>
    </row>
    <row r="6" spans="1:16" x14ac:dyDescent="0.25">
      <c r="A6" s="34" t="s">
        <v>67</v>
      </c>
      <c r="B6" s="32"/>
      <c r="C6" s="33">
        <f>36</f>
        <v>36</v>
      </c>
      <c r="E6" s="20">
        <f>2.4/100</f>
        <v>2.4E-2</v>
      </c>
      <c r="F6" s="6">
        <v>0</v>
      </c>
      <c r="G6" s="22">
        <f>27/100</f>
        <v>0.27</v>
      </c>
      <c r="H6" s="18">
        <f>350/100</f>
        <v>3.5</v>
      </c>
      <c r="I6" s="20">
        <f t="shared" si="0"/>
        <v>0.86399999999999999</v>
      </c>
      <c r="J6" s="6">
        <f t="shared" si="0"/>
        <v>0</v>
      </c>
      <c r="K6" s="22">
        <f t="shared" si="0"/>
        <v>9.7200000000000006</v>
      </c>
      <c r="L6" s="18">
        <f>IF($M6=TRUE, H6*C6,0)</f>
        <v>126</v>
      </c>
      <c r="M6" t="b">
        <v>1</v>
      </c>
      <c r="P6">
        <v>1</v>
      </c>
    </row>
    <row r="7" spans="1:16" x14ac:dyDescent="0.25">
      <c r="A7" s="32" t="s">
        <v>18</v>
      </c>
      <c r="B7" s="32"/>
      <c r="C7" s="33">
        <f>198+110</f>
        <v>308</v>
      </c>
      <c r="E7" s="20">
        <f>3.2/100</f>
        <v>3.2000000000000001E-2</v>
      </c>
      <c r="F7" s="6">
        <f>4.8/100</f>
        <v>4.8000000000000001E-2</v>
      </c>
      <c r="G7" s="22">
        <f>1.6/100</f>
        <v>1.6E-2</v>
      </c>
      <c r="H7" s="18">
        <f>46/100</f>
        <v>0.46</v>
      </c>
      <c r="I7" s="20">
        <f t="shared" si="0"/>
        <v>9.8559999999999999</v>
      </c>
      <c r="J7" s="6">
        <f t="shared" si="0"/>
        <v>14.784000000000001</v>
      </c>
      <c r="K7" s="22">
        <f t="shared" si="0"/>
        <v>4.9279999999999999</v>
      </c>
      <c r="L7" s="18">
        <f>IF($M7=TRUE, H7*C7,0)</f>
        <v>141.68</v>
      </c>
      <c r="M7" t="b">
        <v>1</v>
      </c>
    </row>
    <row r="8" spans="1:16" x14ac:dyDescent="0.25">
      <c r="A8" s="36" t="s">
        <v>5</v>
      </c>
      <c r="B8" s="36"/>
      <c r="C8" s="38">
        <f>130</f>
        <v>130</v>
      </c>
      <c r="E8" s="20">
        <f>24/100</f>
        <v>0.24</v>
      </c>
      <c r="F8" s="6">
        <f>2.2/100</f>
        <v>2.2000000000000002E-2</v>
      </c>
      <c r="G8" s="22">
        <f>1.8/100</f>
        <v>1.8000000000000002E-2</v>
      </c>
      <c r="H8" s="18">
        <f>94/100</f>
        <v>0.94</v>
      </c>
      <c r="I8" s="20">
        <f t="shared" si="0"/>
        <v>31.2</v>
      </c>
      <c r="J8" s="6">
        <f t="shared" si="0"/>
        <v>2.8600000000000003</v>
      </c>
      <c r="K8" s="22">
        <f t="shared" si="0"/>
        <v>2.3400000000000003</v>
      </c>
      <c r="L8" s="18">
        <f t="shared" si="1"/>
        <v>122.19999999999999</v>
      </c>
      <c r="M8" t="b">
        <v>1</v>
      </c>
    </row>
    <row r="9" spans="1:16" x14ac:dyDescent="0.25">
      <c r="A9" s="36" t="s">
        <v>6</v>
      </c>
      <c r="B9" s="36"/>
      <c r="C9" s="38">
        <f>256/2*2</f>
        <v>256</v>
      </c>
      <c r="E9" s="20">
        <f>20/100</f>
        <v>0.2</v>
      </c>
      <c r="F9" s="6">
        <f>0.2/100</f>
        <v>2E-3</v>
      </c>
      <c r="G9" s="22">
        <f>5/100</f>
        <v>0.05</v>
      </c>
      <c r="H9" s="18">
        <f>126/100</f>
        <v>1.26</v>
      </c>
      <c r="I9" s="20">
        <f t="shared" si="0"/>
        <v>0</v>
      </c>
      <c r="J9" s="6">
        <f t="shared" si="0"/>
        <v>0</v>
      </c>
      <c r="K9" s="22">
        <f t="shared" si="0"/>
        <v>0</v>
      </c>
      <c r="L9" s="18">
        <f t="shared" si="1"/>
        <v>0</v>
      </c>
      <c r="M9" t="b">
        <v>0</v>
      </c>
    </row>
    <row r="10" spans="1:16" x14ac:dyDescent="0.25">
      <c r="A10" s="36" t="s">
        <v>57</v>
      </c>
      <c r="B10" s="36"/>
      <c r="C10" s="38">
        <f>173-43</f>
        <v>130</v>
      </c>
      <c r="E10" s="20">
        <f>19/100</f>
        <v>0.19</v>
      </c>
      <c r="F10" s="6">
        <v>0</v>
      </c>
      <c r="G10" s="22">
        <f>12/100</f>
        <v>0.12</v>
      </c>
      <c r="H10" s="18">
        <f>184/100</f>
        <v>1.84</v>
      </c>
      <c r="I10" s="20">
        <f t="shared" si="0"/>
        <v>24.7</v>
      </c>
      <c r="J10" s="6">
        <f t="shared" si="0"/>
        <v>0</v>
      </c>
      <c r="K10" s="22">
        <f t="shared" si="0"/>
        <v>15.6</v>
      </c>
      <c r="L10" s="18">
        <f t="shared" si="1"/>
        <v>239.20000000000002</v>
      </c>
      <c r="M10" t="b">
        <v>1</v>
      </c>
    </row>
    <row r="11" spans="1:16" x14ac:dyDescent="0.25">
      <c r="A11" s="36" t="s">
        <v>87</v>
      </c>
      <c r="B11" s="36"/>
      <c r="C11" s="38"/>
      <c r="E11" s="20">
        <f>25/100</f>
        <v>0.25</v>
      </c>
      <c r="F11" s="6">
        <f>0</f>
        <v>0</v>
      </c>
      <c r="G11" s="22">
        <f>11/100</f>
        <v>0.11</v>
      </c>
      <c r="H11" s="18">
        <f>208/100</f>
        <v>2.08</v>
      </c>
      <c r="I11" s="20">
        <f t="shared" si="0"/>
        <v>0</v>
      </c>
      <c r="J11" s="6">
        <f t="shared" si="0"/>
        <v>0</v>
      </c>
      <c r="K11" s="22">
        <f t="shared" si="0"/>
        <v>0</v>
      </c>
      <c r="L11" s="18">
        <f t="shared" si="1"/>
        <v>0</v>
      </c>
      <c r="M11" t="b">
        <v>0</v>
      </c>
    </row>
    <row r="12" spans="1:16" x14ac:dyDescent="0.25">
      <c r="A12" s="36" t="s">
        <v>59</v>
      </c>
      <c r="B12" s="36"/>
      <c r="C12" s="38">
        <v>360</v>
      </c>
      <c r="E12" s="20">
        <f>20/100</f>
        <v>0.2</v>
      </c>
      <c r="F12" s="6">
        <v>0</v>
      </c>
      <c r="G12" s="22">
        <f>5/100</f>
        <v>0.05</v>
      </c>
      <c r="H12" s="18">
        <f>121/100</f>
        <v>1.21</v>
      </c>
      <c r="I12" s="20">
        <f t="shared" si="0"/>
        <v>0</v>
      </c>
      <c r="J12" s="6">
        <f t="shared" si="0"/>
        <v>0</v>
      </c>
      <c r="K12" s="22">
        <f t="shared" si="0"/>
        <v>0</v>
      </c>
      <c r="L12" s="18">
        <f t="shared" si="1"/>
        <v>0</v>
      </c>
      <c r="M12" t="b">
        <v>0</v>
      </c>
    </row>
    <row r="13" spans="1:16" x14ac:dyDescent="0.25">
      <c r="A13" s="36" t="s">
        <v>13</v>
      </c>
      <c r="B13" s="36"/>
      <c r="C13" s="38">
        <v>1</v>
      </c>
      <c r="E13" s="20">
        <v>20</v>
      </c>
      <c r="F13" s="6">
        <v>1</v>
      </c>
      <c r="G13" s="22">
        <v>1</v>
      </c>
      <c r="H13" s="18">
        <v>93</v>
      </c>
      <c r="I13" s="20">
        <f t="shared" si="0"/>
        <v>20</v>
      </c>
      <c r="J13" s="6">
        <f t="shared" si="0"/>
        <v>1</v>
      </c>
      <c r="K13" s="22">
        <f t="shared" si="0"/>
        <v>1</v>
      </c>
      <c r="L13" s="18">
        <f t="shared" si="1"/>
        <v>93</v>
      </c>
      <c r="M13" t="b">
        <v>1</v>
      </c>
    </row>
    <row r="14" spans="1:16" x14ac:dyDescent="0.25">
      <c r="A14" s="36" t="s">
        <v>80</v>
      </c>
      <c r="B14" s="36"/>
      <c r="C14" s="38">
        <v>126</v>
      </c>
      <c r="E14" s="20">
        <f>24/100</f>
        <v>0.24</v>
      </c>
      <c r="F14" s="6">
        <f>1/100</f>
        <v>0.01</v>
      </c>
      <c r="G14" s="22">
        <f>1/100</f>
        <v>0.01</v>
      </c>
      <c r="H14" s="18">
        <f>105/100</f>
        <v>1.05</v>
      </c>
      <c r="I14" s="20">
        <f t="shared" si="0"/>
        <v>0</v>
      </c>
      <c r="J14" s="6">
        <f t="shared" si="0"/>
        <v>0</v>
      </c>
      <c r="K14" s="22">
        <f t="shared" si="0"/>
        <v>0</v>
      </c>
      <c r="L14" s="18">
        <f t="shared" si="1"/>
        <v>0</v>
      </c>
      <c r="M14" t="b">
        <v>0</v>
      </c>
    </row>
    <row r="15" spans="1:16" x14ac:dyDescent="0.25">
      <c r="A15" s="36" t="s">
        <v>82</v>
      </c>
      <c r="B15" s="36"/>
      <c r="C15" s="38">
        <f>100+150</f>
        <v>250</v>
      </c>
      <c r="E15" s="20">
        <f>24/100</f>
        <v>0.24</v>
      </c>
      <c r="F15" s="6">
        <v>0</v>
      </c>
      <c r="G15" s="22">
        <f>0</f>
        <v>0</v>
      </c>
      <c r="H15" s="18">
        <f>24*4/100</f>
        <v>0.96</v>
      </c>
      <c r="I15" s="20">
        <f t="shared" si="0"/>
        <v>60</v>
      </c>
      <c r="J15" s="6">
        <f t="shared" si="0"/>
        <v>0</v>
      </c>
      <c r="K15" s="22">
        <f t="shared" si="0"/>
        <v>0</v>
      </c>
      <c r="L15" s="18">
        <f t="shared" si="1"/>
        <v>240</v>
      </c>
      <c r="M15" t="b">
        <v>1</v>
      </c>
    </row>
    <row r="16" spans="1:16" x14ac:dyDescent="0.25">
      <c r="A16" t="s">
        <v>7</v>
      </c>
      <c r="C16" s="28">
        <v>50</v>
      </c>
      <c r="E16" s="20">
        <f>12.68/100</f>
        <v>0.1268</v>
      </c>
      <c r="F16" s="6">
        <f>72.83/100</f>
        <v>0.72829999999999995</v>
      </c>
      <c r="G16" s="22">
        <f>1.05/100</f>
        <v>1.0500000000000001E-2</v>
      </c>
      <c r="H16" s="18">
        <f>360/100</f>
        <v>3.6</v>
      </c>
      <c r="I16" s="20">
        <f t="shared" si="0"/>
        <v>0</v>
      </c>
      <c r="J16" s="6">
        <f t="shared" si="0"/>
        <v>0</v>
      </c>
      <c r="K16" s="22">
        <f t="shared" si="0"/>
        <v>0</v>
      </c>
      <c r="L16" s="18">
        <f t="shared" si="1"/>
        <v>0</v>
      </c>
      <c r="M16" t="b">
        <v>0</v>
      </c>
    </row>
    <row r="17" spans="1:13" x14ac:dyDescent="0.25">
      <c r="A17" t="s">
        <v>8</v>
      </c>
      <c r="C17" s="28">
        <v>39</v>
      </c>
      <c r="E17" s="20">
        <f>8.8/100</f>
        <v>8.8000000000000009E-2</v>
      </c>
      <c r="F17" s="6">
        <f>72/100</f>
        <v>0.72</v>
      </c>
      <c r="G17" s="22">
        <f>2.2/100</f>
        <v>2.2000000000000002E-2</v>
      </c>
      <c r="H17" s="18">
        <f>343/100</f>
        <v>3.43</v>
      </c>
      <c r="I17" s="20">
        <f t="shared" si="0"/>
        <v>0</v>
      </c>
      <c r="J17" s="6">
        <f t="shared" si="0"/>
        <v>0</v>
      </c>
      <c r="K17" s="22">
        <f t="shared" si="0"/>
        <v>0</v>
      </c>
      <c r="L17" s="18">
        <f t="shared" si="1"/>
        <v>0</v>
      </c>
      <c r="M17" t="b">
        <v>0</v>
      </c>
    </row>
    <row r="18" spans="1:13" x14ac:dyDescent="0.25">
      <c r="A18" s="35" t="s">
        <v>9</v>
      </c>
      <c r="B18" s="35"/>
      <c r="C18" s="39">
        <f>113</f>
        <v>113</v>
      </c>
      <c r="E18" s="20">
        <f>1.5/100</f>
        <v>1.4999999999999999E-2</v>
      </c>
      <c r="F18" s="6">
        <f>20/100</f>
        <v>0.2</v>
      </c>
      <c r="G18" s="22">
        <v>0</v>
      </c>
      <c r="H18" s="18">
        <f>90/100</f>
        <v>0.9</v>
      </c>
      <c r="I18" s="20">
        <f t="shared" si="0"/>
        <v>1.6949999999999998</v>
      </c>
      <c r="J18" s="6">
        <f t="shared" si="0"/>
        <v>22.6</v>
      </c>
      <c r="K18" s="22">
        <f t="shared" si="0"/>
        <v>0</v>
      </c>
      <c r="L18" s="18">
        <f t="shared" si="1"/>
        <v>101.7</v>
      </c>
      <c r="M18" t="b">
        <v>1</v>
      </c>
    </row>
    <row r="19" spans="1:13" x14ac:dyDescent="0.25">
      <c r="A19" s="35" t="s">
        <v>10</v>
      </c>
      <c r="B19" s="35"/>
      <c r="C19" s="39">
        <v>69</v>
      </c>
      <c r="E19" s="20">
        <f>1.6/100</f>
        <v>1.6E-2</v>
      </c>
      <c r="F19" s="6">
        <f>11/100</f>
        <v>0.11</v>
      </c>
      <c r="G19" s="22">
        <f>0.3/100</f>
        <v>3.0000000000000001E-3</v>
      </c>
      <c r="H19" s="18">
        <f>53/100</f>
        <v>0.53</v>
      </c>
      <c r="I19" s="20">
        <f t="shared" si="0"/>
        <v>0</v>
      </c>
      <c r="J19" s="6">
        <f t="shared" si="0"/>
        <v>0</v>
      </c>
      <c r="K19" s="22">
        <f t="shared" si="0"/>
        <v>0</v>
      </c>
      <c r="L19" s="18">
        <f t="shared" si="1"/>
        <v>0</v>
      </c>
      <c r="M19" t="b">
        <v>0</v>
      </c>
    </row>
    <row r="20" spans="1:13" x14ac:dyDescent="0.25">
      <c r="A20" s="35" t="s">
        <v>11</v>
      </c>
      <c r="B20" s="35"/>
      <c r="C20" s="39">
        <f>198</f>
        <v>198</v>
      </c>
      <c r="E20" s="20">
        <f>1/100</f>
        <v>0.01</v>
      </c>
      <c r="F20" s="6">
        <f>9/100</f>
        <v>0.09</v>
      </c>
      <c r="G20" s="22">
        <f>0.2/100</f>
        <v>2E-3</v>
      </c>
      <c r="H20" s="18">
        <f>45/100</f>
        <v>0.45</v>
      </c>
      <c r="I20" s="20">
        <f t="shared" si="0"/>
        <v>1.98</v>
      </c>
      <c r="J20" s="6">
        <f t="shared" si="0"/>
        <v>17.82</v>
      </c>
      <c r="K20" s="22">
        <f t="shared" si="0"/>
        <v>0.39600000000000002</v>
      </c>
      <c r="L20" s="18">
        <f t="shared" si="1"/>
        <v>89.100000000000009</v>
      </c>
      <c r="M20" t="b">
        <v>1</v>
      </c>
    </row>
    <row r="21" spans="1:13" x14ac:dyDescent="0.25">
      <c r="A21" t="s">
        <v>58</v>
      </c>
      <c r="C21" s="28">
        <v>180</v>
      </c>
      <c r="E21" s="20">
        <f>1.6/100</f>
        <v>1.6E-2</v>
      </c>
      <c r="F21" s="6">
        <f>20/100</f>
        <v>0.2</v>
      </c>
      <c r="G21" s="22">
        <f>0.1/100</f>
        <v>1E-3</v>
      </c>
      <c r="H21" s="18">
        <f>86/100</f>
        <v>0.86</v>
      </c>
      <c r="I21" s="20">
        <f>IF($M21=TRUE,E21*$C21,0)</f>
        <v>0</v>
      </c>
      <c r="J21" s="6">
        <f>IF($M21=TRUE,F21*$C21,0)</f>
        <v>0</v>
      </c>
      <c r="K21" s="22">
        <f>IF($M21=TRUE,G21*$C21,0)</f>
        <v>0</v>
      </c>
      <c r="L21" s="18">
        <f>IF($M21=TRUE, H21*C21,0)</f>
        <v>0</v>
      </c>
      <c r="M21" t="b">
        <v>0</v>
      </c>
    </row>
    <row r="22" spans="1:13" x14ac:dyDescent="0.25">
      <c r="A22" t="s">
        <v>12</v>
      </c>
      <c r="C22" s="28">
        <f>50+50</f>
        <v>100</v>
      </c>
      <c r="E22" s="20">
        <f>11/100</f>
        <v>0.11</v>
      </c>
      <c r="F22" s="6">
        <f>54/100</f>
        <v>0.54</v>
      </c>
      <c r="G22" s="22">
        <f>3.3/100</f>
        <v>3.3000000000000002E-2</v>
      </c>
      <c r="H22" s="18">
        <f>293/100</f>
        <v>2.93</v>
      </c>
      <c r="I22" s="20">
        <f t="shared" si="0"/>
        <v>0</v>
      </c>
      <c r="J22" s="6">
        <f t="shared" si="0"/>
        <v>0</v>
      </c>
      <c r="K22" s="22">
        <f t="shared" si="0"/>
        <v>0</v>
      </c>
      <c r="L22" s="18">
        <f t="shared" si="1"/>
        <v>0</v>
      </c>
      <c r="M22" t="b">
        <v>0</v>
      </c>
    </row>
    <row r="23" spans="1:13" x14ac:dyDescent="0.25">
      <c r="A23" t="s">
        <v>17</v>
      </c>
      <c r="C23" s="28">
        <v>24</v>
      </c>
      <c r="D23" s="2" t="s">
        <v>23</v>
      </c>
      <c r="E23" s="20">
        <f>3/100</f>
        <v>0.03</v>
      </c>
      <c r="F23" s="6">
        <f>11/100</f>
        <v>0.11</v>
      </c>
      <c r="G23" s="22">
        <f>1.5/100</f>
        <v>1.4999999999999999E-2</v>
      </c>
      <c r="H23" s="18">
        <f>74/100</f>
        <v>0.74</v>
      </c>
      <c r="I23" s="20">
        <f t="shared" si="0"/>
        <v>0</v>
      </c>
      <c r="J23" s="6">
        <f t="shared" si="0"/>
        <v>0</v>
      </c>
      <c r="K23" s="22">
        <f t="shared" si="0"/>
        <v>0</v>
      </c>
      <c r="L23" s="18">
        <f t="shared" si="1"/>
        <v>0</v>
      </c>
      <c r="M23" t="b">
        <v>0</v>
      </c>
    </row>
    <row r="24" spans="1:13" x14ac:dyDescent="0.25">
      <c r="A24" t="s">
        <v>19</v>
      </c>
      <c r="C24" s="28">
        <v>137</v>
      </c>
      <c r="D24" s="2" t="s">
        <v>25</v>
      </c>
      <c r="E24" s="20">
        <f>2/100</f>
        <v>0.02</v>
      </c>
      <c r="F24" s="6">
        <f>17/100</f>
        <v>0.17</v>
      </c>
      <c r="G24" s="22">
        <f>0.1/100</f>
        <v>1E-3</v>
      </c>
      <c r="H24" s="18">
        <f>77/100</f>
        <v>0.77</v>
      </c>
      <c r="I24" s="20">
        <f t="shared" si="0"/>
        <v>0</v>
      </c>
      <c r="J24" s="6">
        <f t="shared" si="0"/>
        <v>0</v>
      </c>
      <c r="K24" s="22">
        <f t="shared" si="0"/>
        <v>0</v>
      </c>
      <c r="L24" s="18">
        <f t="shared" si="1"/>
        <v>0</v>
      </c>
      <c r="M24" t="b">
        <v>0</v>
      </c>
    </row>
    <row r="25" spans="1:13" x14ac:dyDescent="0.25">
      <c r="A25" t="s">
        <v>20</v>
      </c>
      <c r="C25" s="28">
        <f>118</f>
        <v>118</v>
      </c>
      <c r="E25" s="20">
        <f>25/100</f>
        <v>0.25</v>
      </c>
      <c r="F25" s="6">
        <v>0</v>
      </c>
      <c r="G25" s="22">
        <f>1/100</f>
        <v>0.01</v>
      </c>
      <c r="H25" s="18">
        <f>109/100</f>
        <v>1.0900000000000001</v>
      </c>
      <c r="I25" s="20">
        <f t="shared" si="0"/>
        <v>0</v>
      </c>
      <c r="J25" s="6">
        <f t="shared" si="0"/>
        <v>0</v>
      </c>
      <c r="K25" s="22">
        <f t="shared" si="0"/>
        <v>0</v>
      </c>
      <c r="L25" s="18">
        <f t="shared" si="1"/>
        <v>0</v>
      </c>
      <c r="M25" t="b">
        <v>0</v>
      </c>
    </row>
    <row r="26" spans="1:13" x14ac:dyDescent="0.25">
      <c r="A26" s="35" t="s">
        <v>21</v>
      </c>
      <c r="B26" s="35"/>
      <c r="C26" s="39">
        <f>257</f>
        <v>257</v>
      </c>
      <c r="D26" s="2" t="s">
        <v>22</v>
      </c>
      <c r="E26" s="20">
        <f>2.3/100</f>
        <v>2.3E-2</v>
      </c>
      <c r="F26" s="6">
        <f>7.2/100</f>
        <v>7.2000000000000008E-2</v>
      </c>
      <c r="G26" s="22">
        <f>0.5/100</f>
        <v>5.0000000000000001E-3</v>
      </c>
      <c r="H26" s="18">
        <f>44/100</f>
        <v>0.44</v>
      </c>
      <c r="I26" s="20">
        <f t="shared" si="0"/>
        <v>0</v>
      </c>
      <c r="J26" s="6">
        <f t="shared" si="0"/>
        <v>0</v>
      </c>
      <c r="K26" s="22">
        <f t="shared" si="0"/>
        <v>0</v>
      </c>
      <c r="L26" s="18">
        <f t="shared" si="1"/>
        <v>0</v>
      </c>
      <c r="M26" t="b">
        <v>0</v>
      </c>
    </row>
    <row r="27" spans="1:13" x14ac:dyDescent="0.25">
      <c r="A27" t="s">
        <v>26</v>
      </c>
      <c r="C27" s="28"/>
      <c r="E27" s="20">
        <v>0</v>
      </c>
      <c r="F27" s="6">
        <v>0</v>
      </c>
      <c r="G27" s="22">
        <v>0</v>
      </c>
      <c r="H27" s="18">
        <f>275/100</f>
        <v>2.75</v>
      </c>
      <c r="I27" s="20">
        <f t="shared" si="0"/>
        <v>0</v>
      </c>
      <c r="J27" s="6">
        <f t="shared" si="0"/>
        <v>0</v>
      </c>
      <c r="K27" s="22">
        <f t="shared" si="0"/>
        <v>0</v>
      </c>
      <c r="L27" s="18">
        <f t="shared" si="1"/>
        <v>0</v>
      </c>
      <c r="M27" t="b">
        <v>0</v>
      </c>
    </row>
    <row r="28" spans="1:13" x14ac:dyDescent="0.25">
      <c r="A28" t="s">
        <v>32</v>
      </c>
      <c r="C28" s="28">
        <v>10</v>
      </c>
      <c r="E28" s="20">
        <f>22/100</f>
        <v>0.22</v>
      </c>
      <c r="F28" s="6">
        <f>6.9/100</f>
        <v>6.9000000000000006E-2</v>
      </c>
      <c r="G28" s="22">
        <f>54/100</f>
        <v>0.54</v>
      </c>
      <c r="H28" s="18">
        <f>620/100</f>
        <v>6.2</v>
      </c>
      <c r="I28" s="20">
        <f t="shared" si="0"/>
        <v>0</v>
      </c>
      <c r="J28" s="6">
        <f t="shared" si="0"/>
        <v>0</v>
      </c>
      <c r="K28" s="22">
        <f t="shared" si="0"/>
        <v>0</v>
      </c>
      <c r="L28" s="18">
        <f t="shared" si="1"/>
        <v>0</v>
      </c>
      <c r="M28" t="b">
        <v>0</v>
      </c>
    </row>
    <row r="29" spans="1:13" x14ac:dyDescent="0.25">
      <c r="A29" t="s">
        <v>33</v>
      </c>
      <c r="C29" s="28">
        <v>143</v>
      </c>
      <c r="E29" s="20">
        <v>3.6</v>
      </c>
      <c r="F29" s="6">
        <v>0.2</v>
      </c>
      <c r="G29" s="22">
        <v>0.1</v>
      </c>
      <c r="H29" s="18">
        <f>17</f>
        <v>17</v>
      </c>
      <c r="I29" s="20">
        <f t="shared" si="0"/>
        <v>0</v>
      </c>
      <c r="J29" s="6">
        <f t="shared" si="0"/>
        <v>0</v>
      </c>
      <c r="K29" s="22">
        <f t="shared" si="0"/>
        <v>0</v>
      </c>
      <c r="L29" s="18">
        <f t="shared" si="1"/>
        <v>0</v>
      </c>
      <c r="M29" t="b">
        <v>0</v>
      </c>
    </row>
    <row r="30" spans="1:13" x14ac:dyDescent="0.25">
      <c r="A30" t="s">
        <v>34</v>
      </c>
      <c r="C30" s="28">
        <v>50</v>
      </c>
      <c r="E30" s="20">
        <f>7.4/100</f>
        <v>7.400000000000001E-2</v>
      </c>
      <c r="F30" s="6">
        <f>78.7/100</f>
        <v>0.78700000000000003</v>
      </c>
      <c r="G30" s="22">
        <f>0.7/100</f>
        <v>6.9999999999999993E-3</v>
      </c>
      <c r="H30" s="18">
        <f>351/100</f>
        <v>3.51</v>
      </c>
      <c r="I30" s="20">
        <f t="shared" si="0"/>
        <v>0</v>
      </c>
      <c r="J30" s="6">
        <f t="shared" si="0"/>
        <v>0</v>
      </c>
      <c r="K30" s="22">
        <f t="shared" si="0"/>
        <v>0</v>
      </c>
      <c r="L30" s="18">
        <f t="shared" si="1"/>
        <v>0</v>
      </c>
      <c r="M30" t="b">
        <v>0</v>
      </c>
    </row>
    <row r="31" spans="1:13" x14ac:dyDescent="0.25">
      <c r="A31" t="s">
        <v>55</v>
      </c>
      <c r="C31" s="28"/>
      <c r="E31" s="20">
        <f>19/100</f>
        <v>0.19</v>
      </c>
      <c r="F31" s="6">
        <f>61/100</f>
        <v>0.61</v>
      </c>
      <c r="G31" s="22">
        <f>6/100</f>
        <v>0.06</v>
      </c>
      <c r="H31" s="18">
        <f>364/100</f>
        <v>3.64</v>
      </c>
      <c r="I31" s="20">
        <f t="shared" si="0"/>
        <v>0</v>
      </c>
      <c r="J31" s="6">
        <f t="shared" si="0"/>
        <v>0</v>
      </c>
      <c r="K31" s="22">
        <f t="shared" si="0"/>
        <v>0</v>
      </c>
      <c r="L31" s="18">
        <f t="shared" si="1"/>
        <v>0</v>
      </c>
      <c r="M31" t="b">
        <v>0</v>
      </c>
    </row>
    <row r="32" spans="1:13" x14ac:dyDescent="0.25">
      <c r="A32" t="s">
        <v>60</v>
      </c>
      <c r="C32" s="28">
        <v>60</v>
      </c>
      <c r="E32" s="20">
        <f>7.5/100</f>
        <v>7.4999999999999997E-2</v>
      </c>
      <c r="F32" s="6">
        <f>78/100</f>
        <v>0.78</v>
      </c>
      <c r="G32" s="22">
        <f>0.6/100</f>
        <v>6.0000000000000001E-3</v>
      </c>
      <c r="H32" s="18">
        <f>347/100</f>
        <v>3.47</v>
      </c>
      <c r="I32" s="20">
        <f t="shared" si="0"/>
        <v>0</v>
      </c>
      <c r="J32" s="6">
        <f t="shared" si="0"/>
        <v>0</v>
      </c>
      <c r="K32" s="22">
        <f t="shared" si="0"/>
        <v>0</v>
      </c>
      <c r="L32" s="18">
        <f t="shared" si="1"/>
        <v>0</v>
      </c>
      <c r="M32" t="b">
        <v>0</v>
      </c>
    </row>
    <row r="33" spans="1:16" x14ac:dyDescent="0.25">
      <c r="A33" t="s">
        <v>63</v>
      </c>
      <c r="C33" s="28">
        <v>39</v>
      </c>
      <c r="E33" s="20">
        <f>1.4/100</f>
        <v>1.3999999999999999E-2</v>
      </c>
      <c r="F33" s="6">
        <f>9/100</f>
        <v>0.09</v>
      </c>
      <c r="G33" s="22">
        <f>0.2/100</f>
        <v>2E-3</v>
      </c>
      <c r="H33" s="18">
        <f>43/100</f>
        <v>0.43</v>
      </c>
      <c r="I33" s="20">
        <f t="shared" si="0"/>
        <v>0</v>
      </c>
      <c r="J33" s="6">
        <f t="shared" si="0"/>
        <v>0</v>
      </c>
      <c r="K33" s="22">
        <f t="shared" si="0"/>
        <v>0</v>
      </c>
      <c r="L33" s="18">
        <f t="shared" si="1"/>
        <v>0</v>
      </c>
      <c r="M33" t="b">
        <v>0</v>
      </c>
    </row>
    <row r="34" spans="1:16" x14ac:dyDescent="0.25">
      <c r="A34" t="s">
        <v>64</v>
      </c>
      <c r="C34" s="28">
        <v>10</v>
      </c>
      <c r="E34" s="20">
        <f>4.1/100</f>
        <v>4.0999999999999995E-2</v>
      </c>
      <c r="F34" s="6">
        <f>6.6/100</f>
        <v>6.6000000000000003E-2</v>
      </c>
      <c r="G34" s="22">
        <f>5/100</f>
        <v>0.05</v>
      </c>
      <c r="H34" s="18">
        <f>84/100</f>
        <v>0.84</v>
      </c>
      <c r="I34" s="20">
        <f t="shared" si="0"/>
        <v>0</v>
      </c>
      <c r="J34" s="6">
        <f t="shared" si="0"/>
        <v>0</v>
      </c>
      <c r="K34" s="22">
        <f t="shared" si="0"/>
        <v>0</v>
      </c>
      <c r="L34" s="18">
        <f t="shared" si="1"/>
        <v>0</v>
      </c>
      <c r="M34" t="b">
        <v>0</v>
      </c>
    </row>
    <row r="35" spans="1:16" x14ac:dyDescent="0.25">
      <c r="A35" t="s">
        <v>66</v>
      </c>
      <c r="C35" s="28">
        <v>70</v>
      </c>
      <c r="E35" s="20">
        <f>14.1/100</f>
        <v>0.14099999999999999</v>
      </c>
      <c r="F35" s="6">
        <f>68.9/100</f>
        <v>0.68900000000000006</v>
      </c>
      <c r="G35" s="22">
        <f>5.8/100</f>
        <v>5.7999999999999996E-2</v>
      </c>
      <c r="H35" s="18">
        <f>380/100</f>
        <v>3.8</v>
      </c>
      <c r="I35" s="20">
        <f t="shared" si="0"/>
        <v>0</v>
      </c>
      <c r="J35" s="6">
        <f t="shared" si="0"/>
        <v>0</v>
      </c>
      <c r="K35" s="22">
        <f t="shared" si="0"/>
        <v>0</v>
      </c>
      <c r="L35" s="18">
        <f t="shared" si="1"/>
        <v>0</v>
      </c>
      <c r="M35" t="b">
        <v>0</v>
      </c>
    </row>
    <row r="36" spans="1:16" x14ac:dyDescent="0.25">
      <c r="A36" t="s">
        <v>79</v>
      </c>
      <c r="C36" s="28"/>
      <c r="E36" s="20"/>
      <c r="F36" s="6"/>
      <c r="G36" s="22"/>
      <c r="H36" s="18"/>
      <c r="I36" s="20">
        <f t="shared" ref="I36:K42" si="2">IF($M36=TRUE,E36*$C36,0)</f>
        <v>0</v>
      </c>
      <c r="J36" s="6">
        <f t="shared" si="2"/>
        <v>0</v>
      </c>
      <c r="K36" s="22">
        <f t="shared" si="2"/>
        <v>0</v>
      </c>
      <c r="L36" s="18">
        <f t="shared" si="1"/>
        <v>0</v>
      </c>
      <c r="M36" t="b">
        <v>0</v>
      </c>
      <c r="P36">
        <v>2.2046199999999998</v>
      </c>
    </row>
    <row r="37" spans="1:16" x14ac:dyDescent="0.25">
      <c r="A37" t="s">
        <v>81</v>
      </c>
      <c r="C37" s="28">
        <v>100</v>
      </c>
      <c r="E37" s="20">
        <f>1.4/100</f>
        <v>1.3999999999999999E-2</v>
      </c>
      <c r="F37" s="6">
        <f>7/100</f>
        <v>7.0000000000000007E-2</v>
      </c>
      <c r="G37" s="22">
        <f>0.2/100</f>
        <v>2E-3</v>
      </c>
      <c r="H37" s="18"/>
      <c r="I37" s="20">
        <f t="shared" si="2"/>
        <v>1.4</v>
      </c>
      <c r="J37" s="6">
        <f t="shared" si="2"/>
        <v>7.0000000000000009</v>
      </c>
      <c r="K37" s="22">
        <f t="shared" si="2"/>
        <v>0.2</v>
      </c>
      <c r="L37" s="18">
        <f t="shared" si="1"/>
        <v>0</v>
      </c>
      <c r="M37" t="b">
        <v>1</v>
      </c>
    </row>
    <row r="38" spans="1:16" x14ac:dyDescent="0.25">
      <c r="A38" t="s">
        <v>83</v>
      </c>
      <c r="C38" s="28">
        <v>1</v>
      </c>
      <c r="E38" s="20">
        <f>0.1</f>
        <v>0.1</v>
      </c>
      <c r="F38" s="6">
        <f>2.7</f>
        <v>2.7</v>
      </c>
      <c r="G38" s="22">
        <f>0</f>
        <v>0</v>
      </c>
      <c r="H38" s="18"/>
      <c r="I38" s="20">
        <f t="shared" si="2"/>
        <v>0</v>
      </c>
      <c r="J38" s="6">
        <f t="shared" si="2"/>
        <v>0</v>
      </c>
      <c r="K38" s="22">
        <f t="shared" si="2"/>
        <v>0</v>
      </c>
      <c r="L38" s="18">
        <f t="shared" si="1"/>
        <v>0</v>
      </c>
      <c r="M38" t="b">
        <v>0</v>
      </c>
      <c r="N38" s="2" t="s">
        <v>68</v>
      </c>
    </row>
    <row r="39" spans="1:16" x14ac:dyDescent="0.25">
      <c r="A39" t="s">
        <v>86</v>
      </c>
      <c r="C39" s="2">
        <v>38</v>
      </c>
      <c r="E39" s="20">
        <f>0.7/100</f>
        <v>6.9999999999999993E-3</v>
      </c>
      <c r="F39" s="6">
        <f>3.4/100</f>
        <v>3.4000000000000002E-2</v>
      </c>
      <c r="G39" s="22">
        <f>0.1/100</f>
        <v>1E-3</v>
      </c>
      <c r="H39" s="18"/>
      <c r="I39" s="20">
        <f t="shared" si="2"/>
        <v>0</v>
      </c>
      <c r="J39" s="6">
        <f t="shared" si="2"/>
        <v>0</v>
      </c>
      <c r="K39" s="22">
        <f t="shared" si="2"/>
        <v>0</v>
      </c>
      <c r="L39" s="18">
        <f t="shared" si="1"/>
        <v>0</v>
      </c>
      <c r="M39" t="b">
        <v>0</v>
      </c>
      <c r="N39" s="2"/>
    </row>
    <row r="40" spans="1:16" x14ac:dyDescent="0.25">
      <c r="A40" t="s">
        <v>85</v>
      </c>
      <c r="E40" s="20">
        <f>2/100</f>
        <v>0.02</v>
      </c>
      <c r="F40" s="6">
        <f>9/100</f>
        <v>0.09</v>
      </c>
      <c r="G40" s="22">
        <f>15/100</f>
        <v>0.15</v>
      </c>
      <c r="H40" s="18"/>
      <c r="I40" s="20">
        <f t="shared" si="2"/>
        <v>0</v>
      </c>
      <c r="J40" s="6">
        <f t="shared" si="2"/>
        <v>0</v>
      </c>
      <c r="K40" s="22">
        <f t="shared" si="2"/>
        <v>0</v>
      </c>
      <c r="L40" s="18">
        <f t="shared" si="1"/>
        <v>0</v>
      </c>
      <c r="M40" t="b">
        <v>0</v>
      </c>
      <c r="N40" s="2"/>
    </row>
    <row r="41" spans="1:16" x14ac:dyDescent="0.25">
      <c r="A41" t="s">
        <v>89</v>
      </c>
      <c r="E41" s="20">
        <f>1.2/100</f>
        <v>1.2E-2</v>
      </c>
      <c r="F41" s="6">
        <f>5.6/100</f>
        <v>5.5999999999999994E-2</v>
      </c>
      <c r="G41" s="22">
        <f>0.5/100</f>
        <v>5.0000000000000001E-3</v>
      </c>
      <c r="H41" s="10"/>
      <c r="I41" s="20">
        <f t="shared" si="2"/>
        <v>0</v>
      </c>
      <c r="J41" s="6">
        <f t="shared" si="2"/>
        <v>0</v>
      </c>
      <c r="K41" s="22">
        <f t="shared" si="2"/>
        <v>0</v>
      </c>
      <c r="L41" s="18">
        <f t="shared" si="1"/>
        <v>0</v>
      </c>
      <c r="M41" t="b">
        <v>0</v>
      </c>
      <c r="N41" s="2"/>
    </row>
    <row r="42" spans="1:16" x14ac:dyDescent="0.25">
      <c r="A42" t="s">
        <v>90</v>
      </c>
      <c r="C42" s="2">
        <v>200</v>
      </c>
      <c r="E42" s="50">
        <f>0.8/100</f>
        <v>8.0000000000000002E-3</v>
      </c>
      <c r="F42" s="51">
        <f>15/100</f>
        <v>0.15</v>
      </c>
      <c r="G42" s="52">
        <f>0.4/100</f>
        <v>4.0000000000000001E-3</v>
      </c>
      <c r="H42" s="10"/>
      <c r="I42" s="20">
        <f t="shared" si="2"/>
        <v>0</v>
      </c>
      <c r="J42" s="6">
        <f t="shared" si="2"/>
        <v>0</v>
      </c>
      <c r="K42" s="22">
        <f t="shared" si="2"/>
        <v>0</v>
      </c>
      <c r="L42" s="18">
        <f t="shared" si="1"/>
        <v>0</v>
      </c>
      <c r="M42" t="b">
        <v>0</v>
      </c>
      <c r="N42" s="2"/>
    </row>
    <row r="43" spans="1:16" x14ac:dyDescent="0.25">
      <c r="A43" t="s">
        <v>91</v>
      </c>
      <c r="C43" s="2">
        <v>100</v>
      </c>
      <c r="E43" s="50">
        <f>0.3/100</f>
        <v>3.0000000000000001E-3</v>
      </c>
      <c r="F43" s="51">
        <f>12/100</f>
        <v>0.12</v>
      </c>
      <c r="G43" s="52">
        <f>0.3/100</f>
        <v>3.0000000000000001E-3</v>
      </c>
      <c r="H43" s="10"/>
      <c r="I43" s="20">
        <f>IF($M43=TRUE,E43*$C43,0)</f>
        <v>0.3</v>
      </c>
      <c r="J43" s="6">
        <f>IF($M43=TRUE,F43*$C43,0)</f>
        <v>12</v>
      </c>
      <c r="K43" s="22">
        <f>IF($M43=TRUE,G43*$C43,0)</f>
        <v>0.3</v>
      </c>
      <c r="L43" s="18">
        <f>IF($M43=TRUE, H43*C43,0)</f>
        <v>0</v>
      </c>
      <c r="M43" t="b">
        <v>1</v>
      </c>
      <c r="N43" s="2"/>
    </row>
    <row r="44" spans="1:16" x14ac:dyDescent="0.25">
      <c r="H44" t="s">
        <v>73</v>
      </c>
      <c r="I44" s="46">
        <f>SUM(I4:I42)</f>
        <v>181.10499999999999</v>
      </c>
      <c r="J44" s="47">
        <f>SUM(J4:J42)</f>
        <v>135.465</v>
      </c>
      <c r="K44" s="48">
        <f>SUM(K4:K42)</f>
        <v>42.564000000000007</v>
      </c>
      <c r="L44" t="s">
        <v>65</v>
      </c>
      <c r="N44" s="2">
        <v>67</v>
      </c>
    </row>
    <row r="45" spans="1:16" x14ac:dyDescent="0.25">
      <c r="I45" s="49">
        <f>I44-I47</f>
        <v>-3.5319250000000011</v>
      </c>
      <c r="J45" s="49">
        <f>J44-J47</f>
        <v>-12.244539999999972</v>
      </c>
      <c r="K45" s="49">
        <f>K44-K47</f>
        <v>2.6824242000000069</v>
      </c>
    </row>
    <row r="46" spans="1:16" x14ac:dyDescent="0.25">
      <c r="L46" s="4">
        <f>SUM(L4:L35)</f>
        <v>1650.18</v>
      </c>
    </row>
    <row r="47" spans="1:16" x14ac:dyDescent="0.25">
      <c r="H47" t="s">
        <v>70</v>
      </c>
      <c r="I47" s="43">
        <f>1.25 * $P$36 * $N$44</f>
        <v>184.63692499999999</v>
      </c>
      <c r="J47" s="44">
        <f>1 * $P$36 * $N$44</f>
        <v>147.70953999999998</v>
      </c>
      <c r="K47" s="45">
        <f>0.27 * $P$36 * $N$44</f>
        <v>39.8815758</v>
      </c>
      <c r="L47">
        <f>11.43*P36* N44</f>
        <v>1688.3200421999998</v>
      </c>
    </row>
    <row r="48" spans="1:16" x14ac:dyDescent="0.25">
      <c r="H48" t="s">
        <v>71</v>
      </c>
      <c r="I48" s="43">
        <f>1.15 * $P$36 * $N$44</f>
        <v>169.86597099999997</v>
      </c>
      <c r="J48" s="44">
        <f>1.25 * $P$36 * $N$44</f>
        <v>184.63692499999999</v>
      </c>
      <c r="K48" s="45">
        <f>0.35 * $P$36 * $N$44</f>
        <v>51.69833899999999</v>
      </c>
      <c r="L48">
        <f>11.43*P36* N44</f>
        <v>1688.3200421999998</v>
      </c>
    </row>
    <row r="49" spans="1:12" x14ac:dyDescent="0.25">
      <c r="H49" t="s">
        <v>72</v>
      </c>
      <c r="I49" s="43">
        <f>1.1 * $P$36 * $N$44</f>
        <v>162.48049400000002</v>
      </c>
      <c r="J49" s="44">
        <f>2 * $P$36 * $N$44</f>
        <v>295.41907999999995</v>
      </c>
      <c r="K49" s="45">
        <f>0.5* $P$36 * $N$44</f>
        <v>73.854769999999988</v>
      </c>
      <c r="L49">
        <f>11.43*P36* N44</f>
        <v>1688.3200421999998</v>
      </c>
    </row>
    <row r="50" spans="1:12" x14ac:dyDescent="0.25">
      <c r="A50" t="s">
        <v>77</v>
      </c>
      <c r="B50" t="s">
        <v>78</v>
      </c>
    </row>
    <row r="51" spans="1:12" x14ac:dyDescent="0.25">
      <c r="A51" t="s">
        <v>75</v>
      </c>
    </row>
    <row r="52" spans="1:12" x14ac:dyDescent="0.25">
      <c r="A52" t="s">
        <v>74</v>
      </c>
    </row>
    <row r="53" spans="1:12" x14ac:dyDescent="0.25">
      <c r="A53">
        <f>0.25*J47</f>
        <v>36.927384999999994</v>
      </c>
    </row>
    <row r="54" spans="1:12" x14ac:dyDescent="0.25">
      <c r="A54">
        <f>0.35*J47</f>
        <v>51.69833899999999</v>
      </c>
    </row>
    <row r="55" spans="1:12" x14ac:dyDescent="0.25">
      <c r="A55" t="s">
        <v>76</v>
      </c>
    </row>
  </sheetData>
  <conditionalFormatting sqref="I45">
    <cfRule type="colorScale" priority="3">
      <colorScale>
        <cfvo type="formula" val="-$I$47"/>
        <cfvo type="num" val="0"/>
        <cfvo type="num" val="20"/>
        <color rgb="FFFF8B8B"/>
        <color rgb="FF00B050"/>
        <color rgb="FFFF8B8B"/>
      </colorScale>
    </cfRule>
  </conditionalFormatting>
  <conditionalFormatting sqref="J45">
    <cfRule type="colorScale" priority="2">
      <colorScale>
        <cfvo type="formula" val="-$J$47"/>
        <cfvo type="percentile" val="0"/>
        <cfvo type="num" val="20"/>
        <color rgb="FFFF8B8B"/>
        <color rgb="FF00B050"/>
        <color rgb="FFFF8B8B"/>
      </colorScale>
    </cfRule>
  </conditionalFormatting>
  <conditionalFormatting sqref="K45">
    <cfRule type="colorScale" priority="1">
      <colorScale>
        <cfvo type="formula" val="-$K$47"/>
        <cfvo type="percentile" val="0"/>
        <cfvo type="num" val="20"/>
        <color rgb="FFFF8B8B"/>
        <color rgb="FF00B050"/>
        <color rgb="FFFF8B8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Case à cocher 1">
              <controlPr defaultSize="0" autoFill="0" autoLine="0" autoPict="0">
                <anchor moveWithCells="1">
                  <from>
                    <xdr:col>1</xdr:col>
                    <xdr:colOff>161925</xdr:colOff>
                    <xdr:row>3</xdr:row>
                    <xdr:rowOff>0</xdr:rowOff>
                  </from>
                  <to>
                    <xdr:col>1</xdr:col>
                    <xdr:colOff>342900</xdr:colOff>
                    <xdr:row>4</xdr:row>
                    <xdr:rowOff>0</xdr:rowOff>
                  </to>
                </anchor>
              </controlPr>
            </control>
          </mc:Choice>
        </mc:AlternateContent>
        <mc:AlternateContent xmlns:mc="http://schemas.openxmlformats.org/markup-compatibility/2006">
          <mc:Choice Requires="x14">
            <control shapeId="48130" r:id="rId5" name="Case à cocher 2">
              <controlPr defaultSize="0" autoFill="0" autoLine="0" autoPict="0">
                <anchor moveWithCells="1">
                  <from>
                    <xdr:col>1</xdr:col>
                    <xdr:colOff>152400</xdr:colOff>
                    <xdr:row>3</xdr:row>
                    <xdr:rowOff>9525</xdr:rowOff>
                  </from>
                  <to>
                    <xdr:col>1</xdr:col>
                    <xdr:colOff>333375</xdr:colOff>
                    <xdr:row>4</xdr:row>
                    <xdr:rowOff>9525</xdr:rowOff>
                  </to>
                </anchor>
              </controlPr>
            </control>
          </mc:Choice>
        </mc:AlternateContent>
        <mc:AlternateContent xmlns:mc="http://schemas.openxmlformats.org/markup-compatibility/2006">
          <mc:Choice Requires="x14">
            <control shapeId="48131" r:id="rId6" name="Case à cocher 4">
              <controlPr defaultSize="0" autoFill="0" autoLine="0" autoPict="0">
                <anchor moveWithCells="1">
                  <from>
                    <xdr:col>1</xdr:col>
                    <xdr:colOff>152400</xdr:colOff>
                    <xdr:row>7</xdr:row>
                    <xdr:rowOff>0</xdr:rowOff>
                  </from>
                  <to>
                    <xdr:col>1</xdr:col>
                    <xdr:colOff>333375</xdr:colOff>
                    <xdr:row>8</xdr:row>
                    <xdr:rowOff>0</xdr:rowOff>
                  </to>
                </anchor>
              </controlPr>
            </control>
          </mc:Choice>
        </mc:AlternateContent>
        <mc:AlternateContent xmlns:mc="http://schemas.openxmlformats.org/markup-compatibility/2006">
          <mc:Choice Requires="x14">
            <control shapeId="48132" r:id="rId7" name="Case à cocher 5">
              <controlPr defaultSize="0" autoFill="0" autoLine="0" autoPict="0">
                <anchor moveWithCells="1">
                  <from>
                    <xdr:col>1</xdr:col>
                    <xdr:colOff>152400</xdr:colOff>
                    <xdr:row>8</xdr:row>
                    <xdr:rowOff>9525</xdr:rowOff>
                  </from>
                  <to>
                    <xdr:col>1</xdr:col>
                    <xdr:colOff>333375</xdr:colOff>
                    <xdr:row>9</xdr:row>
                    <xdr:rowOff>9525</xdr:rowOff>
                  </to>
                </anchor>
              </controlPr>
            </control>
          </mc:Choice>
        </mc:AlternateContent>
        <mc:AlternateContent xmlns:mc="http://schemas.openxmlformats.org/markup-compatibility/2006">
          <mc:Choice Requires="x14">
            <control shapeId="48133" r:id="rId8" name="Case à cocher 6">
              <controlPr defaultSize="0" autoFill="0" autoLine="0" autoPict="0">
                <anchor moveWithCells="1">
                  <from>
                    <xdr:col>1</xdr:col>
                    <xdr:colOff>152400</xdr:colOff>
                    <xdr:row>29</xdr:row>
                    <xdr:rowOff>190500</xdr:rowOff>
                  </from>
                  <to>
                    <xdr:col>1</xdr:col>
                    <xdr:colOff>333375</xdr:colOff>
                    <xdr:row>31</xdr:row>
                    <xdr:rowOff>0</xdr:rowOff>
                  </to>
                </anchor>
              </controlPr>
            </control>
          </mc:Choice>
        </mc:AlternateContent>
        <mc:AlternateContent xmlns:mc="http://schemas.openxmlformats.org/markup-compatibility/2006">
          <mc:Choice Requires="x14">
            <control shapeId="48134" r:id="rId9" name="Case à cocher 7">
              <controlPr defaultSize="0" autoFill="0" autoLine="0" autoPict="0">
                <anchor moveWithCells="1">
                  <from>
                    <xdr:col>1</xdr:col>
                    <xdr:colOff>152400</xdr:colOff>
                    <xdr:row>15</xdr:row>
                    <xdr:rowOff>19050</xdr:rowOff>
                  </from>
                  <to>
                    <xdr:col>1</xdr:col>
                    <xdr:colOff>333375</xdr:colOff>
                    <xdr:row>16</xdr:row>
                    <xdr:rowOff>19050</xdr:rowOff>
                  </to>
                </anchor>
              </controlPr>
            </control>
          </mc:Choice>
        </mc:AlternateContent>
        <mc:AlternateContent xmlns:mc="http://schemas.openxmlformats.org/markup-compatibility/2006">
          <mc:Choice Requires="x14">
            <control shapeId="48135" r:id="rId10" name="Case à cocher 8">
              <controlPr defaultSize="0" autoFill="0" autoLine="0" autoPict="0">
                <anchor moveWithCells="1">
                  <from>
                    <xdr:col>1</xdr:col>
                    <xdr:colOff>152400</xdr:colOff>
                    <xdr:row>16</xdr:row>
                    <xdr:rowOff>9525</xdr:rowOff>
                  </from>
                  <to>
                    <xdr:col>1</xdr:col>
                    <xdr:colOff>333375</xdr:colOff>
                    <xdr:row>17</xdr:row>
                    <xdr:rowOff>9525</xdr:rowOff>
                  </to>
                </anchor>
              </controlPr>
            </control>
          </mc:Choice>
        </mc:AlternateContent>
        <mc:AlternateContent xmlns:mc="http://schemas.openxmlformats.org/markup-compatibility/2006">
          <mc:Choice Requires="x14">
            <control shapeId="48136" r:id="rId11" name="Case à cocher 9">
              <controlPr defaultSize="0" autoFill="0" autoLine="0" autoPict="0">
                <anchor moveWithCells="1">
                  <from>
                    <xdr:col>1</xdr:col>
                    <xdr:colOff>152400</xdr:colOff>
                    <xdr:row>17</xdr:row>
                    <xdr:rowOff>9525</xdr:rowOff>
                  </from>
                  <to>
                    <xdr:col>1</xdr:col>
                    <xdr:colOff>333375</xdr:colOff>
                    <xdr:row>18</xdr:row>
                    <xdr:rowOff>9525</xdr:rowOff>
                  </to>
                </anchor>
              </controlPr>
            </control>
          </mc:Choice>
        </mc:AlternateContent>
        <mc:AlternateContent xmlns:mc="http://schemas.openxmlformats.org/markup-compatibility/2006">
          <mc:Choice Requires="x14">
            <control shapeId="48137" r:id="rId12" name="Case à cocher 10">
              <controlPr defaultSize="0" autoFill="0" autoLine="0" autoPict="0">
                <anchor moveWithCells="1">
                  <from>
                    <xdr:col>1</xdr:col>
                    <xdr:colOff>152400</xdr:colOff>
                    <xdr:row>17</xdr:row>
                    <xdr:rowOff>171450</xdr:rowOff>
                  </from>
                  <to>
                    <xdr:col>1</xdr:col>
                    <xdr:colOff>333375</xdr:colOff>
                    <xdr:row>18</xdr:row>
                    <xdr:rowOff>171450</xdr:rowOff>
                  </to>
                </anchor>
              </controlPr>
            </control>
          </mc:Choice>
        </mc:AlternateContent>
        <mc:AlternateContent xmlns:mc="http://schemas.openxmlformats.org/markup-compatibility/2006">
          <mc:Choice Requires="x14">
            <control shapeId="48138" r:id="rId13" name="Case à cocher 11">
              <controlPr defaultSize="0" autoFill="0" autoLine="0" autoPict="0">
                <anchor moveWithCells="1">
                  <from>
                    <xdr:col>1</xdr:col>
                    <xdr:colOff>152400</xdr:colOff>
                    <xdr:row>18</xdr:row>
                    <xdr:rowOff>171450</xdr:rowOff>
                  </from>
                  <to>
                    <xdr:col>1</xdr:col>
                    <xdr:colOff>333375</xdr:colOff>
                    <xdr:row>19</xdr:row>
                    <xdr:rowOff>171450</xdr:rowOff>
                  </to>
                </anchor>
              </controlPr>
            </control>
          </mc:Choice>
        </mc:AlternateContent>
        <mc:AlternateContent xmlns:mc="http://schemas.openxmlformats.org/markup-compatibility/2006">
          <mc:Choice Requires="x14">
            <control shapeId="48139" r:id="rId14" name="Check Box 11">
              <controlPr defaultSize="0" autoFill="0" autoLine="0" autoPict="0">
                <anchor moveWithCells="1">
                  <from>
                    <xdr:col>1</xdr:col>
                    <xdr:colOff>152400</xdr:colOff>
                    <xdr:row>20</xdr:row>
                    <xdr:rowOff>180975</xdr:rowOff>
                  </from>
                  <to>
                    <xdr:col>1</xdr:col>
                    <xdr:colOff>333375</xdr:colOff>
                    <xdr:row>21</xdr:row>
                    <xdr:rowOff>180975</xdr:rowOff>
                  </to>
                </anchor>
              </controlPr>
            </control>
          </mc:Choice>
        </mc:AlternateContent>
        <mc:AlternateContent xmlns:mc="http://schemas.openxmlformats.org/markup-compatibility/2006">
          <mc:Choice Requires="x14">
            <control shapeId="48140" r:id="rId15" name="Check Box 13">
              <controlPr defaultSize="0" autoFill="0" autoLine="0" autoPict="0">
                <anchor moveWithCells="1">
                  <from>
                    <xdr:col>1</xdr:col>
                    <xdr:colOff>152400</xdr:colOff>
                    <xdr:row>11</xdr:row>
                    <xdr:rowOff>180975</xdr:rowOff>
                  </from>
                  <to>
                    <xdr:col>1</xdr:col>
                    <xdr:colOff>333375</xdr:colOff>
                    <xdr:row>13</xdr:row>
                    <xdr:rowOff>0</xdr:rowOff>
                  </to>
                </anchor>
              </controlPr>
            </control>
          </mc:Choice>
        </mc:AlternateContent>
        <mc:AlternateContent xmlns:mc="http://schemas.openxmlformats.org/markup-compatibility/2006">
          <mc:Choice Requires="x14">
            <control shapeId="48141" r:id="rId16" name="Check Box 14">
              <controlPr defaultSize="0" autoFill="0" autoLine="0" autoPict="0">
                <anchor moveWithCells="1">
                  <from>
                    <xdr:col>1</xdr:col>
                    <xdr:colOff>152400</xdr:colOff>
                    <xdr:row>21</xdr:row>
                    <xdr:rowOff>180975</xdr:rowOff>
                  </from>
                  <to>
                    <xdr:col>1</xdr:col>
                    <xdr:colOff>333375</xdr:colOff>
                    <xdr:row>23</xdr:row>
                    <xdr:rowOff>0</xdr:rowOff>
                  </to>
                </anchor>
              </controlPr>
            </control>
          </mc:Choice>
        </mc:AlternateContent>
        <mc:AlternateContent xmlns:mc="http://schemas.openxmlformats.org/markup-compatibility/2006">
          <mc:Choice Requires="x14">
            <control shapeId="48142" r:id="rId17" name="Check Box 15">
              <controlPr defaultSize="0" autoFill="0" autoLine="0" autoPict="0">
                <anchor moveWithCells="1">
                  <from>
                    <xdr:col>1</xdr:col>
                    <xdr:colOff>152400</xdr:colOff>
                    <xdr:row>6</xdr:row>
                    <xdr:rowOff>0</xdr:rowOff>
                  </from>
                  <to>
                    <xdr:col>1</xdr:col>
                    <xdr:colOff>333375</xdr:colOff>
                    <xdr:row>7</xdr:row>
                    <xdr:rowOff>0</xdr:rowOff>
                  </to>
                </anchor>
              </controlPr>
            </control>
          </mc:Choice>
        </mc:AlternateContent>
        <mc:AlternateContent xmlns:mc="http://schemas.openxmlformats.org/markup-compatibility/2006">
          <mc:Choice Requires="x14">
            <control shapeId="48143" r:id="rId18" name="Check Box 16">
              <controlPr defaultSize="0" autoFill="0" autoLine="0" autoPict="0">
                <anchor moveWithCells="1">
                  <from>
                    <xdr:col>1</xdr:col>
                    <xdr:colOff>152400</xdr:colOff>
                    <xdr:row>23</xdr:row>
                    <xdr:rowOff>0</xdr:rowOff>
                  </from>
                  <to>
                    <xdr:col>1</xdr:col>
                    <xdr:colOff>333375</xdr:colOff>
                    <xdr:row>24</xdr:row>
                    <xdr:rowOff>9525</xdr:rowOff>
                  </to>
                </anchor>
              </controlPr>
            </control>
          </mc:Choice>
        </mc:AlternateContent>
        <mc:AlternateContent xmlns:mc="http://schemas.openxmlformats.org/markup-compatibility/2006">
          <mc:Choice Requires="x14">
            <control shapeId="48144" r:id="rId19" name="Check Box 17">
              <controlPr defaultSize="0" autoFill="0" autoLine="0" autoPict="0">
                <anchor moveWithCells="1">
                  <from>
                    <xdr:col>1</xdr:col>
                    <xdr:colOff>152400</xdr:colOff>
                    <xdr:row>23</xdr:row>
                    <xdr:rowOff>180975</xdr:rowOff>
                  </from>
                  <to>
                    <xdr:col>1</xdr:col>
                    <xdr:colOff>333375</xdr:colOff>
                    <xdr:row>25</xdr:row>
                    <xdr:rowOff>0</xdr:rowOff>
                  </to>
                </anchor>
              </controlPr>
            </control>
          </mc:Choice>
        </mc:AlternateContent>
        <mc:AlternateContent xmlns:mc="http://schemas.openxmlformats.org/markup-compatibility/2006">
          <mc:Choice Requires="x14">
            <control shapeId="48145" r:id="rId20" name="Check Box 18">
              <controlPr defaultSize="0" autoFill="0" autoLine="0" autoPict="0">
                <anchor moveWithCells="1">
                  <from>
                    <xdr:col>1</xdr:col>
                    <xdr:colOff>152400</xdr:colOff>
                    <xdr:row>25</xdr:row>
                    <xdr:rowOff>0</xdr:rowOff>
                  </from>
                  <to>
                    <xdr:col>1</xdr:col>
                    <xdr:colOff>333375</xdr:colOff>
                    <xdr:row>26</xdr:row>
                    <xdr:rowOff>0</xdr:rowOff>
                  </to>
                </anchor>
              </controlPr>
            </control>
          </mc:Choice>
        </mc:AlternateContent>
        <mc:AlternateContent xmlns:mc="http://schemas.openxmlformats.org/markup-compatibility/2006">
          <mc:Choice Requires="x14">
            <control shapeId="48146" r:id="rId21" name="Check Box 19">
              <controlPr defaultSize="0" autoFill="0" autoLine="0" autoPict="0">
                <anchor moveWithCells="1">
                  <from>
                    <xdr:col>1</xdr:col>
                    <xdr:colOff>152400</xdr:colOff>
                    <xdr:row>26</xdr:row>
                    <xdr:rowOff>0</xdr:rowOff>
                  </from>
                  <to>
                    <xdr:col>1</xdr:col>
                    <xdr:colOff>333375</xdr:colOff>
                    <xdr:row>27</xdr:row>
                    <xdr:rowOff>0</xdr:rowOff>
                  </to>
                </anchor>
              </controlPr>
            </control>
          </mc:Choice>
        </mc:AlternateContent>
        <mc:AlternateContent xmlns:mc="http://schemas.openxmlformats.org/markup-compatibility/2006">
          <mc:Choice Requires="x14">
            <control shapeId="48147" r:id="rId22" name="Check Box 20">
              <controlPr defaultSize="0" autoFill="0" autoLine="0" autoPict="0">
                <anchor moveWithCells="1">
                  <from>
                    <xdr:col>1</xdr:col>
                    <xdr:colOff>152400</xdr:colOff>
                    <xdr:row>27</xdr:row>
                    <xdr:rowOff>9525</xdr:rowOff>
                  </from>
                  <to>
                    <xdr:col>1</xdr:col>
                    <xdr:colOff>333375</xdr:colOff>
                    <xdr:row>28</xdr:row>
                    <xdr:rowOff>9525</xdr:rowOff>
                  </to>
                </anchor>
              </controlPr>
            </control>
          </mc:Choice>
        </mc:AlternateContent>
        <mc:AlternateContent xmlns:mc="http://schemas.openxmlformats.org/markup-compatibility/2006">
          <mc:Choice Requires="x14">
            <control shapeId="48148" r:id="rId23" name="Check Box 21">
              <controlPr defaultSize="0" autoFill="0" autoLine="0" autoPict="0">
                <anchor moveWithCells="1">
                  <from>
                    <xdr:col>1</xdr:col>
                    <xdr:colOff>152400</xdr:colOff>
                    <xdr:row>28</xdr:row>
                    <xdr:rowOff>9525</xdr:rowOff>
                  </from>
                  <to>
                    <xdr:col>1</xdr:col>
                    <xdr:colOff>333375</xdr:colOff>
                    <xdr:row>29</xdr:row>
                    <xdr:rowOff>9525</xdr:rowOff>
                  </to>
                </anchor>
              </controlPr>
            </control>
          </mc:Choice>
        </mc:AlternateContent>
        <mc:AlternateContent xmlns:mc="http://schemas.openxmlformats.org/markup-compatibility/2006">
          <mc:Choice Requires="x14">
            <control shapeId="48149" r:id="rId24" name="Check Box 21">
              <controlPr defaultSize="0" autoFill="0" autoLine="0" autoPict="0">
                <anchor moveWithCells="1">
                  <from>
                    <xdr:col>1</xdr:col>
                    <xdr:colOff>152400</xdr:colOff>
                    <xdr:row>28</xdr:row>
                    <xdr:rowOff>180975</xdr:rowOff>
                  </from>
                  <to>
                    <xdr:col>1</xdr:col>
                    <xdr:colOff>333375</xdr:colOff>
                    <xdr:row>29</xdr:row>
                    <xdr:rowOff>180975</xdr:rowOff>
                  </to>
                </anchor>
              </controlPr>
            </control>
          </mc:Choice>
        </mc:AlternateContent>
        <mc:AlternateContent xmlns:mc="http://schemas.openxmlformats.org/markup-compatibility/2006">
          <mc:Choice Requires="x14">
            <control shapeId="48150" r:id="rId25" name="Check Box 22">
              <controlPr defaultSize="0" autoFill="0" autoLine="0" autoPict="0">
                <anchor moveWithCells="1">
                  <from>
                    <xdr:col>1</xdr:col>
                    <xdr:colOff>152400</xdr:colOff>
                    <xdr:row>4</xdr:row>
                    <xdr:rowOff>0</xdr:rowOff>
                  </from>
                  <to>
                    <xdr:col>1</xdr:col>
                    <xdr:colOff>333375</xdr:colOff>
                    <xdr:row>5</xdr:row>
                    <xdr:rowOff>0</xdr:rowOff>
                  </to>
                </anchor>
              </controlPr>
            </control>
          </mc:Choice>
        </mc:AlternateContent>
        <mc:AlternateContent xmlns:mc="http://schemas.openxmlformats.org/markup-compatibility/2006">
          <mc:Choice Requires="x14">
            <control shapeId="48151" r:id="rId26" name="Check Box 23">
              <controlPr defaultSize="0" autoFill="0" autoLine="0" autoPict="0">
                <anchor moveWithCells="1">
                  <from>
                    <xdr:col>1</xdr:col>
                    <xdr:colOff>152400</xdr:colOff>
                    <xdr:row>19</xdr:row>
                    <xdr:rowOff>180975</xdr:rowOff>
                  </from>
                  <to>
                    <xdr:col>1</xdr:col>
                    <xdr:colOff>333375</xdr:colOff>
                    <xdr:row>20</xdr:row>
                    <xdr:rowOff>180975</xdr:rowOff>
                  </to>
                </anchor>
              </controlPr>
            </control>
          </mc:Choice>
        </mc:AlternateContent>
        <mc:AlternateContent xmlns:mc="http://schemas.openxmlformats.org/markup-compatibility/2006">
          <mc:Choice Requires="x14">
            <control shapeId="48152" r:id="rId27" name="Check Box 24">
              <controlPr defaultSize="0" autoFill="0" autoLine="0" autoPict="0">
                <anchor moveWithCells="1">
                  <from>
                    <xdr:col>1</xdr:col>
                    <xdr:colOff>152400</xdr:colOff>
                    <xdr:row>10</xdr:row>
                    <xdr:rowOff>190500</xdr:rowOff>
                  </from>
                  <to>
                    <xdr:col>1</xdr:col>
                    <xdr:colOff>333375</xdr:colOff>
                    <xdr:row>12</xdr:row>
                    <xdr:rowOff>0</xdr:rowOff>
                  </to>
                </anchor>
              </controlPr>
            </control>
          </mc:Choice>
        </mc:AlternateContent>
        <mc:AlternateContent xmlns:mc="http://schemas.openxmlformats.org/markup-compatibility/2006">
          <mc:Choice Requires="x14">
            <control shapeId="48153" r:id="rId28" name="Check Box 25">
              <controlPr defaultSize="0" autoFill="0" autoLine="0" autoPict="0">
                <anchor moveWithCells="1">
                  <from>
                    <xdr:col>1</xdr:col>
                    <xdr:colOff>152400</xdr:colOff>
                    <xdr:row>31</xdr:row>
                    <xdr:rowOff>0</xdr:rowOff>
                  </from>
                  <to>
                    <xdr:col>1</xdr:col>
                    <xdr:colOff>333375</xdr:colOff>
                    <xdr:row>32</xdr:row>
                    <xdr:rowOff>0</xdr:rowOff>
                  </to>
                </anchor>
              </controlPr>
            </control>
          </mc:Choice>
        </mc:AlternateContent>
        <mc:AlternateContent xmlns:mc="http://schemas.openxmlformats.org/markup-compatibility/2006">
          <mc:Choice Requires="x14">
            <control shapeId="48154" r:id="rId29" name="Check Box 26">
              <controlPr defaultSize="0" autoFill="0" autoLine="0" autoPict="0">
                <anchor moveWithCells="1">
                  <from>
                    <xdr:col>1</xdr:col>
                    <xdr:colOff>152400</xdr:colOff>
                    <xdr:row>32</xdr:row>
                    <xdr:rowOff>0</xdr:rowOff>
                  </from>
                  <to>
                    <xdr:col>1</xdr:col>
                    <xdr:colOff>333375</xdr:colOff>
                    <xdr:row>33</xdr:row>
                    <xdr:rowOff>0</xdr:rowOff>
                  </to>
                </anchor>
              </controlPr>
            </control>
          </mc:Choice>
        </mc:AlternateContent>
        <mc:AlternateContent xmlns:mc="http://schemas.openxmlformats.org/markup-compatibility/2006">
          <mc:Choice Requires="x14">
            <control shapeId="48155" r:id="rId30" name="Check Box 27">
              <controlPr defaultSize="0" autoFill="0" autoLine="0" autoPict="0">
                <anchor moveWithCells="1">
                  <from>
                    <xdr:col>1</xdr:col>
                    <xdr:colOff>152400</xdr:colOff>
                    <xdr:row>33</xdr:row>
                    <xdr:rowOff>0</xdr:rowOff>
                  </from>
                  <to>
                    <xdr:col>1</xdr:col>
                    <xdr:colOff>333375</xdr:colOff>
                    <xdr:row>34</xdr:row>
                    <xdr:rowOff>0</xdr:rowOff>
                  </to>
                </anchor>
              </controlPr>
            </control>
          </mc:Choice>
        </mc:AlternateContent>
        <mc:AlternateContent xmlns:mc="http://schemas.openxmlformats.org/markup-compatibility/2006">
          <mc:Choice Requires="x14">
            <control shapeId="48156" r:id="rId31" name="Check Box 28">
              <controlPr defaultSize="0" autoFill="0" autoLine="0" autoPict="0">
                <anchor moveWithCells="1">
                  <from>
                    <xdr:col>1</xdr:col>
                    <xdr:colOff>152400</xdr:colOff>
                    <xdr:row>33</xdr:row>
                    <xdr:rowOff>171450</xdr:rowOff>
                  </from>
                  <to>
                    <xdr:col>1</xdr:col>
                    <xdr:colOff>333375</xdr:colOff>
                    <xdr:row>34</xdr:row>
                    <xdr:rowOff>171450</xdr:rowOff>
                  </to>
                </anchor>
              </controlPr>
            </control>
          </mc:Choice>
        </mc:AlternateContent>
        <mc:AlternateContent xmlns:mc="http://schemas.openxmlformats.org/markup-compatibility/2006">
          <mc:Choice Requires="x14">
            <control shapeId="48157" r:id="rId32" name="Check Box 29">
              <controlPr defaultSize="0" autoFill="0" autoLine="0" autoPict="0">
                <anchor moveWithCells="1">
                  <from>
                    <xdr:col>1</xdr:col>
                    <xdr:colOff>152400</xdr:colOff>
                    <xdr:row>5</xdr:row>
                    <xdr:rowOff>0</xdr:rowOff>
                  </from>
                  <to>
                    <xdr:col>1</xdr:col>
                    <xdr:colOff>333375</xdr:colOff>
                    <xdr:row>6</xdr:row>
                    <xdr:rowOff>0</xdr:rowOff>
                  </to>
                </anchor>
              </controlPr>
            </control>
          </mc:Choice>
        </mc:AlternateContent>
        <mc:AlternateContent xmlns:mc="http://schemas.openxmlformats.org/markup-compatibility/2006">
          <mc:Choice Requires="x14">
            <control shapeId="48158" r:id="rId33" name="Check Box 30">
              <controlPr defaultSize="0" autoFill="0" autoLine="0" autoPict="0">
                <anchor moveWithCells="1">
                  <from>
                    <xdr:col>1</xdr:col>
                    <xdr:colOff>152400</xdr:colOff>
                    <xdr:row>8</xdr:row>
                    <xdr:rowOff>180975</xdr:rowOff>
                  </from>
                  <to>
                    <xdr:col>1</xdr:col>
                    <xdr:colOff>333375</xdr:colOff>
                    <xdr:row>9</xdr:row>
                    <xdr:rowOff>180975</xdr:rowOff>
                  </to>
                </anchor>
              </controlPr>
            </control>
          </mc:Choice>
        </mc:AlternateContent>
        <mc:AlternateContent xmlns:mc="http://schemas.openxmlformats.org/markup-compatibility/2006">
          <mc:Choice Requires="x14">
            <control shapeId="48159" r:id="rId34" name="Check Box 31">
              <controlPr defaultSize="0" autoFill="0" autoLine="0" autoPict="0">
                <anchor moveWithCells="1">
                  <from>
                    <xdr:col>1</xdr:col>
                    <xdr:colOff>152400</xdr:colOff>
                    <xdr:row>12</xdr:row>
                    <xdr:rowOff>171450</xdr:rowOff>
                  </from>
                  <to>
                    <xdr:col>1</xdr:col>
                    <xdr:colOff>333375</xdr:colOff>
                    <xdr:row>13</xdr:row>
                    <xdr:rowOff>180975</xdr:rowOff>
                  </to>
                </anchor>
              </controlPr>
            </control>
          </mc:Choice>
        </mc:AlternateContent>
        <mc:AlternateContent xmlns:mc="http://schemas.openxmlformats.org/markup-compatibility/2006">
          <mc:Choice Requires="x14">
            <control shapeId="48160" r:id="rId35" name="Check Box 32">
              <controlPr defaultSize="0" autoFill="0" autoLine="0" autoPict="0">
                <anchor moveWithCells="1">
                  <from>
                    <xdr:col>1</xdr:col>
                    <xdr:colOff>152400</xdr:colOff>
                    <xdr:row>34</xdr:row>
                    <xdr:rowOff>180975</xdr:rowOff>
                  </from>
                  <to>
                    <xdr:col>1</xdr:col>
                    <xdr:colOff>333375</xdr:colOff>
                    <xdr:row>35</xdr:row>
                    <xdr:rowOff>180975</xdr:rowOff>
                  </to>
                </anchor>
              </controlPr>
            </control>
          </mc:Choice>
        </mc:AlternateContent>
        <mc:AlternateContent xmlns:mc="http://schemas.openxmlformats.org/markup-compatibility/2006">
          <mc:Choice Requires="x14">
            <control shapeId="48161" r:id="rId36" name="Check Box 33">
              <controlPr defaultSize="0" autoFill="0" autoLine="0" autoPict="0">
                <anchor moveWithCells="1">
                  <from>
                    <xdr:col>1</xdr:col>
                    <xdr:colOff>152400</xdr:colOff>
                    <xdr:row>35</xdr:row>
                    <xdr:rowOff>180975</xdr:rowOff>
                  </from>
                  <to>
                    <xdr:col>1</xdr:col>
                    <xdr:colOff>333375</xdr:colOff>
                    <xdr:row>36</xdr:row>
                    <xdr:rowOff>180975</xdr:rowOff>
                  </to>
                </anchor>
              </controlPr>
            </control>
          </mc:Choice>
        </mc:AlternateContent>
        <mc:AlternateContent xmlns:mc="http://schemas.openxmlformats.org/markup-compatibility/2006">
          <mc:Choice Requires="x14">
            <control shapeId="48162" r:id="rId37" name="Check Box 34">
              <controlPr defaultSize="0" autoFill="0" autoLine="0" autoPict="0">
                <anchor moveWithCells="1">
                  <from>
                    <xdr:col>1</xdr:col>
                    <xdr:colOff>152400</xdr:colOff>
                    <xdr:row>13</xdr:row>
                    <xdr:rowOff>161925</xdr:rowOff>
                  </from>
                  <to>
                    <xdr:col>1</xdr:col>
                    <xdr:colOff>333375</xdr:colOff>
                    <xdr:row>14</xdr:row>
                    <xdr:rowOff>171450</xdr:rowOff>
                  </to>
                </anchor>
              </controlPr>
            </control>
          </mc:Choice>
        </mc:AlternateContent>
        <mc:AlternateContent xmlns:mc="http://schemas.openxmlformats.org/markup-compatibility/2006">
          <mc:Choice Requires="x14">
            <control shapeId="48163" r:id="rId38" name="Check Box 35">
              <controlPr defaultSize="0" autoFill="0" autoLine="0" autoPict="0">
                <anchor moveWithCells="1">
                  <from>
                    <xdr:col>1</xdr:col>
                    <xdr:colOff>142875</xdr:colOff>
                    <xdr:row>36</xdr:row>
                    <xdr:rowOff>180975</xdr:rowOff>
                  </from>
                  <to>
                    <xdr:col>1</xdr:col>
                    <xdr:colOff>323850</xdr:colOff>
                    <xdr:row>37</xdr:row>
                    <xdr:rowOff>180975</xdr:rowOff>
                  </to>
                </anchor>
              </controlPr>
            </control>
          </mc:Choice>
        </mc:AlternateContent>
        <mc:AlternateContent xmlns:mc="http://schemas.openxmlformats.org/markup-compatibility/2006">
          <mc:Choice Requires="x14">
            <control shapeId="48164" r:id="rId39" name="Check Box 36">
              <controlPr defaultSize="0" autoFill="0" autoLine="0" autoPict="0">
                <anchor moveWithCells="1">
                  <from>
                    <xdr:col>1</xdr:col>
                    <xdr:colOff>142875</xdr:colOff>
                    <xdr:row>38</xdr:row>
                    <xdr:rowOff>171450</xdr:rowOff>
                  </from>
                  <to>
                    <xdr:col>1</xdr:col>
                    <xdr:colOff>323850</xdr:colOff>
                    <xdr:row>39</xdr:row>
                    <xdr:rowOff>171450</xdr:rowOff>
                  </to>
                </anchor>
              </controlPr>
            </control>
          </mc:Choice>
        </mc:AlternateContent>
        <mc:AlternateContent xmlns:mc="http://schemas.openxmlformats.org/markup-compatibility/2006">
          <mc:Choice Requires="x14">
            <control shapeId="48165" r:id="rId40" name="Check Box 37">
              <controlPr defaultSize="0" autoFill="0" autoLine="0" autoPict="0">
                <anchor moveWithCells="1">
                  <from>
                    <xdr:col>1</xdr:col>
                    <xdr:colOff>161925</xdr:colOff>
                    <xdr:row>37</xdr:row>
                    <xdr:rowOff>180975</xdr:rowOff>
                  </from>
                  <to>
                    <xdr:col>1</xdr:col>
                    <xdr:colOff>342900</xdr:colOff>
                    <xdr:row>38</xdr:row>
                    <xdr:rowOff>180975</xdr:rowOff>
                  </to>
                </anchor>
              </controlPr>
            </control>
          </mc:Choice>
        </mc:AlternateContent>
        <mc:AlternateContent xmlns:mc="http://schemas.openxmlformats.org/markup-compatibility/2006">
          <mc:Choice Requires="x14">
            <control shapeId="48166" r:id="rId41" name="Check Box 38">
              <controlPr defaultSize="0" autoFill="0" autoLine="0" autoPict="0">
                <anchor moveWithCells="1">
                  <from>
                    <xdr:col>1</xdr:col>
                    <xdr:colOff>142875</xdr:colOff>
                    <xdr:row>9</xdr:row>
                    <xdr:rowOff>171450</xdr:rowOff>
                  </from>
                  <to>
                    <xdr:col>1</xdr:col>
                    <xdr:colOff>323850</xdr:colOff>
                    <xdr:row>10</xdr:row>
                    <xdr:rowOff>171450</xdr:rowOff>
                  </to>
                </anchor>
              </controlPr>
            </control>
          </mc:Choice>
        </mc:AlternateContent>
        <mc:AlternateContent xmlns:mc="http://schemas.openxmlformats.org/markup-compatibility/2006">
          <mc:Choice Requires="x14">
            <control shapeId="48167" r:id="rId42" name="Check Box 39">
              <controlPr defaultSize="0" autoFill="0" autoLine="0" autoPict="0">
                <anchor moveWithCells="1">
                  <from>
                    <xdr:col>1</xdr:col>
                    <xdr:colOff>142875</xdr:colOff>
                    <xdr:row>39</xdr:row>
                    <xdr:rowOff>180975</xdr:rowOff>
                  </from>
                  <to>
                    <xdr:col>1</xdr:col>
                    <xdr:colOff>323850</xdr:colOff>
                    <xdr:row>40</xdr:row>
                    <xdr:rowOff>180975</xdr:rowOff>
                  </to>
                </anchor>
              </controlPr>
            </control>
          </mc:Choice>
        </mc:AlternateContent>
        <mc:AlternateContent xmlns:mc="http://schemas.openxmlformats.org/markup-compatibility/2006">
          <mc:Choice Requires="x14">
            <control shapeId="48168" r:id="rId43" name="Check Box 40">
              <controlPr defaultSize="0" autoFill="0" autoLine="0" autoPict="0">
                <anchor moveWithCells="1">
                  <from>
                    <xdr:col>1</xdr:col>
                    <xdr:colOff>142875</xdr:colOff>
                    <xdr:row>40</xdr:row>
                    <xdr:rowOff>171450</xdr:rowOff>
                  </from>
                  <to>
                    <xdr:col>1</xdr:col>
                    <xdr:colOff>323850</xdr:colOff>
                    <xdr:row>41</xdr:row>
                    <xdr:rowOff>171450</xdr:rowOff>
                  </to>
                </anchor>
              </controlPr>
            </control>
          </mc:Choice>
        </mc:AlternateContent>
        <mc:AlternateContent xmlns:mc="http://schemas.openxmlformats.org/markup-compatibility/2006">
          <mc:Choice Requires="x14">
            <control shapeId="48169" r:id="rId44" name="Check Box 41">
              <controlPr defaultSize="0" autoFill="0" autoLine="0" autoPict="0">
                <anchor moveWithCells="1">
                  <from>
                    <xdr:col>1</xdr:col>
                    <xdr:colOff>142875</xdr:colOff>
                    <xdr:row>41</xdr:row>
                    <xdr:rowOff>180975</xdr:rowOff>
                  </from>
                  <to>
                    <xdr:col>1</xdr:col>
                    <xdr:colOff>323850</xdr:colOff>
                    <xdr:row>42</xdr:row>
                    <xdr:rowOff>180975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5"/>
  <dimension ref="A3:P55"/>
  <sheetViews>
    <sheetView topLeftCell="A10" zoomScale="85" zoomScaleNormal="85" workbookViewId="0">
      <selection activeCell="I48" sqref="I48:K48"/>
    </sheetView>
  </sheetViews>
  <sheetFormatPr defaultColWidth="11.42578125" defaultRowHeight="15" x14ac:dyDescent="0.25"/>
  <cols>
    <col min="1" max="1" width="18.5703125" customWidth="1"/>
    <col min="2" max="2" width="5.85546875" customWidth="1"/>
    <col min="3" max="3" width="11.42578125" style="2"/>
    <col min="4" max="4" width="17.42578125" style="2" bestFit="1" customWidth="1"/>
    <col min="6" max="6" width="13.140625" bestFit="1" customWidth="1"/>
    <col min="9" max="9" width="12" bestFit="1" customWidth="1"/>
    <col min="10" max="10" width="10" bestFit="1" customWidth="1"/>
    <col min="11" max="11" width="11" bestFit="1" customWidth="1"/>
    <col min="12" max="12" width="12" bestFit="1" customWidth="1"/>
    <col min="13" max="13" width="11.42578125" customWidth="1"/>
  </cols>
  <sheetData>
    <row r="3" spans="1:16" x14ac:dyDescent="0.25">
      <c r="C3" s="3" t="s">
        <v>1</v>
      </c>
      <c r="D3" s="3" t="s">
        <v>24</v>
      </c>
      <c r="E3" s="19" t="s">
        <v>16</v>
      </c>
      <c r="F3" s="16" t="s">
        <v>15</v>
      </c>
      <c r="G3" s="21" t="s">
        <v>14</v>
      </c>
      <c r="H3" s="17" t="s">
        <v>0</v>
      </c>
      <c r="I3" s="19" t="s">
        <v>29</v>
      </c>
      <c r="J3" s="16" t="s">
        <v>30</v>
      </c>
      <c r="K3" s="21" t="s">
        <v>14</v>
      </c>
      <c r="L3" s="17" t="s">
        <v>31</v>
      </c>
    </row>
    <row r="4" spans="1:16" x14ac:dyDescent="0.25">
      <c r="A4" s="32" t="s">
        <v>3</v>
      </c>
      <c r="B4" s="32"/>
      <c r="C4" s="33">
        <f>58+50</f>
        <v>108</v>
      </c>
      <c r="E4" s="20">
        <f>12/100</f>
        <v>0.12</v>
      </c>
      <c r="F4" s="6">
        <f>60/100</f>
        <v>0.6</v>
      </c>
      <c r="G4" s="22">
        <f>7.1/100</f>
        <v>7.0999999999999994E-2</v>
      </c>
      <c r="H4" s="18">
        <f>371/100</f>
        <v>3.71</v>
      </c>
      <c r="I4" s="20">
        <f t="shared" ref="I4:K35" si="0">IF($M4=TRUE,E4*$C4,0)</f>
        <v>12.959999999999999</v>
      </c>
      <c r="J4" s="6">
        <f t="shared" si="0"/>
        <v>64.8</v>
      </c>
      <c r="K4" s="22">
        <f t="shared" si="0"/>
        <v>7.6679999999999993</v>
      </c>
      <c r="L4" s="18">
        <f t="shared" ref="L4:L43" si="1">IF($M4=TRUE, H4*C4,0)</f>
        <v>400.68</v>
      </c>
      <c r="M4" t="b">
        <v>1</v>
      </c>
    </row>
    <row r="5" spans="1:16" x14ac:dyDescent="0.25">
      <c r="A5" s="34" t="s">
        <v>33</v>
      </c>
      <c r="B5" s="32"/>
      <c r="C5" s="33">
        <f>143</f>
        <v>143</v>
      </c>
      <c r="E5" s="20">
        <f>11/100</f>
        <v>0.11</v>
      </c>
      <c r="F5" s="6">
        <f>0.7/100</f>
        <v>6.9999999999999993E-3</v>
      </c>
      <c r="G5" s="22">
        <f>0.2/100</f>
        <v>2E-3</v>
      </c>
      <c r="H5" s="18">
        <f>52/100</f>
        <v>0.52</v>
      </c>
      <c r="I5" s="20">
        <f t="shared" si="0"/>
        <v>15.73</v>
      </c>
      <c r="J5" s="6">
        <f t="shared" si="0"/>
        <v>1.0009999999999999</v>
      </c>
      <c r="K5" s="22">
        <f t="shared" si="0"/>
        <v>0.28600000000000003</v>
      </c>
      <c r="L5" s="18">
        <f>IF($M5=TRUE, H5*C5,0)</f>
        <v>74.36</v>
      </c>
      <c r="M5" t="b">
        <v>1</v>
      </c>
    </row>
    <row r="6" spans="1:16" x14ac:dyDescent="0.25">
      <c r="A6" s="34" t="s">
        <v>67</v>
      </c>
      <c r="B6" s="32"/>
      <c r="C6" s="33">
        <v>30</v>
      </c>
      <c r="E6" s="20">
        <f>2.4/100</f>
        <v>2.4E-2</v>
      </c>
      <c r="F6" s="6">
        <v>0</v>
      </c>
      <c r="G6" s="22">
        <f>27/100</f>
        <v>0.27</v>
      </c>
      <c r="H6" s="18">
        <f>350/100</f>
        <v>3.5</v>
      </c>
      <c r="I6" s="20">
        <f t="shared" si="0"/>
        <v>0.72</v>
      </c>
      <c r="J6" s="6">
        <f t="shared" si="0"/>
        <v>0</v>
      </c>
      <c r="K6" s="22">
        <f t="shared" si="0"/>
        <v>8.1000000000000014</v>
      </c>
      <c r="L6" s="18">
        <f>IF($M6=TRUE, H6*C6,0)</f>
        <v>105</v>
      </c>
      <c r="M6" t="b">
        <v>1</v>
      </c>
      <c r="P6">
        <v>1</v>
      </c>
    </row>
    <row r="7" spans="1:16" x14ac:dyDescent="0.25">
      <c r="A7" s="32" t="s">
        <v>18</v>
      </c>
      <c r="B7" s="32"/>
      <c r="C7" s="33">
        <f>150+127</f>
        <v>277</v>
      </c>
      <c r="E7" s="20">
        <f>3.2/100</f>
        <v>3.2000000000000001E-2</v>
      </c>
      <c r="F7" s="6">
        <f>4.8/100</f>
        <v>4.8000000000000001E-2</v>
      </c>
      <c r="G7" s="22">
        <f>1.6/100</f>
        <v>1.6E-2</v>
      </c>
      <c r="H7" s="18">
        <f>46/100</f>
        <v>0.46</v>
      </c>
      <c r="I7" s="20">
        <f t="shared" si="0"/>
        <v>8.8640000000000008</v>
      </c>
      <c r="J7" s="6">
        <f t="shared" si="0"/>
        <v>13.296000000000001</v>
      </c>
      <c r="K7" s="22">
        <f t="shared" si="0"/>
        <v>4.4320000000000004</v>
      </c>
      <c r="L7" s="18">
        <f>IF($M7=TRUE, H7*C7,0)</f>
        <v>127.42</v>
      </c>
      <c r="M7" t="b">
        <v>1</v>
      </c>
    </row>
    <row r="8" spans="1:16" x14ac:dyDescent="0.25">
      <c r="A8" s="36" t="s">
        <v>5</v>
      </c>
      <c r="B8" s="36"/>
      <c r="C8" s="38">
        <f>130</f>
        <v>130</v>
      </c>
      <c r="E8" s="20">
        <f>24/100</f>
        <v>0.24</v>
      </c>
      <c r="F8" s="6">
        <f>2.2/100</f>
        <v>2.2000000000000002E-2</v>
      </c>
      <c r="G8" s="22">
        <f>1.8/100</f>
        <v>1.8000000000000002E-2</v>
      </c>
      <c r="H8" s="18">
        <f>94/100</f>
        <v>0.94</v>
      </c>
      <c r="I8" s="20">
        <f t="shared" si="0"/>
        <v>0</v>
      </c>
      <c r="J8" s="6">
        <f t="shared" si="0"/>
        <v>0</v>
      </c>
      <c r="K8" s="22">
        <f t="shared" si="0"/>
        <v>0</v>
      </c>
      <c r="L8" s="18">
        <f t="shared" si="1"/>
        <v>0</v>
      </c>
      <c r="M8" t="b">
        <v>0</v>
      </c>
    </row>
    <row r="9" spans="1:16" x14ac:dyDescent="0.25">
      <c r="A9" s="36" t="s">
        <v>6</v>
      </c>
      <c r="B9" s="36"/>
      <c r="C9" s="38">
        <f>256/2*2</f>
        <v>256</v>
      </c>
      <c r="E9" s="20">
        <f>20/100</f>
        <v>0.2</v>
      </c>
      <c r="F9" s="6">
        <f>0.2/100</f>
        <v>2E-3</v>
      </c>
      <c r="G9" s="22">
        <f>5/100</f>
        <v>0.05</v>
      </c>
      <c r="H9" s="18">
        <f>126/100</f>
        <v>1.26</v>
      </c>
      <c r="I9" s="20">
        <f t="shared" si="0"/>
        <v>51.2</v>
      </c>
      <c r="J9" s="6">
        <f t="shared" si="0"/>
        <v>0.51200000000000001</v>
      </c>
      <c r="K9" s="22">
        <f t="shared" si="0"/>
        <v>12.8</v>
      </c>
      <c r="L9" s="18">
        <f t="shared" si="1"/>
        <v>322.56</v>
      </c>
      <c r="M9" t="b">
        <v>1</v>
      </c>
    </row>
    <row r="10" spans="1:16" x14ac:dyDescent="0.25">
      <c r="A10" s="36" t="s">
        <v>57</v>
      </c>
      <c r="B10" s="36"/>
      <c r="C10" s="38">
        <f>40</f>
        <v>40</v>
      </c>
      <c r="E10" s="20">
        <f>19/100</f>
        <v>0.19</v>
      </c>
      <c r="F10" s="6">
        <v>0</v>
      </c>
      <c r="G10" s="22">
        <f>12/100</f>
        <v>0.12</v>
      </c>
      <c r="H10" s="18">
        <f>184/100</f>
        <v>1.84</v>
      </c>
      <c r="I10" s="20">
        <f t="shared" si="0"/>
        <v>7.6</v>
      </c>
      <c r="J10" s="6">
        <f t="shared" si="0"/>
        <v>0</v>
      </c>
      <c r="K10" s="22">
        <f t="shared" si="0"/>
        <v>4.8</v>
      </c>
      <c r="L10" s="18">
        <f t="shared" si="1"/>
        <v>73.600000000000009</v>
      </c>
      <c r="M10" t="b">
        <v>1</v>
      </c>
    </row>
    <row r="11" spans="1:16" x14ac:dyDescent="0.25">
      <c r="A11" s="36" t="s">
        <v>87</v>
      </c>
      <c r="B11" s="36"/>
      <c r="C11" s="38"/>
      <c r="E11" s="20">
        <f>25/100</f>
        <v>0.25</v>
      </c>
      <c r="F11" s="6">
        <f>0</f>
        <v>0</v>
      </c>
      <c r="G11" s="22">
        <f>11/100</f>
        <v>0.11</v>
      </c>
      <c r="H11" s="18">
        <f>208/100</f>
        <v>2.08</v>
      </c>
      <c r="I11" s="20">
        <f t="shared" si="0"/>
        <v>0</v>
      </c>
      <c r="J11" s="6">
        <f t="shared" si="0"/>
        <v>0</v>
      </c>
      <c r="K11" s="22">
        <f t="shared" si="0"/>
        <v>0</v>
      </c>
      <c r="L11" s="18">
        <f t="shared" si="1"/>
        <v>0</v>
      </c>
      <c r="M11" t="b">
        <v>0</v>
      </c>
    </row>
    <row r="12" spans="1:16" x14ac:dyDescent="0.25">
      <c r="A12" s="36" t="s">
        <v>59</v>
      </c>
      <c r="B12" s="36"/>
      <c r="C12" s="38">
        <v>360</v>
      </c>
      <c r="E12" s="20">
        <f>20/100</f>
        <v>0.2</v>
      </c>
      <c r="F12" s="6">
        <v>0</v>
      </c>
      <c r="G12" s="22">
        <f>5/100</f>
        <v>0.05</v>
      </c>
      <c r="H12" s="18">
        <f>121/100</f>
        <v>1.21</v>
      </c>
      <c r="I12" s="20">
        <f t="shared" si="0"/>
        <v>0</v>
      </c>
      <c r="J12" s="6">
        <f t="shared" si="0"/>
        <v>0</v>
      </c>
      <c r="K12" s="22">
        <f t="shared" si="0"/>
        <v>0</v>
      </c>
      <c r="L12" s="18">
        <f t="shared" si="1"/>
        <v>0</v>
      </c>
      <c r="M12" t="b">
        <v>0</v>
      </c>
    </row>
    <row r="13" spans="1:16" x14ac:dyDescent="0.25">
      <c r="A13" s="36" t="s">
        <v>13</v>
      </c>
      <c r="B13" s="36"/>
      <c r="C13" s="38">
        <v>1</v>
      </c>
      <c r="E13" s="20">
        <v>20</v>
      </c>
      <c r="F13" s="6">
        <v>1</v>
      </c>
      <c r="G13" s="22">
        <v>1</v>
      </c>
      <c r="H13" s="18">
        <v>93</v>
      </c>
      <c r="I13" s="20">
        <f t="shared" si="0"/>
        <v>20</v>
      </c>
      <c r="J13" s="6">
        <f t="shared" si="0"/>
        <v>1</v>
      </c>
      <c r="K13" s="22">
        <f t="shared" si="0"/>
        <v>1</v>
      </c>
      <c r="L13" s="18">
        <f t="shared" si="1"/>
        <v>93</v>
      </c>
      <c r="M13" t="b">
        <v>1</v>
      </c>
    </row>
    <row r="14" spans="1:16" x14ac:dyDescent="0.25">
      <c r="A14" s="36" t="s">
        <v>80</v>
      </c>
      <c r="B14" s="36"/>
      <c r="C14" s="38">
        <v>126</v>
      </c>
      <c r="E14" s="20">
        <f>24/100</f>
        <v>0.24</v>
      </c>
      <c r="F14" s="6">
        <f>1/100</f>
        <v>0.01</v>
      </c>
      <c r="G14" s="22">
        <f>1/100</f>
        <v>0.01</v>
      </c>
      <c r="H14" s="18">
        <f>105/100</f>
        <v>1.05</v>
      </c>
      <c r="I14" s="20">
        <f t="shared" si="0"/>
        <v>0</v>
      </c>
      <c r="J14" s="6">
        <f t="shared" si="0"/>
        <v>0</v>
      </c>
      <c r="K14" s="22">
        <f t="shared" si="0"/>
        <v>0</v>
      </c>
      <c r="L14" s="18">
        <f t="shared" si="1"/>
        <v>0</v>
      </c>
      <c r="M14" t="b">
        <v>0</v>
      </c>
    </row>
    <row r="15" spans="1:16" x14ac:dyDescent="0.25">
      <c r="A15" s="36" t="s">
        <v>82</v>
      </c>
      <c r="B15" s="36"/>
      <c r="C15" s="38">
        <f>161</f>
        <v>161</v>
      </c>
      <c r="E15" s="20">
        <f>24/100</f>
        <v>0.24</v>
      </c>
      <c r="F15" s="6">
        <v>0</v>
      </c>
      <c r="G15" s="22">
        <f>0</f>
        <v>0</v>
      </c>
      <c r="H15" s="18">
        <f>24*4/100</f>
        <v>0.96</v>
      </c>
      <c r="I15" s="20">
        <f t="shared" si="0"/>
        <v>38.64</v>
      </c>
      <c r="J15" s="6">
        <f t="shared" si="0"/>
        <v>0</v>
      </c>
      <c r="K15" s="22">
        <f t="shared" si="0"/>
        <v>0</v>
      </c>
      <c r="L15" s="18">
        <f t="shared" si="1"/>
        <v>154.56</v>
      </c>
      <c r="M15" t="b">
        <v>1</v>
      </c>
    </row>
    <row r="16" spans="1:16" x14ac:dyDescent="0.25">
      <c r="A16" t="s">
        <v>7</v>
      </c>
      <c r="C16" s="28">
        <v>50</v>
      </c>
      <c r="E16" s="20">
        <f>12.68/100</f>
        <v>0.1268</v>
      </c>
      <c r="F16" s="6">
        <f>72.83/100</f>
        <v>0.72829999999999995</v>
      </c>
      <c r="G16" s="22">
        <f>1.05/100</f>
        <v>1.0500000000000001E-2</v>
      </c>
      <c r="H16" s="18">
        <f>360/100</f>
        <v>3.6</v>
      </c>
      <c r="I16" s="20">
        <f t="shared" si="0"/>
        <v>0</v>
      </c>
      <c r="J16" s="6">
        <f t="shared" si="0"/>
        <v>0</v>
      </c>
      <c r="K16" s="22">
        <f t="shared" si="0"/>
        <v>0</v>
      </c>
      <c r="L16" s="18">
        <f t="shared" si="1"/>
        <v>0</v>
      </c>
      <c r="M16" t="b">
        <v>0</v>
      </c>
    </row>
    <row r="17" spans="1:13" x14ac:dyDescent="0.25">
      <c r="A17" t="s">
        <v>8</v>
      </c>
      <c r="C17" s="28">
        <v>39</v>
      </c>
      <c r="E17" s="20">
        <f>8.8/100</f>
        <v>8.8000000000000009E-2</v>
      </c>
      <c r="F17" s="6">
        <f>72/100</f>
        <v>0.72</v>
      </c>
      <c r="G17" s="22">
        <f>2.2/100</f>
        <v>2.2000000000000002E-2</v>
      </c>
      <c r="H17" s="18">
        <f>343/100</f>
        <v>3.43</v>
      </c>
      <c r="I17" s="20">
        <f t="shared" si="0"/>
        <v>0</v>
      </c>
      <c r="J17" s="6">
        <f t="shared" si="0"/>
        <v>0</v>
      </c>
      <c r="K17" s="22">
        <f t="shared" si="0"/>
        <v>0</v>
      </c>
      <c r="L17" s="18">
        <f t="shared" si="1"/>
        <v>0</v>
      </c>
      <c r="M17" t="b">
        <v>0</v>
      </c>
    </row>
    <row r="18" spans="1:13" x14ac:dyDescent="0.25">
      <c r="A18" s="35" t="s">
        <v>9</v>
      </c>
      <c r="B18" s="35"/>
      <c r="C18" s="39">
        <f>113</f>
        <v>113</v>
      </c>
      <c r="E18" s="20">
        <f>1.5/100</f>
        <v>1.4999999999999999E-2</v>
      </c>
      <c r="F18" s="6">
        <f>20/100</f>
        <v>0.2</v>
      </c>
      <c r="G18" s="22">
        <v>0</v>
      </c>
      <c r="H18" s="18">
        <f>90/100</f>
        <v>0.9</v>
      </c>
      <c r="I18" s="20">
        <f t="shared" si="0"/>
        <v>1.6949999999999998</v>
      </c>
      <c r="J18" s="6">
        <f t="shared" si="0"/>
        <v>22.6</v>
      </c>
      <c r="K18" s="22">
        <f t="shared" si="0"/>
        <v>0</v>
      </c>
      <c r="L18" s="18">
        <f t="shared" si="1"/>
        <v>101.7</v>
      </c>
      <c r="M18" t="b">
        <v>1</v>
      </c>
    </row>
    <row r="19" spans="1:13" x14ac:dyDescent="0.25">
      <c r="A19" s="35" t="s">
        <v>10</v>
      </c>
      <c r="B19" s="35"/>
      <c r="C19" s="39">
        <v>69</v>
      </c>
      <c r="E19" s="20">
        <f>1.6/100</f>
        <v>1.6E-2</v>
      </c>
      <c r="F19" s="6">
        <f>11/100</f>
        <v>0.11</v>
      </c>
      <c r="G19" s="22">
        <f>0.3/100</f>
        <v>3.0000000000000001E-3</v>
      </c>
      <c r="H19" s="18">
        <f>53/100</f>
        <v>0.53</v>
      </c>
      <c r="I19" s="20">
        <f t="shared" si="0"/>
        <v>0</v>
      </c>
      <c r="J19" s="6">
        <f t="shared" si="0"/>
        <v>0</v>
      </c>
      <c r="K19" s="22">
        <f t="shared" si="0"/>
        <v>0</v>
      </c>
      <c r="L19" s="18">
        <f t="shared" si="1"/>
        <v>0</v>
      </c>
      <c r="M19" t="b">
        <v>0</v>
      </c>
    </row>
    <row r="20" spans="1:13" x14ac:dyDescent="0.25">
      <c r="A20" s="35" t="s">
        <v>11</v>
      </c>
      <c r="B20" s="35"/>
      <c r="C20" s="39">
        <f>198</f>
        <v>198</v>
      </c>
      <c r="E20" s="20">
        <f>1/100</f>
        <v>0.01</v>
      </c>
      <c r="F20" s="6">
        <f>9/100</f>
        <v>0.09</v>
      </c>
      <c r="G20" s="22">
        <f>0.2/100</f>
        <v>2E-3</v>
      </c>
      <c r="H20" s="18">
        <f>45/100</f>
        <v>0.45</v>
      </c>
      <c r="I20" s="20">
        <f t="shared" si="0"/>
        <v>1.98</v>
      </c>
      <c r="J20" s="6">
        <f t="shared" si="0"/>
        <v>17.82</v>
      </c>
      <c r="K20" s="22">
        <f t="shared" si="0"/>
        <v>0.39600000000000002</v>
      </c>
      <c r="L20" s="18">
        <f t="shared" si="1"/>
        <v>89.100000000000009</v>
      </c>
      <c r="M20" t="b">
        <v>1</v>
      </c>
    </row>
    <row r="21" spans="1:13" x14ac:dyDescent="0.25">
      <c r="A21" t="s">
        <v>58</v>
      </c>
      <c r="C21" s="28">
        <v>180</v>
      </c>
      <c r="E21" s="20">
        <f>1.6/100</f>
        <v>1.6E-2</v>
      </c>
      <c r="F21" s="6">
        <f>20/100</f>
        <v>0.2</v>
      </c>
      <c r="G21" s="22">
        <f>0.1/100</f>
        <v>1E-3</v>
      </c>
      <c r="H21" s="18">
        <f>86/100</f>
        <v>0.86</v>
      </c>
      <c r="I21" s="20">
        <f>IF($M21=TRUE,E21*$C21,0)</f>
        <v>0</v>
      </c>
      <c r="J21" s="6">
        <f>IF($M21=TRUE,F21*$C21,0)</f>
        <v>0</v>
      </c>
      <c r="K21" s="22">
        <f>IF($M21=TRUE,G21*$C21,0)</f>
        <v>0</v>
      </c>
      <c r="L21" s="18">
        <f>IF($M21=TRUE, H21*C21,0)</f>
        <v>0</v>
      </c>
      <c r="M21" t="b">
        <v>0</v>
      </c>
    </row>
    <row r="22" spans="1:13" x14ac:dyDescent="0.25">
      <c r="A22" t="s">
        <v>12</v>
      </c>
      <c r="C22" s="28">
        <f>50+50</f>
        <v>100</v>
      </c>
      <c r="E22" s="20">
        <f>11/100</f>
        <v>0.11</v>
      </c>
      <c r="F22" s="6">
        <f>54/100</f>
        <v>0.54</v>
      </c>
      <c r="G22" s="22">
        <f>3.3/100</f>
        <v>3.3000000000000002E-2</v>
      </c>
      <c r="H22" s="18">
        <f>293/100</f>
        <v>2.93</v>
      </c>
      <c r="I22" s="20">
        <f t="shared" si="0"/>
        <v>0</v>
      </c>
      <c r="J22" s="6">
        <f t="shared" si="0"/>
        <v>0</v>
      </c>
      <c r="K22" s="22">
        <f t="shared" si="0"/>
        <v>0</v>
      </c>
      <c r="L22" s="18">
        <f t="shared" si="1"/>
        <v>0</v>
      </c>
      <c r="M22" t="b">
        <v>0</v>
      </c>
    </row>
    <row r="23" spans="1:13" x14ac:dyDescent="0.25">
      <c r="A23" t="s">
        <v>17</v>
      </c>
      <c r="C23" s="28">
        <v>24</v>
      </c>
      <c r="D23" s="2" t="s">
        <v>23</v>
      </c>
      <c r="E23" s="20">
        <f>3/100</f>
        <v>0.03</v>
      </c>
      <c r="F23" s="6">
        <f>11/100</f>
        <v>0.11</v>
      </c>
      <c r="G23" s="22">
        <f>1.5/100</f>
        <v>1.4999999999999999E-2</v>
      </c>
      <c r="H23" s="18">
        <f>74/100</f>
        <v>0.74</v>
      </c>
      <c r="I23" s="20">
        <f t="shared" si="0"/>
        <v>0</v>
      </c>
      <c r="J23" s="6">
        <f t="shared" si="0"/>
        <v>0</v>
      </c>
      <c r="K23" s="22">
        <f t="shared" si="0"/>
        <v>0</v>
      </c>
      <c r="L23" s="18">
        <f t="shared" si="1"/>
        <v>0</v>
      </c>
      <c r="M23" t="b">
        <v>0</v>
      </c>
    </row>
    <row r="24" spans="1:13" x14ac:dyDescent="0.25">
      <c r="A24" t="s">
        <v>19</v>
      </c>
      <c r="C24" s="28">
        <v>137</v>
      </c>
      <c r="D24" s="2" t="s">
        <v>25</v>
      </c>
      <c r="E24" s="20">
        <f>2/100</f>
        <v>0.02</v>
      </c>
      <c r="F24" s="6">
        <f>17/100</f>
        <v>0.17</v>
      </c>
      <c r="G24" s="22">
        <f>0.1/100</f>
        <v>1E-3</v>
      </c>
      <c r="H24" s="18">
        <f>77/100</f>
        <v>0.77</v>
      </c>
      <c r="I24" s="20">
        <f t="shared" si="0"/>
        <v>0</v>
      </c>
      <c r="J24" s="6">
        <f t="shared" si="0"/>
        <v>0</v>
      </c>
      <c r="K24" s="22">
        <f t="shared" si="0"/>
        <v>0</v>
      </c>
      <c r="L24" s="18">
        <f t="shared" si="1"/>
        <v>0</v>
      </c>
      <c r="M24" t="b">
        <v>0</v>
      </c>
    </row>
    <row r="25" spans="1:13" x14ac:dyDescent="0.25">
      <c r="A25" t="s">
        <v>20</v>
      </c>
      <c r="C25" s="28">
        <f>118</f>
        <v>118</v>
      </c>
      <c r="E25" s="20">
        <f>25/100</f>
        <v>0.25</v>
      </c>
      <c r="F25" s="6">
        <v>0</v>
      </c>
      <c r="G25" s="22">
        <f>1/100</f>
        <v>0.01</v>
      </c>
      <c r="H25" s="18">
        <f>109/100</f>
        <v>1.0900000000000001</v>
      </c>
      <c r="I25" s="20">
        <f t="shared" si="0"/>
        <v>29.5</v>
      </c>
      <c r="J25" s="6">
        <f t="shared" si="0"/>
        <v>0</v>
      </c>
      <c r="K25" s="22">
        <f t="shared" si="0"/>
        <v>1.18</v>
      </c>
      <c r="L25" s="18">
        <f t="shared" si="1"/>
        <v>128.62</v>
      </c>
      <c r="M25" t="b">
        <v>1</v>
      </c>
    </row>
    <row r="26" spans="1:13" x14ac:dyDescent="0.25">
      <c r="A26" s="35" t="s">
        <v>21</v>
      </c>
      <c r="B26" s="35"/>
      <c r="C26" s="39">
        <f>257</f>
        <v>257</v>
      </c>
      <c r="D26" s="2" t="s">
        <v>22</v>
      </c>
      <c r="E26" s="20">
        <f>2.3/100</f>
        <v>2.3E-2</v>
      </c>
      <c r="F26" s="6">
        <f>7.2/100</f>
        <v>7.2000000000000008E-2</v>
      </c>
      <c r="G26" s="22">
        <f>0.5/100</f>
        <v>5.0000000000000001E-3</v>
      </c>
      <c r="H26" s="18">
        <f>44/100</f>
        <v>0.44</v>
      </c>
      <c r="I26" s="20">
        <f t="shared" si="0"/>
        <v>0</v>
      </c>
      <c r="J26" s="6">
        <f t="shared" si="0"/>
        <v>0</v>
      </c>
      <c r="K26" s="22">
        <f t="shared" si="0"/>
        <v>0</v>
      </c>
      <c r="L26" s="18">
        <f t="shared" si="1"/>
        <v>0</v>
      </c>
      <c r="M26" t="b">
        <v>0</v>
      </c>
    </row>
    <row r="27" spans="1:13" x14ac:dyDescent="0.25">
      <c r="A27" t="s">
        <v>26</v>
      </c>
      <c r="C27" s="28"/>
      <c r="E27" s="20">
        <v>0</v>
      </c>
      <c r="F27" s="6">
        <v>0</v>
      </c>
      <c r="G27" s="22">
        <v>0</v>
      </c>
      <c r="H27" s="18">
        <f>275/100</f>
        <v>2.75</v>
      </c>
      <c r="I27" s="20">
        <f t="shared" si="0"/>
        <v>0</v>
      </c>
      <c r="J27" s="6">
        <f t="shared" si="0"/>
        <v>0</v>
      </c>
      <c r="K27" s="22">
        <f t="shared" si="0"/>
        <v>0</v>
      </c>
      <c r="L27" s="18">
        <f t="shared" si="1"/>
        <v>0</v>
      </c>
      <c r="M27" t="b">
        <v>0</v>
      </c>
    </row>
    <row r="28" spans="1:13" x14ac:dyDescent="0.25">
      <c r="A28" t="s">
        <v>32</v>
      </c>
      <c r="C28" s="28">
        <v>10</v>
      </c>
      <c r="E28" s="20">
        <f>22/100</f>
        <v>0.22</v>
      </c>
      <c r="F28" s="6">
        <f>6.9/100</f>
        <v>6.9000000000000006E-2</v>
      </c>
      <c r="G28" s="22">
        <f>54/100</f>
        <v>0.54</v>
      </c>
      <c r="H28" s="18">
        <f>620/100</f>
        <v>6.2</v>
      </c>
      <c r="I28" s="20">
        <f t="shared" si="0"/>
        <v>0</v>
      </c>
      <c r="J28" s="6">
        <f t="shared" si="0"/>
        <v>0</v>
      </c>
      <c r="K28" s="22">
        <f t="shared" si="0"/>
        <v>0</v>
      </c>
      <c r="L28" s="18">
        <f t="shared" si="1"/>
        <v>0</v>
      </c>
      <c r="M28" t="b">
        <v>0</v>
      </c>
    </row>
    <row r="29" spans="1:13" x14ac:dyDescent="0.25">
      <c r="A29" t="s">
        <v>33</v>
      </c>
      <c r="C29" s="28">
        <v>143</v>
      </c>
      <c r="E29" s="20">
        <v>3.6</v>
      </c>
      <c r="F29" s="6">
        <v>0.2</v>
      </c>
      <c r="G29" s="22">
        <v>0.1</v>
      </c>
      <c r="H29" s="18">
        <f>17</f>
        <v>17</v>
      </c>
      <c r="I29" s="20">
        <f t="shared" si="0"/>
        <v>0</v>
      </c>
      <c r="J29" s="6">
        <f t="shared" si="0"/>
        <v>0</v>
      </c>
      <c r="K29" s="22">
        <f t="shared" si="0"/>
        <v>0</v>
      </c>
      <c r="L29" s="18">
        <f t="shared" si="1"/>
        <v>0</v>
      </c>
      <c r="M29" t="b">
        <v>0</v>
      </c>
    </row>
    <row r="30" spans="1:13" x14ac:dyDescent="0.25">
      <c r="A30" t="s">
        <v>34</v>
      </c>
      <c r="C30" s="28">
        <v>50</v>
      </c>
      <c r="E30" s="20">
        <f>7.4/100</f>
        <v>7.400000000000001E-2</v>
      </c>
      <c r="F30" s="6">
        <f>78.7/100</f>
        <v>0.78700000000000003</v>
      </c>
      <c r="G30" s="22">
        <f>0.7/100</f>
        <v>6.9999999999999993E-3</v>
      </c>
      <c r="H30" s="18">
        <f>351/100</f>
        <v>3.51</v>
      </c>
      <c r="I30" s="20">
        <f t="shared" si="0"/>
        <v>0</v>
      </c>
      <c r="J30" s="6">
        <f t="shared" si="0"/>
        <v>0</v>
      </c>
      <c r="K30" s="22">
        <f t="shared" si="0"/>
        <v>0</v>
      </c>
      <c r="L30" s="18">
        <f t="shared" si="1"/>
        <v>0</v>
      </c>
      <c r="M30" t="b">
        <v>0</v>
      </c>
    </row>
    <row r="31" spans="1:13" x14ac:dyDescent="0.25">
      <c r="A31" t="s">
        <v>55</v>
      </c>
      <c r="C31" s="28"/>
      <c r="E31" s="20">
        <f>19/100</f>
        <v>0.19</v>
      </c>
      <c r="F31" s="6">
        <f>61/100</f>
        <v>0.61</v>
      </c>
      <c r="G31" s="22">
        <f>6/100</f>
        <v>0.06</v>
      </c>
      <c r="H31" s="18">
        <f>364/100</f>
        <v>3.64</v>
      </c>
      <c r="I31" s="20">
        <f t="shared" si="0"/>
        <v>0</v>
      </c>
      <c r="J31" s="6">
        <f t="shared" si="0"/>
        <v>0</v>
      </c>
      <c r="K31" s="22">
        <f t="shared" si="0"/>
        <v>0</v>
      </c>
      <c r="L31" s="18">
        <f t="shared" si="1"/>
        <v>0</v>
      </c>
      <c r="M31" t="b">
        <v>0</v>
      </c>
    </row>
    <row r="32" spans="1:13" x14ac:dyDescent="0.25">
      <c r="A32" t="s">
        <v>60</v>
      </c>
      <c r="C32" s="28">
        <v>60</v>
      </c>
      <c r="E32" s="20">
        <f>7.5/100</f>
        <v>7.4999999999999997E-2</v>
      </c>
      <c r="F32" s="6">
        <f>78/100</f>
        <v>0.78</v>
      </c>
      <c r="G32" s="22">
        <f>0.6/100</f>
        <v>6.0000000000000001E-3</v>
      </c>
      <c r="H32" s="18">
        <f>347/100</f>
        <v>3.47</v>
      </c>
      <c r="I32" s="20">
        <f t="shared" si="0"/>
        <v>0</v>
      </c>
      <c r="J32" s="6">
        <f t="shared" si="0"/>
        <v>0</v>
      </c>
      <c r="K32" s="22">
        <f t="shared" si="0"/>
        <v>0</v>
      </c>
      <c r="L32" s="18">
        <f t="shared" si="1"/>
        <v>0</v>
      </c>
      <c r="M32" t="b">
        <v>0</v>
      </c>
    </row>
    <row r="33" spans="1:16" x14ac:dyDescent="0.25">
      <c r="A33" t="s">
        <v>63</v>
      </c>
      <c r="C33" s="28">
        <v>39</v>
      </c>
      <c r="E33" s="20">
        <f>1.4/100</f>
        <v>1.3999999999999999E-2</v>
      </c>
      <c r="F33" s="6">
        <f>9/100</f>
        <v>0.09</v>
      </c>
      <c r="G33" s="22">
        <f>0.2/100</f>
        <v>2E-3</v>
      </c>
      <c r="H33" s="18">
        <f>43/100</f>
        <v>0.43</v>
      </c>
      <c r="I33" s="20">
        <f t="shared" si="0"/>
        <v>0</v>
      </c>
      <c r="J33" s="6">
        <f t="shared" si="0"/>
        <v>0</v>
      </c>
      <c r="K33" s="22">
        <f t="shared" si="0"/>
        <v>0</v>
      </c>
      <c r="L33" s="18">
        <f t="shared" si="1"/>
        <v>0</v>
      </c>
      <c r="M33" t="b">
        <v>0</v>
      </c>
    </row>
    <row r="34" spans="1:16" x14ac:dyDescent="0.25">
      <c r="A34" t="s">
        <v>64</v>
      </c>
      <c r="C34" s="28">
        <v>10</v>
      </c>
      <c r="E34" s="20">
        <f>4.1/100</f>
        <v>4.0999999999999995E-2</v>
      </c>
      <c r="F34" s="6">
        <f>6.6/100</f>
        <v>6.6000000000000003E-2</v>
      </c>
      <c r="G34" s="22">
        <f>5/100</f>
        <v>0.05</v>
      </c>
      <c r="H34" s="18">
        <f>84/100</f>
        <v>0.84</v>
      </c>
      <c r="I34" s="20">
        <f t="shared" si="0"/>
        <v>0</v>
      </c>
      <c r="J34" s="6">
        <f t="shared" si="0"/>
        <v>0</v>
      </c>
      <c r="K34" s="22">
        <f t="shared" si="0"/>
        <v>0</v>
      </c>
      <c r="L34" s="18">
        <f t="shared" si="1"/>
        <v>0</v>
      </c>
      <c r="M34" t="b">
        <v>0</v>
      </c>
    </row>
    <row r="35" spans="1:16" x14ac:dyDescent="0.25">
      <c r="A35" t="s">
        <v>66</v>
      </c>
      <c r="C35" s="28">
        <v>70</v>
      </c>
      <c r="E35" s="20">
        <f>14.1/100</f>
        <v>0.14099999999999999</v>
      </c>
      <c r="F35" s="6">
        <f>68.9/100</f>
        <v>0.68900000000000006</v>
      </c>
      <c r="G35" s="22">
        <f>5.8/100</f>
        <v>5.7999999999999996E-2</v>
      </c>
      <c r="H35" s="18">
        <f>380/100</f>
        <v>3.8</v>
      </c>
      <c r="I35" s="20">
        <f t="shared" si="0"/>
        <v>0</v>
      </c>
      <c r="J35" s="6">
        <f t="shared" si="0"/>
        <v>0</v>
      </c>
      <c r="K35" s="22">
        <f t="shared" si="0"/>
        <v>0</v>
      </c>
      <c r="L35" s="18">
        <f t="shared" si="1"/>
        <v>0</v>
      </c>
      <c r="M35" t="b">
        <v>0</v>
      </c>
    </row>
    <row r="36" spans="1:16" x14ac:dyDescent="0.25">
      <c r="A36" t="s">
        <v>79</v>
      </c>
      <c r="C36" s="28"/>
      <c r="E36" s="20"/>
      <c r="F36" s="6"/>
      <c r="G36" s="22"/>
      <c r="H36" s="18"/>
      <c r="I36" s="20">
        <f t="shared" ref="I36:K43" si="2">IF($M36=TRUE,E36*$C36,0)</f>
        <v>0</v>
      </c>
      <c r="J36" s="6">
        <f t="shared" si="2"/>
        <v>0</v>
      </c>
      <c r="K36" s="22">
        <f t="shared" si="2"/>
        <v>0</v>
      </c>
      <c r="L36" s="18">
        <f t="shared" si="1"/>
        <v>0</v>
      </c>
      <c r="M36" t="b">
        <v>0</v>
      </c>
      <c r="P36">
        <v>2.2046199999999998</v>
      </c>
    </row>
    <row r="37" spans="1:16" x14ac:dyDescent="0.25">
      <c r="A37" t="s">
        <v>81</v>
      </c>
      <c r="C37" s="28">
        <v>100</v>
      </c>
      <c r="E37" s="20">
        <f>1.4/100</f>
        <v>1.3999999999999999E-2</v>
      </c>
      <c r="F37" s="6">
        <f>7/100</f>
        <v>7.0000000000000007E-2</v>
      </c>
      <c r="G37" s="22">
        <f>0.2/100</f>
        <v>2E-3</v>
      </c>
      <c r="H37" s="18"/>
      <c r="I37" s="20">
        <f t="shared" si="2"/>
        <v>1.4</v>
      </c>
      <c r="J37" s="6">
        <f t="shared" si="2"/>
        <v>7.0000000000000009</v>
      </c>
      <c r="K37" s="22">
        <f t="shared" si="2"/>
        <v>0.2</v>
      </c>
      <c r="L37" s="18">
        <f t="shared" si="1"/>
        <v>0</v>
      </c>
      <c r="M37" t="b">
        <v>1</v>
      </c>
    </row>
    <row r="38" spans="1:16" x14ac:dyDescent="0.25">
      <c r="A38" t="s">
        <v>83</v>
      </c>
      <c r="C38" s="28">
        <v>1</v>
      </c>
      <c r="E38" s="20">
        <f>0.1</f>
        <v>0.1</v>
      </c>
      <c r="F38" s="6">
        <f>2.7</f>
        <v>2.7</v>
      </c>
      <c r="G38" s="22">
        <f>0</f>
        <v>0</v>
      </c>
      <c r="H38" s="18"/>
      <c r="I38" s="20">
        <f t="shared" si="2"/>
        <v>0</v>
      </c>
      <c r="J38" s="6">
        <f t="shared" si="2"/>
        <v>0</v>
      </c>
      <c r="K38" s="22">
        <f t="shared" si="2"/>
        <v>0</v>
      </c>
      <c r="L38" s="18">
        <f t="shared" si="1"/>
        <v>0</v>
      </c>
      <c r="M38" t="b">
        <v>0</v>
      </c>
      <c r="N38" s="2" t="s">
        <v>68</v>
      </c>
    </row>
    <row r="39" spans="1:16" x14ac:dyDescent="0.25">
      <c r="A39" t="s">
        <v>86</v>
      </c>
      <c r="C39" s="2">
        <v>38</v>
      </c>
      <c r="E39" s="20">
        <f>0.7/100</f>
        <v>6.9999999999999993E-3</v>
      </c>
      <c r="F39" s="6">
        <f>3.4/100</f>
        <v>3.4000000000000002E-2</v>
      </c>
      <c r="G39" s="22">
        <f>0.1/100</f>
        <v>1E-3</v>
      </c>
      <c r="H39" s="18"/>
      <c r="I39" s="20">
        <f t="shared" si="2"/>
        <v>0</v>
      </c>
      <c r="J39" s="6">
        <f t="shared" si="2"/>
        <v>0</v>
      </c>
      <c r="K39" s="22">
        <f t="shared" si="2"/>
        <v>0</v>
      </c>
      <c r="L39" s="18">
        <f t="shared" si="1"/>
        <v>0</v>
      </c>
      <c r="M39" t="b">
        <v>0</v>
      </c>
      <c r="N39" s="2"/>
    </row>
    <row r="40" spans="1:16" x14ac:dyDescent="0.25">
      <c r="A40" t="s">
        <v>85</v>
      </c>
      <c r="E40" s="20">
        <f>2/100</f>
        <v>0.02</v>
      </c>
      <c r="F40" s="6">
        <f>9/100</f>
        <v>0.09</v>
      </c>
      <c r="G40" s="22">
        <f>15/100</f>
        <v>0.15</v>
      </c>
      <c r="H40" s="18"/>
      <c r="I40" s="20">
        <f t="shared" si="2"/>
        <v>0</v>
      </c>
      <c r="J40" s="6">
        <f t="shared" si="2"/>
        <v>0</v>
      </c>
      <c r="K40" s="22">
        <f t="shared" si="2"/>
        <v>0</v>
      </c>
      <c r="L40" s="18">
        <f t="shared" si="1"/>
        <v>0</v>
      </c>
      <c r="M40" t="b">
        <v>0</v>
      </c>
      <c r="N40" s="2"/>
    </row>
    <row r="41" spans="1:16" x14ac:dyDescent="0.25">
      <c r="A41" t="s">
        <v>89</v>
      </c>
      <c r="E41" s="20">
        <f>1.2/100</f>
        <v>1.2E-2</v>
      </c>
      <c r="F41" s="6">
        <f>5.6/100</f>
        <v>5.5999999999999994E-2</v>
      </c>
      <c r="G41" s="22">
        <f>0.5/100</f>
        <v>5.0000000000000001E-3</v>
      </c>
      <c r="H41" s="10"/>
      <c r="I41" s="20">
        <f t="shared" si="2"/>
        <v>0</v>
      </c>
      <c r="J41" s="6">
        <f t="shared" si="2"/>
        <v>0</v>
      </c>
      <c r="K41" s="22">
        <f t="shared" si="2"/>
        <v>0</v>
      </c>
      <c r="L41" s="18">
        <f t="shared" si="1"/>
        <v>0</v>
      </c>
      <c r="M41" t="b">
        <v>0</v>
      </c>
      <c r="N41" s="2"/>
    </row>
    <row r="42" spans="1:16" x14ac:dyDescent="0.25">
      <c r="A42" t="s">
        <v>90</v>
      </c>
      <c r="C42" s="2">
        <v>200</v>
      </c>
      <c r="E42" s="50">
        <f>0.8/100</f>
        <v>8.0000000000000002E-3</v>
      </c>
      <c r="F42" s="51">
        <f>15/100</f>
        <v>0.15</v>
      </c>
      <c r="G42" s="52">
        <f>0.4/100</f>
        <v>4.0000000000000001E-3</v>
      </c>
      <c r="H42" s="10"/>
      <c r="I42" s="20">
        <f t="shared" si="2"/>
        <v>0</v>
      </c>
      <c r="J42" s="6">
        <f t="shared" si="2"/>
        <v>0</v>
      </c>
      <c r="K42" s="22">
        <f t="shared" si="2"/>
        <v>0</v>
      </c>
      <c r="L42" s="18">
        <f t="shared" si="1"/>
        <v>0</v>
      </c>
      <c r="M42" t="b">
        <v>0</v>
      </c>
      <c r="N42" s="2"/>
    </row>
    <row r="43" spans="1:16" x14ac:dyDescent="0.25">
      <c r="A43" t="s">
        <v>91</v>
      </c>
      <c r="C43" s="2">
        <v>100</v>
      </c>
      <c r="E43" s="50">
        <f>0.3/100</f>
        <v>3.0000000000000001E-3</v>
      </c>
      <c r="F43" s="51">
        <f>12/100</f>
        <v>0.12</v>
      </c>
      <c r="G43" s="52">
        <f>0.3/100</f>
        <v>3.0000000000000001E-3</v>
      </c>
      <c r="H43" s="10"/>
      <c r="I43" s="20">
        <f t="shared" si="2"/>
        <v>0</v>
      </c>
      <c r="J43" s="6">
        <f t="shared" si="2"/>
        <v>0</v>
      </c>
      <c r="K43" s="22">
        <f t="shared" si="2"/>
        <v>0</v>
      </c>
      <c r="L43" s="18">
        <f t="shared" si="1"/>
        <v>0</v>
      </c>
      <c r="M43" t="b">
        <v>0</v>
      </c>
      <c r="N43" s="2"/>
    </row>
    <row r="44" spans="1:16" x14ac:dyDescent="0.25">
      <c r="H44" t="s">
        <v>73</v>
      </c>
      <c r="I44" s="46">
        <f>SUM(I4:I42)</f>
        <v>190.28899999999999</v>
      </c>
      <c r="J44" s="47">
        <f>SUM(J4:J42)</f>
        <v>128.029</v>
      </c>
      <c r="K44" s="48">
        <f>SUM(K4:K42)</f>
        <v>40.862000000000002</v>
      </c>
      <c r="L44" t="s">
        <v>65</v>
      </c>
      <c r="N44" s="2">
        <v>67</v>
      </c>
    </row>
    <row r="45" spans="1:16" x14ac:dyDescent="0.25">
      <c r="I45" s="49">
        <f>I44-I47</f>
        <v>5.6520749999999964</v>
      </c>
      <c r="J45" s="49">
        <f>J44-J47</f>
        <v>-19.680539999999979</v>
      </c>
      <c r="K45" s="49">
        <f>K44-K47</f>
        <v>0.98042420000000163</v>
      </c>
    </row>
    <row r="46" spans="1:16" x14ac:dyDescent="0.25">
      <c r="L46" s="4">
        <f>SUM(L4:L35)</f>
        <v>1670.6</v>
      </c>
    </row>
    <row r="47" spans="1:16" x14ac:dyDescent="0.25">
      <c r="H47" t="s">
        <v>70</v>
      </c>
      <c r="I47" s="43">
        <f>1.25 * $P$36 * $N$44</f>
        <v>184.63692499999999</v>
      </c>
      <c r="J47" s="44">
        <f>1 * $P$36 * $N$44</f>
        <v>147.70953999999998</v>
      </c>
      <c r="K47" s="45">
        <f>0.27 * $P$36 * $N$44</f>
        <v>39.8815758</v>
      </c>
      <c r="L47">
        <f>11.43*P36* N44</f>
        <v>1688.3200421999998</v>
      </c>
    </row>
    <row r="48" spans="1:16" x14ac:dyDescent="0.25">
      <c r="H48" t="s">
        <v>71</v>
      </c>
      <c r="I48" s="43">
        <f>1.15 * $P$36 * $N$44</f>
        <v>169.86597099999997</v>
      </c>
      <c r="J48" s="44">
        <f>1.25 * $P$36 * $N$44</f>
        <v>184.63692499999999</v>
      </c>
      <c r="K48" s="45">
        <f>0.35 * $P$36 * $N$44</f>
        <v>51.69833899999999</v>
      </c>
      <c r="L48">
        <f>11.43*P36* N44</f>
        <v>1688.3200421999998</v>
      </c>
    </row>
    <row r="49" spans="1:12" x14ac:dyDescent="0.25">
      <c r="H49" t="s">
        <v>72</v>
      </c>
      <c r="I49" s="43">
        <f>1.1 * $P$36 * $N$44</f>
        <v>162.48049400000002</v>
      </c>
      <c r="J49" s="44">
        <f>2 * $P$36 * $N$44</f>
        <v>295.41907999999995</v>
      </c>
      <c r="K49" s="45">
        <f>0.5* $P$36 * $N$44</f>
        <v>73.854769999999988</v>
      </c>
      <c r="L49">
        <f>11.43*P36* N44</f>
        <v>1688.3200421999998</v>
      </c>
    </row>
    <row r="50" spans="1:12" x14ac:dyDescent="0.25">
      <c r="A50" t="s">
        <v>77</v>
      </c>
      <c r="B50" t="s">
        <v>78</v>
      </c>
    </row>
    <row r="51" spans="1:12" x14ac:dyDescent="0.25">
      <c r="A51" t="s">
        <v>75</v>
      </c>
    </row>
    <row r="52" spans="1:12" x14ac:dyDescent="0.25">
      <c r="A52" t="s">
        <v>74</v>
      </c>
    </row>
    <row r="53" spans="1:12" x14ac:dyDescent="0.25">
      <c r="A53">
        <f>0.25*J47</f>
        <v>36.927384999999994</v>
      </c>
    </row>
    <row r="54" spans="1:12" x14ac:dyDescent="0.25">
      <c r="A54">
        <f>0.35*J47</f>
        <v>51.69833899999999</v>
      </c>
    </row>
    <row r="55" spans="1:12" x14ac:dyDescent="0.25">
      <c r="A55" t="s">
        <v>76</v>
      </c>
    </row>
  </sheetData>
  <conditionalFormatting sqref="I45">
    <cfRule type="colorScale" priority="3">
      <colorScale>
        <cfvo type="formula" val="-$I$47"/>
        <cfvo type="num" val="0"/>
        <cfvo type="num" val="20"/>
        <color rgb="FFFF8B8B"/>
        <color rgb="FF00B050"/>
        <color rgb="FFFF8B8B"/>
      </colorScale>
    </cfRule>
  </conditionalFormatting>
  <conditionalFormatting sqref="J45">
    <cfRule type="colorScale" priority="2">
      <colorScale>
        <cfvo type="formula" val="-$J$47"/>
        <cfvo type="percentile" val="0"/>
        <cfvo type="num" val="20"/>
        <color rgb="FFFF8B8B"/>
        <color rgb="FF00B050"/>
        <color rgb="FFFF8B8B"/>
      </colorScale>
    </cfRule>
  </conditionalFormatting>
  <conditionalFormatting sqref="K45">
    <cfRule type="colorScale" priority="1">
      <colorScale>
        <cfvo type="formula" val="-$K$47"/>
        <cfvo type="percentile" val="0"/>
        <cfvo type="num" val="20"/>
        <color rgb="FFFF8B8B"/>
        <color rgb="FF00B050"/>
        <color rgb="FFFF8B8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Case à cocher 1">
              <controlPr defaultSize="0" autoFill="0" autoLine="0" autoPict="0">
                <anchor moveWithCells="1">
                  <from>
                    <xdr:col>1</xdr:col>
                    <xdr:colOff>161925</xdr:colOff>
                    <xdr:row>3</xdr:row>
                    <xdr:rowOff>0</xdr:rowOff>
                  </from>
                  <to>
                    <xdr:col>1</xdr:col>
                    <xdr:colOff>342900</xdr:colOff>
                    <xdr:row>4</xdr:row>
                    <xdr:rowOff>0</xdr:rowOff>
                  </to>
                </anchor>
              </controlPr>
            </control>
          </mc:Choice>
        </mc:AlternateContent>
        <mc:AlternateContent xmlns:mc="http://schemas.openxmlformats.org/markup-compatibility/2006">
          <mc:Choice Requires="x14">
            <control shapeId="50178" r:id="rId5" name="Case à cocher 2">
              <controlPr defaultSize="0" autoFill="0" autoLine="0" autoPict="0">
                <anchor moveWithCells="1">
                  <from>
                    <xdr:col>1</xdr:col>
                    <xdr:colOff>152400</xdr:colOff>
                    <xdr:row>3</xdr:row>
                    <xdr:rowOff>9525</xdr:rowOff>
                  </from>
                  <to>
                    <xdr:col>1</xdr:col>
                    <xdr:colOff>333375</xdr:colOff>
                    <xdr:row>4</xdr:row>
                    <xdr:rowOff>9525</xdr:rowOff>
                  </to>
                </anchor>
              </controlPr>
            </control>
          </mc:Choice>
        </mc:AlternateContent>
        <mc:AlternateContent xmlns:mc="http://schemas.openxmlformats.org/markup-compatibility/2006">
          <mc:Choice Requires="x14">
            <control shapeId="50179" r:id="rId6" name="Case à cocher 4">
              <controlPr defaultSize="0" autoFill="0" autoLine="0" autoPict="0">
                <anchor moveWithCells="1">
                  <from>
                    <xdr:col>1</xdr:col>
                    <xdr:colOff>152400</xdr:colOff>
                    <xdr:row>7</xdr:row>
                    <xdr:rowOff>0</xdr:rowOff>
                  </from>
                  <to>
                    <xdr:col>1</xdr:col>
                    <xdr:colOff>333375</xdr:colOff>
                    <xdr:row>8</xdr:row>
                    <xdr:rowOff>0</xdr:rowOff>
                  </to>
                </anchor>
              </controlPr>
            </control>
          </mc:Choice>
        </mc:AlternateContent>
        <mc:AlternateContent xmlns:mc="http://schemas.openxmlformats.org/markup-compatibility/2006">
          <mc:Choice Requires="x14">
            <control shapeId="50180" r:id="rId7" name="Case à cocher 5">
              <controlPr defaultSize="0" autoFill="0" autoLine="0" autoPict="0">
                <anchor moveWithCells="1">
                  <from>
                    <xdr:col>1</xdr:col>
                    <xdr:colOff>152400</xdr:colOff>
                    <xdr:row>8</xdr:row>
                    <xdr:rowOff>9525</xdr:rowOff>
                  </from>
                  <to>
                    <xdr:col>1</xdr:col>
                    <xdr:colOff>333375</xdr:colOff>
                    <xdr:row>9</xdr:row>
                    <xdr:rowOff>9525</xdr:rowOff>
                  </to>
                </anchor>
              </controlPr>
            </control>
          </mc:Choice>
        </mc:AlternateContent>
        <mc:AlternateContent xmlns:mc="http://schemas.openxmlformats.org/markup-compatibility/2006">
          <mc:Choice Requires="x14">
            <control shapeId="50181" r:id="rId8" name="Case à cocher 6">
              <controlPr defaultSize="0" autoFill="0" autoLine="0" autoPict="0">
                <anchor moveWithCells="1">
                  <from>
                    <xdr:col>1</xdr:col>
                    <xdr:colOff>152400</xdr:colOff>
                    <xdr:row>29</xdr:row>
                    <xdr:rowOff>190500</xdr:rowOff>
                  </from>
                  <to>
                    <xdr:col>1</xdr:col>
                    <xdr:colOff>333375</xdr:colOff>
                    <xdr:row>31</xdr:row>
                    <xdr:rowOff>0</xdr:rowOff>
                  </to>
                </anchor>
              </controlPr>
            </control>
          </mc:Choice>
        </mc:AlternateContent>
        <mc:AlternateContent xmlns:mc="http://schemas.openxmlformats.org/markup-compatibility/2006">
          <mc:Choice Requires="x14">
            <control shapeId="50182" r:id="rId9" name="Case à cocher 7">
              <controlPr defaultSize="0" autoFill="0" autoLine="0" autoPict="0">
                <anchor moveWithCells="1">
                  <from>
                    <xdr:col>1</xdr:col>
                    <xdr:colOff>152400</xdr:colOff>
                    <xdr:row>15</xdr:row>
                    <xdr:rowOff>19050</xdr:rowOff>
                  </from>
                  <to>
                    <xdr:col>1</xdr:col>
                    <xdr:colOff>333375</xdr:colOff>
                    <xdr:row>16</xdr:row>
                    <xdr:rowOff>19050</xdr:rowOff>
                  </to>
                </anchor>
              </controlPr>
            </control>
          </mc:Choice>
        </mc:AlternateContent>
        <mc:AlternateContent xmlns:mc="http://schemas.openxmlformats.org/markup-compatibility/2006">
          <mc:Choice Requires="x14">
            <control shapeId="50183" r:id="rId10" name="Case à cocher 8">
              <controlPr defaultSize="0" autoFill="0" autoLine="0" autoPict="0">
                <anchor moveWithCells="1">
                  <from>
                    <xdr:col>1</xdr:col>
                    <xdr:colOff>152400</xdr:colOff>
                    <xdr:row>16</xdr:row>
                    <xdr:rowOff>9525</xdr:rowOff>
                  </from>
                  <to>
                    <xdr:col>1</xdr:col>
                    <xdr:colOff>333375</xdr:colOff>
                    <xdr:row>17</xdr:row>
                    <xdr:rowOff>9525</xdr:rowOff>
                  </to>
                </anchor>
              </controlPr>
            </control>
          </mc:Choice>
        </mc:AlternateContent>
        <mc:AlternateContent xmlns:mc="http://schemas.openxmlformats.org/markup-compatibility/2006">
          <mc:Choice Requires="x14">
            <control shapeId="50184" r:id="rId11" name="Case à cocher 9">
              <controlPr defaultSize="0" autoFill="0" autoLine="0" autoPict="0">
                <anchor moveWithCells="1">
                  <from>
                    <xdr:col>1</xdr:col>
                    <xdr:colOff>152400</xdr:colOff>
                    <xdr:row>17</xdr:row>
                    <xdr:rowOff>9525</xdr:rowOff>
                  </from>
                  <to>
                    <xdr:col>1</xdr:col>
                    <xdr:colOff>333375</xdr:colOff>
                    <xdr:row>18</xdr:row>
                    <xdr:rowOff>9525</xdr:rowOff>
                  </to>
                </anchor>
              </controlPr>
            </control>
          </mc:Choice>
        </mc:AlternateContent>
        <mc:AlternateContent xmlns:mc="http://schemas.openxmlformats.org/markup-compatibility/2006">
          <mc:Choice Requires="x14">
            <control shapeId="50185" r:id="rId12" name="Case à cocher 10">
              <controlPr defaultSize="0" autoFill="0" autoLine="0" autoPict="0">
                <anchor moveWithCells="1">
                  <from>
                    <xdr:col>1</xdr:col>
                    <xdr:colOff>152400</xdr:colOff>
                    <xdr:row>17</xdr:row>
                    <xdr:rowOff>171450</xdr:rowOff>
                  </from>
                  <to>
                    <xdr:col>1</xdr:col>
                    <xdr:colOff>333375</xdr:colOff>
                    <xdr:row>18</xdr:row>
                    <xdr:rowOff>171450</xdr:rowOff>
                  </to>
                </anchor>
              </controlPr>
            </control>
          </mc:Choice>
        </mc:AlternateContent>
        <mc:AlternateContent xmlns:mc="http://schemas.openxmlformats.org/markup-compatibility/2006">
          <mc:Choice Requires="x14">
            <control shapeId="50186" r:id="rId13" name="Case à cocher 11">
              <controlPr defaultSize="0" autoFill="0" autoLine="0" autoPict="0">
                <anchor moveWithCells="1">
                  <from>
                    <xdr:col>1</xdr:col>
                    <xdr:colOff>152400</xdr:colOff>
                    <xdr:row>18</xdr:row>
                    <xdr:rowOff>171450</xdr:rowOff>
                  </from>
                  <to>
                    <xdr:col>1</xdr:col>
                    <xdr:colOff>333375</xdr:colOff>
                    <xdr:row>19</xdr:row>
                    <xdr:rowOff>171450</xdr:rowOff>
                  </to>
                </anchor>
              </controlPr>
            </control>
          </mc:Choice>
        </mc:AlternateContent>
        <mc:AlternateContent xmlns:mc="http://schemas.openxmlformats.org/markup-compatibility/2006">
          <mc:Choice Requires="x14">
            <control shapeId="50187" r:id="rId14" name="Check Box 11">
              <controlPr defaultSize="0" autoFill="0" autoLine="0" autoPict="0">
                <anchor moveWithCells="1">
                  <from>
                    <xdr:col>1</xdr:col>
                    <xdr:colOff>152400</xdr:colOff>
                    <xdr:row>20</xdr:row>
                    <xdr:rowOff>180975</xdr:rowOff>
                  </from>
                  <to>
                    <xdr:col>1</xdr:col>
                    <xdr:colOff>333375</xdr:colOff>
                    <xdr:row>21</xdr:row>
                    <xdr:rowOff>180975</xdr:rowOff>
                  </to>
                </anchor>
              </controlPr>
            </control>
          </mc:Choice>
        </mc:AlternateContent>
        <mc:AlternateContent xmlns:mc="http://schemas.openxmlformats.org/markup-compatibility/2006">
          <mc:Choice Requires="x14">
            <control shapeId="50188" r:id="rId15" name="Check Box 13">
              <controlPr defaultSize="0" autoFill="0" autoLine="0" autoPict="0">
                <anchor moveWithCells="1">
                  <from>
                    <xdr:col>1</xdr:col>
                    <xdr:colOff>152400</xdr:colOff>
                    <xdr:row>11</xdr:row>
                    <xdr:rowOff>180975</xdr:rowOff>
                  </from>
                  <to>
                    <xdr:col>1</xdr:col>
                    <xdr:colOff>333375</xdr:colOff>
                    <xdr:row>13</xdr:row>
                    <xdr:rowOff>0</xdr:rowOff>
                  </to>
                </anchor>
              </controlPr>
            </control>
          </mc:Choice>
        </mc:AlternateContent>
        <mc:AlternateContent xmlns:mc="http://schemas.openxmlformats.org/markup-compatibility/2006">
          <mc:Choice Requires="x14">
            <control shapeId="50189" r:id="rId16" name="Check Box 14">
              <controlPr defaultSize="0" autoFill="0" autoLine="0" autoPict="0">
                <anchor moveWithCells="1">
                  <from>
                    <xdr:col>1</xdr:col>
                    <xdr:colOff>152400</xdr:colOff>
                    <xdr:row>21</xdr:row>
                    <xdr:rowOff>180975</xdr:rowOff>
                  </from>
                  <to>
                    <xdr:col>1</xdr:col>
                    <xdr:colOff>333375</xdr:colOff>
                    <xdr:row>23</xdr:row>
                    <xdr:rowOff>0</xdr:rowOff>
                  </to>
                </anchor>
              </controlPr>
            </control>
          </mc:Choice>
        </mc:AlternateContent>
        <mc:AlternateContent xmlns:mc="http://schemas.openxmlformats.org/markup-compatibility/2006">
          <mc:Choice Requires="x14">
            <control shapeId="50190" r:id="rId17" name="Check Box 15">
              <controlPr defaultSize="0" autoFill="0" autoLine="0" autoPict="0">
                <anchor moveWithCells="1">
                  <from>
                    <xdr:col>1</xdr:col>
                    <xdr:colOff>152400</xdr:colOff>
                    <xdr:row>6</xdr:row>
                    <xdr:rowOff>0</xdr:rowOff>
                  </from>
                  <to>
                    <xdr:col>1</xdr:col>
                    <xdr:colOff>333375</xdr:colOff>
                    <xdr:row>7</xdr:row>
                    <xdr:rowOff>0</xdr:rowOff>
                  </to>
                </anchor>
              </controlPr>
            </control>
          </mc:Choice>
        </mc:AlternateContent>
        <mc:AlternateContent xmlns:mc="http://schemas.openxmlformats.org/markup-compatibility/2006">
          <mc:Choice Requires="x14">
            <control shapeId="50191" r:id="rId18" name="Check Box 16">
              <controlPr defaultSize="0" autoFill="0" autoLine="0" autoPict="0">
                <anchor moveWithCells="1">
                  <from>
                    <xdr:col>1</xdr:col>
                    <xdr:colOff>152400</xdr:colOff>
                    <xdr:row>23</xdr:row>
                    <xdr:rowOff>0</xdr:rowOff>
                  </from>
                  <to>
                    <xdr:col>1</xdr:col>
                    <xdr:colOff>333375</xdr:colOff>
                    <xdr:row>24</xdr:row>
                    <xdr:rowOff>9525</xdr:rowOff>
                  </to>
                </anchor>
              </controlPr>
            </control>
          </mc:Choice>
        </mc:AlternateContent>
        <mc:AlternateContent xmlns:mc="http://schemas.openxmlformats.org/markup-compatibility/2006">
          <mc:Choice Requires="x14">
            <control shapeId="50192" r:id="rId19" name="Check Box 17">
              <controlPr defaultSize="0" autoFill="0" autoLine="0" autoPict="0">
                <anchor moveWithCells="1">
                  <from>
                    <xdr:col>1</xdr:col>
                    <xdr:colOff>152400</xdr:colOff>
                    <xdr:row>23</xdr:row>
                    <xdr:rowOff>180975</xdr:rowOff>
                  </from>
                  <to>
                    <xdr:col>1</xdr:col>
                    <xdr:colOff>333375</xdr:colOff>
                    <xdr:row>25</xdr:row>
                    <xdr:rowOff>0</xdr:rowOff>
                  </to>
                </anchor>
              </controlPr>
            </control>
          </mc:Choice>
        </mc:AlternateContent>
        <mc:AlternateContent xmlns:mc="http://schemas.openxmlformats.org/markup-compatibility/2006">
          <mc:Choice Requires="x14">
            <control shapeId="50193" r:id="rId20" name="Check Box 18">
              <controlPr defaultSize="0" autoFill="0" autoLine="0" autoPict="0">
                <anchor moveWithCells="1">
                  <from>
                    <xdr:col>1</xdr:col>
                    <xdr:colOff>152400</xdr:colOff>
                    <xdr:row>25</xdr:row>
                    <xdr:rowOff>0</xdr:rowOff>
                  </from>
                  <to>
                    <xdr:col>1</xdr:col>
                    <xdr:colOff>333375</xdr:colOff>
                    <xdr:row>26</xdr:row>
                    <xdr:rowOff>0</xdr:rowOff>
                  </to>
                </anchor>
              </controlPr>
            </control>
          </mc:Choice>
        </mc:AlternateContent>
        <mc:AlternateContent xmlns:mc="http://schemas.openxmlformats.org/markup-compatibility/2006">
          <mc:Choice Requires="x14">
            <control shapeId="50194" r:id="rId21" name="Check Box 19">
              <controlPr defaultSize="0" autoFill="0" autoLine="0" autoPict="0">
                <anchor moveWithCells="1">
                  <from>
                    <xdr:col>1</xdr:col>
                    <xdr:colOff>152400</xdr:colOff>
                    <xdr:row>26</xdr:row>
                    <xdr:rowOff>0</xdr:rowOff>
                  </from>
                  <to>
                    <xdr:col>1</xdr:col>
                    <xdr:colOff>333375</xdr:colOff>
                    <xdr:row>27</xdr:row>
                    <xdr:rowOff>0</xdr:rowOff>
                  </to>
                </anchor>
              </controlPr>
            </control>
          </mc:Choice>
        </mc:AlternateContent>
        <mc:AlternateContent xmlns:mc="http://schemas.openxmlformats.org/markup-compatibility/2006">
          <mc:Choice Requires="x14">
            <control shapeId="50195" r:id="rId22" name="Check Box 20">
              <controlPr defaultSize="0" autoFill="0" autoLine="0" autoPict="0">
                <anchor moveWithCells="1">
                  <from>
                    <xdr:col>1</xdr:col>
                    <xdr:colOff>152400</xdr:colOff>
                    <xdr:row>27</xdr:row>
                    <xdr:rowOff>9525</xdr:rowOff>
                  </from>
                  <to>
                    <xdr:col>1</xdr:col>
                    <xdr:colOff>333375</xdr:colOff>
                    <xdr:row>28</xdr:row>
                    <xdr:rowOff>9525</xdr:rowOff>
                  </to>
                </anchor>
              </controlPr>
            </control>
          </mc:Choice>
        </mc:AlternateContent>
        <mc:AlternateContent xmlns:mc="http://schemas.openxmlformats.org/markup-compatibility/2006">
          <mc:Choice Requires="x14">
            <control shapeId="50196" r:id="rId23" name="Check Box 21">
              <controlPr defaultSize="0" autoFill="0" autoLine="0" autoPict="0">
                <anchor moveWithCells="1">
                  <from>
                    <xdr:col>1</xdr:col>
                    <xdr:colOff>152400</xdr:colOff>
                    <xdr:row>28</xdr:row>
                    <xdr:rowOff>9525</xdr:rowOff>
                  </from>
                  <to>
                    <xdr:col>1</xdr:col>
                    <xdr:colOff>333375</xdr:colOff>
                    <xdr:row>29</xdr:row>
                    <xdr:rowOff>9525</xdr:rowOff>
                  </to>
                </anchor>
              </controlPr>
            </control>
          </mc:Choice>
        </mc:AlternateContent>
        <mc:AlternateContent xmlns:mc="http://schemas.openxmlformats.org/markup-compatibility/2006">
          <mc:Choice Requires="x14">
            <control shapeId="50197" r:id="rId24" name="Check Box 21">
              <controlPr defaultSize="0" autoFill="0" autoLine="0" autoPict="0">
                <anchor moveWithCells="1">
                  <from>
                    <xdr:col>1</xdr:col>
                    <xdr:colOff>152400</xdr:colOff>
                    <xdr:row>28</xdr:row>
                    <xdr:rowOff>180975</xdr:rowOff>
                  </from>
                  <to>
                    <xdr:col>1</xdr:col>
                    <xdr:colOff>333375</xdr:colOff>
                    <xdr:row>29</xdr:row>
                    <xdr:rowOff>180975</xdr:rowOff>
                  </to>
                </anchor>
              </controlPr>
            </control>
          </mc:Choice>
        </mc:AlternateContent>
        <mc:AlternateContent xmlns:mc="http://schemas.openxmlformats.org/markup-compatibility/2006">
          <mc:Choice Requires="x14">
            <control shapeId="50198" r:id="rId25" name="Check Box 22">
              <controlPr defaultSize="0" autoFill="0" autoLine="0" autoPict="0">
                <anchor moveWithCells="1">
                  <from>
                    <xdr:col>1</xdr:col>
                    <xdr:colOff>152400</xdr:colOff>
                    <xdr:row>4</xdr:row>
                    <xdr:rowOff>0</xdr:rowOff>
                  </from>
                  <to>
                    <xdr:col>1</xdr:col>
                    <xdr:colOff>333375</xdr:colOff>
                    <xdr:row>5</xdr:row>
                    <xdr:rowOff>0</xdr:rowOff>
                  </to>
                </anchor>
              </controlPr>
            </control>
          </mc:Choice>
        </mc:AlternateContent>
        <mc:AlternateContent xmlns:mc="http://schemas.openxmlformats.org/markup-compatibility/2006">
          <mc:Choice Requires="x14">
            <control shapeId="50199" r:id="rId26" name="Check Box 23">
              <controlPr defaultSize="0" autoFill="0" autoLine="0" autoPict="0">
                <anchor moveWithCells="1">
                  <from>
                    <xdr:col>1</xdr:col>
                    <xdr:colOff>152400</xdr:colOff>
                    <xdr:row>19</xdr:row>
                    <xdr:rowOff>180975</xdr:rowOff>
                  </from>
                  <to>
                    <xdr:col>1</xdr:col>
                    <xdr:colOff>333375</xdr:colOff>
                    <xdr:row>20</xdr:row>
                    <xdr:rowOff>180975</xdr:rowOff>
                  </to>
                </anchor>
              </controlPr>
            </control>
          </mc:Choice>
        </mc:AlternateContent>
        <mc:AlternateContent xmlns:mc="http://schemas.openxmlformats.org/markup-compatibility/2006">
          <mc:Choice Requires="x14">
            <control shapeId="50200" r:id="rId27" name="Check Box 24">
              <controlPr defaultSize="0" autoFill="0" autoLine="0" autoPict="0">
                <anchor moveWithCells="1">
                  <from>
                    <xdr:col>1</xdr:col>
                    <xdr:colOff>152400</xdr:colOff>
                    <xdr:row>10</xdr:row>
                    <xdr:rowOff>190500</xdr:rowOff>
                  </from>
                  <to>
                    <xdr:col>1</xdr:col>
                    <xdr:colOff>333375</xdr:colOff>
                    <xdr:row>12</xdr:row>
                    <xdr:rowOff>0</xdr:rowOff>
                  </to>
                </anchor>
              </controlPr>
            </control>
          </mc:Choice>
        </mc:AlternateContent>
        <mc:AlternateContent xmlns:mc="http://schemas.openxmlformats.org/markup-compatibility/2006">
          <mc:Choice Requires="x14">
            <control shapeId="50201" r:id="rId28" name="Check Box 25">
              <controlPr defaultSize="0" autoFill="0" autoLine="0" autoPict="0">
                <anchor moveWithCells="1">
                  <from>
                    <xdr:col>1</xdr:col>
                    <xdr:colOff>152400</xdr:colOff>
                    <xdr:row>31</xdr:row>
                    <xdr:rowOff>0</xdr:rowOff>
                  </from>
                  <to>
                    <xdr:col>1</xdr:col>
                    <xdr:colOff>333375</xdr:colOff>
                    <xdr:row>32</xdr:row>
                    <xdr:rowOff>0</xdr:rowOff>
                  </to>
                </anchor>
              </controlPr>
            </control>
          </mc:Choice>
        </mc:AlternateContent>
        <mc:AlternateContent xmlns:mc="http://schemas.openxmlformats.org/markup-compatibility/2006">
          <mc:Choice Requires="x14">
            <control shapeId="50202" r:id="rId29" name="Check Box 26">
              <controlPr defaultSize="0" autoFill="0" autoLine="0" autoPict="0">
                <anchor moveWithCells="1">
                  <from>
                    <xdr:col>1</xdr:col>
                    <xdr:colOff>152400</xdr:colOff>
                    <xdr:row>32</xdr:row>
                    <xdr:rowOff>0</xdr:rowOff>
                  </from>
                  <to>
                    <xdr:col>1</xdr:col>
                    <xdr:colOff>333375</xdr:colOff>
                    <xdr:row>33</xdr:row>
                    <xdr:rowOff>0</xdr:rowOff>
                  </to>
                </anchor>
              </controlPr>
            </control>
          </mc:Choice>
        </mc:AlternateContent>
        <mc:AlternateContent xmlns:mc="http://schemas.openxmlformats.org/markup-compatibility/2006">
          <mc:Choice Requires="x14">
            <control shapeId="50203" r:id="rId30" name="Check Box 27">
              <controlPr defaultSize="0" autoFill="0" autoLine="0" autoPict="0">
                <anchor moveWithCells="1">
                  <from>
                    <xdr:col>1</xdr:col>
                    <xdr:colOff>152400</xdr:colOff>
                    <xdr:row>33</xdr:row>
                    <xdr:rowOff>0</xdr:rowOff>
                  </from>
                  <to>
                    <xdr:col>1</xdr:col>
                    <xdr:colOff>333375</xdr:colOff>
                    <xdr:row>34</xdr:row>
                    <xdr:rowOff>0</xdr:rowOff>
                  </to>
                </anchor>
              </controlPr>
            </control>
          </mc:Choice>
        </mc:AlternateContent>
        <mc:AlternateContent xmlns:mc="http://schemas.openxmlformats.org/markup-compatibility/2006">
          <mc:Choice Requires="x14">
            <control shapeId="50204" r:id="rId31" name="Check Box 28">
              <controlPr defaultSize="0" autoFill="0" autoLine="0" autoPict="0">
                <anchor moveWithCells="1">
                  <from>
                    <xdr:col>1</xdr:col>
                    <xdr:colOff>152400</xdr:colOff>
                    <xdr:row>33</xdr:row>
                    <xdr:rowOff>171450</xdr:rowOff>
                  </from>
                  <to>
                    <xdr:col>1</xdr:col>
                    <xdr:colOff>333375</xdr:colOff>
                    <xdr:row>34</xdr:row>
                    <xdr:rowOff>171450</xdr:rowOff>
                  </to>
                </anchor>
              </controlPr>
            </control>
          </mc:Choice>
        </mc:AlternateContent>
        <mc:AlternateContent xmlns:mc="http://schemas.openxmlformats.org/markup-compatibility/2006">
          <mc:Choice Requires="x14">
            <control shapeId="50205" r:id="rId32" name="Check Box 29">
              <controlPr defaultSize="0" autoFill="0" autoLine="0" autoPict="0">
                <anchor moveWithCells="1">
                  <from>
                    <xdr:col>1</xdr:col>
                    <xdr:colOff>152400</xdr:colOff>
                    <xdr:row>5</xdr:row>
                    <xdr:rowOff>0</xdr:rowOff>
                  </from>
                  <to>
                    <xdr:col>1</xdr:col>
                    <xdr:colOff>333375</xdr:colOff>
                    <xdr:row>6</xdr:row>
                    <xdr:rowOff>0</xdr:rowOff>
                  </to>
                </anchor>
              </controlPr>
            </control>
          </mc:Choice>
        </mc:AlternateContent>
        <mc:AlternateContent xmlns:mc="http://schemas.openxmlformats.org/markup-compatibility/2006">
          <mc:Choice Requires="x14">
            <control shapeId="50206" r:id="rId33" name="Check Box 30">
              <controlPr defaultSize="0" autoFill="0" autoLine="0" autoPict="0">
                <anchor moveWithCells="1">
                  <from>
                    <xdr:col>1</xdr:col>
                    <xdr:colOff>152400</xdr:colOff>
                    <xdr:row>8</xdr:row>
                    <xdr:rowOff>180975</xdr:rowOff>
                  </from>
                  <to>
                    <xdr:col>1</xdr:col>
                    <xdr:colOff>333375</xdr:colOff>
                    <xdr:row>9</xdr:row>
                    <xdr:rowOff>180975</xdr:rowOff>
                  </to>
                </anchor>
              </controlPr>
            </control>
          </mc:Choice>
        </mc:AlternateContent>
        <mc:AlternateContent xmlns:mc="http://schemas.openxmlformats.org/markup-compatibility/2006">
          <mc:Choice Requires="x14">
            <control shapeId="50207" r:id="rId34" name="Check Box 31">
              <controlPr defaultSize="0" autoFill="0" autoLine="0" autoPict="0">
                <anchor moveWithCells="1">
                  <from>
                    <xdr:col>1</xdr:col>
                    <xdr:colOff>152400</xdr:colOff>
                    <xdr:row>12</xdr:row>
                    <xdr:rowOff>171450</xdr:rowOff>
                  </from>
                  <to>
                    <xdr:col>1</xdr:col>
                    <xdr:colOff>333375</xdr:colOff>
                    <xdr:row>13</xdr:row>
                    <xdr:rowOff>180975</xdr:rowOff>
                  </to>
                </anchor>
              </controlPr>
            </control>
          </mc:Choice>
        </mc:AlternateContent>
        <mc:AlternateContent xmlns:mc="http://schemas.openxmlformats.org/markup-compatibility/2006">
          <mc:Choice Requires="x14">
            <control shapeId="50208" r:id="rId35" name="Check Box 32">
              <controlPr defaultSize="0" autoFill="0" autoLine="0" autoPict="0">
                <anchor moveWithCells="1">
                  <from>
                    <xdr:col>1</xdr:col>
                    <xdr:colOff>152400</xdr:colOff>
                    <xdr:row>34</xdr:row>
                    <xdr:rowOff>180975</xdr:rowOff>
                  </from>
                  <to>
                    <xdr:col>1</xdr:col>
                    <xdr:colOff>333375</xdr:colOff>
                    <xdr:row>35</xdr:row>
                    <xdr:rowOff>180975</xdr:rowOff>
                  </to>
                </anchor>
              </controlPr>
            </control>
          </mc:Choice>
        </mc:AlternateContent>
        <mc:AlternateContent xmlns:mc="http://schemas.openxmlformats.org/markup-compatibility/2006">
          <mc:Choice Requires="x14">
            <control shapeId="50209" r:id="rId36" name="Check Box 33">
              <controlPr defaultSize="0" autoFill="0" autoLine="0" autoPict="0">
                <anchor moveWithCells="1">
                  <from>
                    <xdr:col>1</xdr:col>
                    <xdr:colOff>152400</xdr:colOff>
                    <xdr:row>35</xdr:row>
                    <xdr:rowOff>180975</xdr:rowOff>
                  </from>
                  <to>
                    <xdr:col>1</xdr:col>
                    <xdr:colOff>333375</xdr:colOff>
                    <xdr:row>36</xdr:row>
                    <xdr:rowOff>180975</xdr:rowOff>
                  </to>
                </anchor>
              </controlPr>
            </control>
          </mc:Choice>
        </mc:AlternateContent>
        <mc:AlternateContent xmlns:mc="http://schemas.openxmlformats.org/markup-compatibility/2006">
          <mc:Choice Requires="x14">
            <control shapeId="50210" r:id="rId37" name="Check Box 34">
              <controlPr defaultSize="0" autoFill="0" autoLine="0" autoPict="0">
                <anchor moveWithCells="1">
                  <from>
                    <xdr:col>1</xdr:col>
                    <xdr:colOff>152400</xdr:colOff>
                    <xdr:row>13</xdr:row>
                    <xdr:rowOff>161925</xdr:rowOff>
                  </from>
                  <to>
                    <xdr:col>1</xdr:col>
                    <xdr:colOff>333375</xdr:colOff>
                    <xdr:row>14</xdr:row>
                    <xdr:rowOff>171450</xdr:rowOff>
                  </to>
                </anchor>
              </controlPr>
            </control>
          </mc:Choice>
        </mc:AlternateContent>
        <mc:AlternateContent xmlns:mc="http://schemas.openxmlformats.org/markup-compatibility/2006">
          <mc:Choice Requires="x14">
            <control shapeId="50211" r:id="rId38" name="Check Box 35">
              <controlPr defaultSize="0" autoFill="0" autoLine="0" autoPict="0">
                <anchor moveWithCells="1">
                  <from>
                    <xdr:col>1</xdr:col>
                    <xdr:colOff>142875</xdr:colOff>
                    <xdr:row>36</xdr:row>
                    <xdr:rowOff>180975</xdr:rowOff>
                  </from>
                  <to>
                    <xdr:col>1</xdr:col>
                    <xdr:colOff>323850</xdr:colOff>
                    <xdr:row>37</xdr:row>
                    <xdr:rowOff>180975</xdr:rowOff>
                  </to>
                </anchor>
              </controlPr>
            </control>
          </mc:Choice>
        </mc:AlternateContent>
        <mc:AlternateContent xmlns:mc="http://schemas.openxmlformats.org/markup-compatibility/2006">
          <mc:Choice Requires="x14">
            <control shapeId="50212" r:id="rId39" name="Check Box 36">
              <controlPr defaultSize="0" autoFill="0" autoLine="0" autoPict="0">
                <anchor moveWithCells="1">
                  <from>
                    <xdr:col>1</xdr:col>
                    <xdr:colOff>142875</xdr:colOff>
                    <xdr:row>38</xdr:row>
                    <xdr:rowOff>171450</xdr:rowOff>
                  </from>
                  <to>
                    <xdr:col>1</xdr:col>
                    <xdr:colOff>323850</xdr:colOff>
                    <xdr:row>39</xdr:row>
                    <xdr:rowOff>171450</xdr:rowOff>
                  </to>
                </anchor>
              </controlPr>
            </control>
          </mc:Choice>
        </mc:AlternateContent>
        <mc:AlternateContent xmlns:mc="http://schemas.openxmlformats.org/markup-compatibility/2006">
          <mc:Choice Requires="x14">
            <control shapeId="50213" r:id="rId40" name="Check Box 37">
              <controlPr defaultSize="0" autoFill="0" autoLine="0" autoPict="0">
                <anchor moveWithCells="1">
                  <from>
                    <xdr:col>1</xdr:col>
                    <xdr:colOff>161925</xdr:colOff>
                    <xdr:row>37</xdr:row>
                    <xdr:rowOff>180975</xdr:rowOff>
                  </from>
                  <to>
                    <xdr:col>1</xdr:col>
                    <xdr:colOff>342900</xdr:colOff>
                    <xdr:row>38</xdr:row>
                    <xdr:rowOff>180975</xdr:rowOff>
                  </to>
                </anchor>
              </controlPr>
            </control>
          </mc:Choice>
        </mc:AlternateContent>
        <mc:AlternateContent xmlns:mc="http://schemas.openxmlformats.org/markup-compatibility/2006">
          <mc:Choice Requires="x14">
            <control shapeId="50214" r:id="rId41" name="Check Box 38">
              <controlPr defaultSize="0" autoFill="0" autoLine="0" autoPict="0">
                <anchor moveWithCells="1">
                  <from>
                    <xdr:col>1</xdr:col>
                    <xdr:colOff>142875</xdr:colOff>
                    <xdr:row>9</xdr:row>
                    <xdr:rowOff>171450</xdr:rowOff>
                  </from>
                  <to>
                    <xdr:col>1</xdr:col>
                    <xdr:colOff>323850</xdr:colOff>
                    <xdr:row>10</xdr:row>
                    <xdr:rowOff>171450</xdr:rowOff>
                  </to>
                </anchor>
              </controlPr>
            </control>
          </mc:Choice>
        </mc:AlternateContent>
        <mc:AlternateContent xmlns:mc="http://schemas.openxmlformats.org/markup-compatibility/2006">
          <mc:Choice Requires="x14">
            <control shapeId="50215" r:id="rId42" name="Check Box 39">
              <controlPr defaultSize="0" autoFill="0" autoLine="0" autoPict="0">
                <anchor moveWithCells="1">
                  <from>
                    <xdr:col>1</xdr:col>
                    <xdr:colOff>142875</xdr:colOff>
                    <xdr:row>39</xdr:row>
                    <xdr:rowOff>180975</xdr:rowOff>
                  </from>
                  <to>
                    <xdr:col>1</xdr:col>
                    <xdr:colOff>323850</xdr:colOff>
                    <xdr:row>40</xdr:row>
                    <xdr:rowOff>180975</xdr:rowOff>
                  </to>
                </anchor>
              </controlPr>
            </control>
          </mc:Choice>
        </mc:AlternateContent>
        <mc:AlternateContent xmlns:mc="http://schemas.openxmlformats.org/markup-compatibility/2006">
          <mc:Choice Requires="x14">
            <control shapeId="50216" r:id="rId43" name="Check Box 40">
              <controlPr defaultSize="0" autoFill="0" autoLine="0" autoPict="0">
                <anchor moveWithCells="1">
                  <from>
                    <xdr:col>1</xdr:col>
                    <xdr:colOff>142875</xdr:colOff>
                    <xdr:row>40</xdr:row>
                    <xdr:rowOff>171450</xdr:rowOff>
                  </from>
                  <to>
                    <xdr:col>1</xdr:col>
                    <xdr:colOff>323850</xdr:colOff>
                    <xdr:row>41</xdr:row>
                    <xdr:rowOff>171450</xdr:rowOff>
                  </to>
                </anchor>
              </controlPr>
            </control>
          </mc:Choice>
        </mc:AlternateContent>
        <mc:AlternateContent xmlns:mc="http://schemas.openxmlformats.org/markup-compatibility/2006">
          <mc:Choice Requires="x14">
            <control shapeId="50217" r:id="rId44" name="Check Box 41">
              <controlPr defaultSize="0" autoFill="0" autoLine="0" autoPict="0">
                <anchor moveWithCells="1">
                  <from>
                    <xdr:col>1</xdr:col>
                    <xdr:colOff>142875</xdr:colOff>
                    <xdr:row>41</xdr:row>
                    <xdr:rowOff>180975</xdr:rowOff>
                  </from>
                  <to>
                    <xdr:col>1</xdr:col>
                    <xdr:colOff>323850</xdr:colOff>
                    <xdr:row>42</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A4:C12"/>
  <sheetViews>
    <sheetView workbookViewId="0">
      <selection activeCell="D10" sqref="D10"/>
    </sheetView>
  </sheetViews>
  <sheetFormatPr defaultColWidth="8.85546875" defaultRowHeight="15" x14ac:dyDescent="0.25"/>
  <cols>
    <col min="1" max="1" width="10.140625" bestFit="1" customWidth="1"/>
  </cols>
  <sheetData>
    <row r="4" spans="1:3" x14ac:dyDescent="0.25">
      <c r="B4" t="s">
        <v>172</v>
      </c>
      <c r="C4" t="s">
        <v>173</v>
      </c>
    </row>
    <row r="5" spans="1:3" x14ac:dyDescent="0.25">
      <c r="A5" t="s">
        <v>174</v>
      </c>
      <c r="B5">
        <v>3.9</v>
      </c>
      <c r="C5">
        <f>B5*30/100</f>
        <v>1.17</v>
      </c>
    </row>
    <row r="6" spans="1:3" x14ac:dyDescent="0.25">
      <c r="A6" t="s">
        <v>175</v>
      </c>
      <c r="B6">
        <v>8.6999999999999993</v>
      </c>
      <c r="C6">
        <f>B6*30/100</f>
        <v>2.61</v>
      </c>
    </row>
    <row r="7" spans="1:3" x14ac:dyDescent="0.25">
      <c r="A7" t="s">
        <v>176</v>
      </c>
      <c r="B7">
        <v>3.6</v>
      </c>
      <c r="C7">
        <f>B7*30/100</f>
        <v>1.08</v>
      </c>
    </row>
    <row r="8" spans="1:3" x14ac:dyDescent="0.25">
      <c r="A8" t="s">
        <v>177</v>
      </c>
      <c r="B8">
        <f>SUM(B5:B7)</f>
        <v>16.2</v>
      </c>
      <c r="C8">
        <f>SUM(C5:C7)</f>
        <v>4.8599999999999994</v>
      </c>
    </row>
    <row r="10" spans="1:3" x14ac:dyDescent="0.25">
      <c r="A10" t="s">
        <v>14</v>
      </c>
      <c r="B10">
        <v>6.69</v>
      </c>
      <c r="C10">
        <f>B10*30/100</f>
        <v>2.0070000000000001</v>
      </c>
    </row>
    <row r="11" spans="1:3" x14ac:dyDescent="0.25">
      <c r="A11" t="s">
        <v>30</v>
      </c>
      <c r="B11">
        <v>8.3000000000000007</v>
      </c>
      <c r="C11">
        <f>B11*30/100</f>
        <v>2.4900000000000002</v>
      </c>
    </row>
    <row r="12" spans="1:3" x14ac:dyDescent="0.25">
      <c r="A12" t="s">
        <v>29</v>
      </c>
      <c r="B12">
        <v>73.599999999999994</v>
      </c>
      <c r="C12">
        <f>B12*30/100</f>
        <v>22.08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X51"/>
  <sheetViews>
    <sheetView topLeftCell="A4" zoomScale="85" zoomScaleNormal="85" workbookViewId="0">
      <selection activeCell="AA32" sqref="AA32"/>
    </sheetView>
  </sheetViews>
  <sheetFormatPr defaultColWidth="8.85546875" defaultRowHeight="15" x14ac:dyDescent="0.25"/>
  <cols>
    <col min="1" max="1" width="1.85546875" customWidth="1"/>
    <col min="5" max="5" width="5.7109375" style="207" bestFit="1" customWidth="1"/>
    <col min="6" max="8" width="7.140625" bestFit="1" customWidth="1"/>
    <col min="9" max="10" width="8.85546875" style="207"/>
  </cols>
  <sheetData>
    <row r="3" spans="2:24" x14ac:dyDescent="0.25">
      <c r="F3" s="251" t="s">
        <v>29</v>
      </c>
      <c r="G3" s="253" t="s">
        <v>30</v>
      </c>
      <c r="H3" s="255" t="s">
        <v>14</v>
      </c>
      <c r="I3" s="257" t="s">
        <v>97</v>
      </c>
      <c r="J3" s="258" t="s">
        <v>187</v>
      </c>
    </row>
    <row r="4" spans="2:24" ht="15.75" thickBot="1" x14ac:dyDescent="0.3">
      <c r="E4" s="209" t="s">
        <v>96</v>
      </c>
      <c r="F4" s="252"/>
      <c r="G4" s="254"/>
      <c r="H4" s="256"/>
      <c r="I4" s="257"/>
      <c r="J4" s="258"/>
      <c r="X4" t="s">
        <v>128</v>
      </c>
    </row>
    <row r="5" spans="2:24" x14ac:dyDescent="0.25">
      <c r="B5" s="260" t="s">
        <v>94</v>
      </c>
      <c r="C5" s="64" t="s">
        <v>33</v>
      </c>
      <c r="D5" s="64"/>
      <c r="E5" s="56">
        <f>40*3</f>
        <v>120</v>
      </c>
      <c r="F5" s="57">
        <f>IFERROR(VLOOKUP($C5,Food_Index!$B$4:$E$107,2,FALSE)*$E5,"-")</f>
        <v>13.2</v>
      </c>
      <c r="G5" s="58">
        <f>IFERROR(VLOOKUP($C5,Food_Index!$B$4:$E$107,3,FALSE)*$E5,"-")</f>
        <v>0.83999999999999986</v>
      </c>
      <c r="H5" s="59">
        <f>IFERROR(VLOOKUP($C5,Food_Index!$B$4:$E$107,4,FALSE)*$E5,"-")</f>
        <v>0.24</v>
      </c>
      <c r="I5" s="60">
        <f>IFERROR(F5*4+G5*4+H5*9,"-")</f>
        <v>58.319999999999993</v>
      </c>
      <c r="J5" s="207">
        <f>IFERROR(VLOOKUP($C5,Food_Index!$B$4:$F$107,5,FALSE)*$E5,"-")</f>
        <v>0</v>
      </c>
      <c r="X5" t="s">
        <v>129</v>
      </c>
    </row>
    <row r="6" spans="2:24" x14ac:dyDescent="0.25">
      <c r="B6" s="261"/>
      <c r="C6" s="67" t="s">
        <v>18</v>
      </c>
      <c r="D6" s="67"/>
      <c r="E6" s="10">
        <f>220</f>
        <v>220</v>
      </c>
      <c r="F6" s="19">
        <f>IFERROR(VLOOKUP($C6,Food_Index!$B$4:$E$107,2,FALSE)*$E6,"-")</f>
        <v>7.04</v>
      </c>
      <c r="G6" s="16">
        <f>IFERROR(VLOOKUP($C6,Food_Index!$B$4:$E$107,3,FALSE)*$E6,"-")</f>
        <v>10.56</v>
      </c>
      <c r="H6" s="21">
        <f>IFERROR(VLOOKUP($C6,Food_Index!$B$4:$E$107,4,FALSE)*$E6,"-")</f>
        <v>3.52</v>
      </c>
      <c r="I6" s="61">
        <f>IFERROR(F6*4+G6*4+H6*9,"-")</f>
        <v>102.08000000000001</v>
      </c>
      <c r="J6" s="207">
        <f>IFERROR(VLOOKUP($C6,Food_Index!$B$4:$F$107,5,FALSE)*$E6,"-")</f>
        <v>0</v>
      </c>
      <c r="L6" t="s">
        <v>77</v>
      </c>
      <c r="N6" t="s">
        <v>78</v>
      </c>
      <c r="O6" s="207"/>
      <c r="P6" s="207"/>
      <c r="X6" t="s">
        <v>130</v>
      </c>
    </row>
    <row r="7" spans="2:24" x14ac:dyDescent="0.25">
      <c r="B7" s="261"/>
      <c r="C7" s="67" t="s">
        <v>3</v>
      </c>
      <c r="D7" s="67"/>
      <c r="E7" s="10">
        <v>140</v>
      </c>
      <c r="F7" s="19">
        <f>IFERROR(VLOOKUP($C7,Food_Index!$B$4:$E$107,2,FALSE)*$E7,"-")</f>
        <v>16.8</v>
      </c>
      <c r="G7" s="16">
        <f>IFERROR(VLOOKUP($C7,Food_Index!$B$4:$E$107,3,FALSE)*$E7,"-")</f>
        <v>84</v>
      </c>
      <c r="H7" s="21">
        <f>IFERROR(VLOOKUP($C7,Food_Index!$B$4:$E$107,4,FALSE)*$E7,"-")</f>
        <v>9.94</v>
      </c>
      <c r="I7" s="61">
        <f>IFERROR(F7*4+G7*4+H7*9,"-")</f>
        <v>492.65999999999997</v>
      </c>
      <c r="J7" s="207">
        <f>IFERROR(VLOOKUP($C7,Food_Index!$B$4:$F$107,5,FALSE)*$E7,"-")</f>
        <v>14</v>
      </c>
      <c r="L7" t="s">
        <v>75</v>
      </c>
      <c r="X7" t="s">
        <v>131</v>
      </c>
    </row>
    <row r="8" spans="2:24" x14ac:dyDescent="0.25">
      <c r="B8" s="261"/>
      <c r="C8" s="65" t="s">
        <v>67</v>
      </c>
      <c r="D8" s="65"/>
      <c r="E8" s="10">
        <f>16*3</f>
        <v>48</v>
      </c>
      <c r="F8" s="19">
        <f>IFERROR(VLOOKUP($C8,Food_Index!$B$4:$E$107,2,FALSE)*$E8,"-")</f>
        <v>7.68</v>
      </c>
      <c r="G8" s="16">
        <f>IFERROR(VLOOKUP($C8,Food_Index!$B$4:$E$107,3,FALSE)*$E8,"-")</f>
        <v>1.7280000000000002</v>
      </c>
      <c r="H8" s="21">
        <f>IFERROR(VLOOKUP($C8,Food_Index!$B$4:$E$107,4,FALSE)*$E8,"-")</f>
        <v>12.96</v>
      </c>
      <c r="I8" s="61">
        <f>IFERROR(F8*4+G8*4+H8*9,"-")</f>
        <v>154.27200000000002</v>
      </c>
      <c r="J8" s="207">
        <f>IFERROR(VLOOKUP($C8,Food_Index!$B$4:$F$107,5,FALSE)*$E8,"-")</f>
        <v>0</v>
      </c>
      <c r="L8" t="s">
        <v>74</v>
      </c>
      <c r="X8" t="s">
        <v>132</v>
      </c>
    </row>
    <row r="9" spans="2:24" x14ac:dyDescent="0.25">
      <c r="B9" s="261"/>
      <c r="C9" s="67"/>
      <c r="D9" s="67"/>
      <c r="E9" s="10">
        <v>70</v>
      </c>
      <c r="F9" s="19" t="str">
        <f>IFERROR(VLOOKUP($C9,Food_Index!$B$4:$E$107,2,FALSE)*$E9,"-")</f>
        <v>-</v>
      </c>
      <c r="G9" s="16" t="str">
        <f>IFERROR(VLOOKUP($C9,Food_Index!$B$4:$E$107,3,FALSE)*$E9,"-")</f>
        <v>-</v>
      </c>
      <c r="H9" s="21" t="str">
        <f>IFERROR(VLOOKUP($C9,Food_Index!$B$4:$E$107,4,FALSE)*$E9,"-")</f>
        <v>-</v>
      </c>
      <c r="I9" s="61" t="str">
        <f>IFERROR(F9*4+G9*4+H9*9,"-")</f>
        <v>-</v>
      </c>
    </row>
    <row r="10" spans="2:24" ht="15.75" thickBot="1" x14ac:dyDescent="0.3">
      <c r="B10" s="262"/>
      <c r="C10" s="62"/>
      <c r="D10" s="62"/>
      <c r="E10" s="63"/>
      <c r="F10" s="63">
        <f>SUM(F5:F9)</f>
        <v>44.72</v>
      </c>
      <c r="G10" s="63">
        <f>SUM(G5:G9)</f>
        <v>97.128</v>
      </c>
      <c r="H10" s="63">
        <f>SUM(H5:H9)</f>
        <v>26.66</v>
      </c>
      <c r="I10" s="63">
        <f>SUM(I5:I9)</f>
        <v>807.33199999999999</v>
      </c>
      <c r="L10" s="68">
        <f>0.25*M41</f>
        <v>102.40923125</v>
      </c>
      <c r="X10" t="s">
        <v>133</v>
      </c>
    </row>
    <row r="11" spans="2:24" ht="15.75" thickBot="1" x14ac:dyDescent="0.3">
      <c r="L11" s="68">
        <f>0.35*M41</f>
        <v>143.37292374999998</v>
      </c>
    </row>
    <row r="12" spans="2:24" x14ac:dyDescent="0.25">
      <c r="B12" s="260" t="s">
        <v>95</v>
      </c>
      <c r="C12" s="64" t="s">
        <v>240</v>
      </c>
      <c r="D12" s="64"/>
      <c r="E12" s="56">
        <v>0</v>
      </c>
      <c r="F12" s="57">
        <f>IFERROR(VLOOKUP($C12,Food_Index!$B$4:$E$107,2,FALSE)*$E12,"-")</f>
        <v>0</v>
      </c>
      <c r="G12" s="58">
        <f>IFERROR(VLOOKUP($C12,Food_Index!$B$4:$E$107,3,FALSE)*$E12,"-")</f>
        <v>0</v>
      </c>
      <c r="H12" s="59">
        <f>IFERROR(VLOOKUP($C12,Food_Index!$B$4:$E$107,4,FALSE)*$E12,"-")</f>
        <v>0</v>
      </c>
      <c r="I12" s="60">
        <f t="shared" ref="I12:I20" si="0">IFERROR(F12*4+G12*4+H12*9,"-")</f>
        <v>0</v>
      </c>
      <c r="J12" s="207">
        <f>IFERROR(VLOOKUP($C12,Food_Index!$B$4:$F$107,5,FALSE)*$E12,"-")</f>
        <v>0</v>
      </c>
      <c r="K12">
        <v>135</v>
      </c>
      <c r="L12" t="s">
        <v>76</v>
      </c>
    </row>
    <row r="13" spans="2:24" x14ac:dyDescent="0.25">
      <c r="B13" s="261"/>
      <c r="C13" s="65" t="s">
        <v>272</v>
      </c>
      <c r="D13" s="65"/>
      <c r="E13" s="10">
        <v>70</v>
      </c>
      <c r="F13" s="19">
        <f>IFERROR(VLOOKUP($C13,Food_Index!$B$4:$E$107,2,FALSE)*$E13,"-")</f>
        <v>16.8</v>
      </c>
      <c r="G13" s="16">
        <f>IFERROR(VLOOKUP($C13,Food_Index!$B$4:$E$107,3,FALSE)*$E13,"-")</f>
        <v>0</v>
      </c>
      <c r="H13" s="21">
        <f>IFERROR(VLOOKUP($C13,Food_Index!$B$4:$E$107,4,FALSE)*$E13,"-")</f>
        <v>1.4000000000000001</v>
      </c>
      <c r="I13" s="61">
        <f t="shared" si="0"/>
        <v>79.800000000000011</v>
      </c>
      <c r="J13" s="207">
        <f>IFERROR(VLOOKUP($C13,Food_Index!$B$4:$F$107,5,FALSE)*$E13,"-")</f>
        <v>0</v>
      </c>
    </row>
    <row r="14" spans="2:24" x14ac:dyDescent="0.25">
      <c r="B14" s="261"/>
      <c r="C14" s="65" t="s">
        <v>9</v>
      </c>
      <c r="D14" s="65"/>
      <c r="E14" s="10">
        <v>0</v>
      </c>
      <c r="F14" s="19">
        <f>IFERROR(VLOOKUP($C14,Food_Index!$B$4:$E$107,2,FALSE)*$E14,"-")</f>
        <v>0</v>
      </c>
      <c r="G14" s="16">
        <f>IFERROR(VLOOKUP($C14,Food_Index!$B$4:$E$107,3,FALSE)*$E14,"-")</f>
        <v>0</v>
      </c>
      <c r="H14" s="21">
        <f>IFERROR(VLOOKUP($C14,Food_Index!$B$4:$E$107,4,FALSE)*$E14,"-")</f>
        <v>0</v>
      </c>
      <c r="I14" s="61">
        <f t="shared" si="0"/>
        <v>0</v>
      </c>
      <c r="J14" s="207">
        <f>IFERROR(VLOOKUP($C14,Food_Index!$B$4:$F$107,5,FALSE)*$E14,"-")</f>
        <v>0</v>
      </c>
      <c r="X14" t="s">
        <v>138</v>
      </c>
    </row>
    <row r="15" spans="2:24" x14ac:dyDescent="0.25">
      <c r="B15" s="261"/>
      <c r="C15" s="73" t="s">
        <v>33</v>
      </c>
      <c r="D15" s="65"/>
      <c r="E15" s="10">
        <v>40</v>
      </c>
      <c r="F15" s="19">
        <f>IFERROR(VLOOKUP($C15,Food_Index!$B$4:$E$107,2,FALSE)*$E15,"-")</f>
        <v>4.4000000000000004</v>
      </c>
      <c r="G15" s="16">
        <f>IFERROR(VLOOKUP($C15,Food_Index!$B$4:$E$107,3,FALSE)*$E15,"-")</f>
        <v>0.27999999999999997</v>
      </c>
      <c r="H15" s="21">
        <f>IFERROR(VLOOKUP($C15,Food_Index!$B$4:$E$107,4,FALSE)*$E15,"-")</f>
        <v>0.08</v>
      </c>
      <c r="I15" s="61">
        <f t="shared" si="0"/>
        <v>19.440000000000001</v>
      </c>
      <c r="J15" s="207">
        <f>IFERROR(VLOOKUP($C15,Food_Index!$B$4:$F$107,5,FALSE)*$E15,"-")</f>
        <v>0</v>
      </c>
      <c r="X15" t="s">
        <v>139</v>
      </c>
    </row>
    <row r="16" spans="2:24" x14ac:dyDescent="0.25">
      <c r="B16" s="261"/>
      <c r="C16" s="73" t="s">
        <v>67</v>
      </c>
      <c r="D16" s="65"/>
      <c r="E16" s="10">
        <v>16</v>
      </c>
      <c r="F16" s="19">
        <f>IFERROR(VLOOKUP($C16,Food_Index!$B$4:$E$107,2,FALSE)*$E16,"-")</f>
        <v>2.56</v>
      </c>
      <c r="G16" s="16">
        <f>IFERROR(VLOOKUP($C16,Food_Index!$B$4:$E$107,3,FALSE)*$E16,"-")</f>
        <v>0.57600000000000007</v>
      </c>
      <c r="H16" s="21">
        <f>IFERROR(VLOOKUP($C16,Food_Index!$B$4:$E$107,4,FALSE)*$E16,"-")</f>
        <v>4.32</v>
      </c>
      <c r="I16" s="61">
        <f t="shared" si="0"/>
        <v>51.424000000000007</v>
      </c>
      <c r="J16" s="207">
        <f>IFERROR(VLOOKUP($C16,Food_Index!$B$4:$F$107,5,FALSE)*$E16,"-")</f>
        <v>0</v>
      </c>
      <c r="X16" t="s">
        <v>140</v>
      </c>
    </row>
    <row r="17" spans="2:24" x14ac:dyDescent="0.25">
      <c r="B17" s="261"/>
      <c r="C17" s="73" t="s">
        <v>32</v>
      </c>
      <c r="D17" s="65"/>
      <c r="E17" s="10">
        <v>45</v>
      </c>
      <c r="F17" s="19">
        <f>IFERROR(VLOOKUP($C17,Food_Index!$B$4:$E$107,2,FALSE)*$E17,"-")</f>
        <v>9.9</v>
      </c>
      <c r="G17" s="16">
        <f>IFERROR(VLOOKUP($C17,Food_Index!$B$4:$E$107,3,FALSE)*$E17,"-")</f>
        <v>3.1050000000000004</v>
      </c>
      <c r="H17" s="21">
        <f>IFERROR(VLOOKUP($C17,Food_Index!$B$4:$E$107,4,FALSE)*$E17,"-")</f>
        <v>24.3</v>
      </c>
      <c r="I17" s="61">
        <f t="shared" si="0"/>
        <v>270.72000000000003</v>
      </c>
      <c r="J17" s="207">
        <f>IFERROR(VLOOKUP($C17,Food_Index!$B$4:$F$107,5,FALSE)*$E17,"-")</f>
        <v>5.625</v>
      </c>
      <c r="X17" t="s">
        <v>141</v>
      </c>
    </row>
    <row r="18" spans="2:24" x14ac:dyDescent="0.25">
      <c r="B18" s="261"/>
      <c r="C18" s="73" t="s">
        <v>200</v>
      </c>
      <c r="D18" s="65"/>
      <c r="E18" s="10">
        <v>28</v>
      </c>
      <c r="F18" s="19">
        <f>IFERROR(VLOOKUP($C18,Food_Index!$B$4:$E$107,2,FALSE)*$E18,"-")</f>
        <v>0</v>
      </c>
      <c r="G18" s="16">
        <f>IFERROR(VLOOKUP($C18,Food_Index!$B$4:$E$107,3,FALSE)*$E18,"-")</f>
        <v>0</v>
      </c>
      <c r="H18" s="21">
        <f>IFERROR(VLOOKUP($C18,Food_Index!$B$4:$E$107,4,FALSE)*$E18,"-")</f>
        <v>25.48</v>
      </c>
      <c r="I18" s="61">
        <f t="shared" si="0"/>
        <v>229.32</v>
      </c>
      <c r="J18" s="207">
        <f>IFERROR(VLOOKUP($C18,Food_Index!$B$4:$F$107,5,FALSE)*$E18,"-")</f>
        <v>0</v>
      </c>
      <c r="X18" t="s">
        <v>142</v>
      </c>
    </row>
    <row r="19" spans="2:24" x14ac:dyDescent="0.25">
      <c r="B19" s="261"/>
      <c r="C19" s="73" t="s">
        <v>246</v>
      </c>
      <c r="D19" s="65"/>
      <c r="E19" s="10">
        <v>90</v>
      </c>
      <c r="F19" s="19">
        <f>IFERROR(VLOOKUP($C19,Food_Index!$B$4:$E$107,2,FALSE)*$E19,"-")</f>
        <v>6.75</v>
      </c>
      <c r="G19" s="16">
        <f>IFERROR(VLOOKUP($C19,Food_Index!$B$4:$E$107,3,FALSE)*$E19,"-")</f>
        <v>70.2</v>
      </c>
      <c r="H19" s="21">
        <f>IFERROR(VLOOKUP($C19,Food_Index!$B$4:$E$107,4,FALSE)*$E19,"-")</f>
        <v>0.54</v>
      </c>
      <c r="I19" s="61">
        <f t="shared" si="0"/>
        <v>312.66000000000003</v>
      </c>
    </row>
    <row r="20" spans="2:24" x14ac:dyDescent="0.25">
      <c r="B20" s="261"/>
      <c r="C20" s="73" t="s">
        <v>57</v>
      </c>
      <c r="D20" s="65"/>
      <c r="E20" s="10">
        <v>0</v>
      </c>
      <c r="F20" s="125">
        <f>IFERROR(VLOOKUP($C20,Food_Index!$B$4:$E$107,2,FALSE)*$E20,"-")</f>
        <v>0</v>
      </c>
      <c r="G20" s="126">
        <f>IFERROR(VLOOKUP($C20,Food_Index!$B$4:$E$107,3,FALSE)*$E20,"-")</f>
        <v>0</v>
      </c>
      <c r="H20" s="127">
        <f>IFERROR(VLOOKUP($C20,Food_Index!$B$4:$E$107,4,FALSE)*$E20,"-")</f>
        <v>0</v>
      </c>
      <c r="I20" s="61">
        <f t="shared" si="0"/>
        <v>0</v>
      </c>
    </row>
    <row r="21" spans="2:24" ht="15.75" thickBot="1" x14ac:dyDescent="0.3">
      <c r="B21" s="262"/>
      <c r="C21" s="62"/>
      <c r="D21" s="62"/>
      <c r="E21" s="63"/>
      <c r="F21" s="62">
        <f>SUM(F12:F20)</f>
        <v>40.410000000000004</v>
      </c>
      <c r="G21" s="62">
        <f>SUM(G12:G20)</f>
        <v>74.161000000000001</v>
      </c>
      <c r="H21" s="62">
        <f>SUM(H12:H20)</f>
        <v>56.12</v>
      </c>
      <c r="I21" s="62">
        <f>SUM(I12:I20)</f>
        <v>963.36400000000003</v>
      </c>
      <c r="X21" t="s">
        <v>143</v>
      </c>
    </row>
    <row r="22" spans="2:24" ht="15.75" thickBot="1" x14ac:dyDescent="0.3"/>
    <row r="23" spans="2:24" x14ac:dyDescent="0.25">
      <c r="B23" s="260" t="s">
        <v>98</v>
      </c>
      <c r="C23" s="64" t="s">
        <v>179</v>
      </c>
      <c r="D23" s="64"/>
      <c r="E23" s="56">
        <v>1</v>
      </c>
      <c r="F23" s="57">
        <f>IFERROR(VLOOKUP($C23,Food_Index!$B$4:$E$107,2,FALSE)*$E23,"-")</f>
        <v>22.08</v>
      </c>
      <c r="G23" s="58">
        <f>IFERROR(VLOOKUP($C23,Food_Index!$B$4:$E$107,3,FALSE)*$E23,"-")</f>
        <v>2.4900000000000002</v>
      </c>
      <c r="H23" s="59">
        <f>IFERROR(VLOOKUP($C23,Food_Index!$B$4:$E$107,4,FALSE)*$E23,"-")</f>
        <v>2.0070000000000001</v>
      </c>
      <c r="I23" s="60">
        <f t="shared" ref="I23:I28" si="1">IFERROR(F23*4+G23*4+H23*9,"-")</f>
        <v>116.343</v>
      </c>
      <c r="J23" s="207">
        <f>IFERROR(VLOOKUP($C23,Food_Index!$B$4:$F$107,5,FALSE)*$E23,"-")</f>
        <v>0</v>
      </c>
      <c r="X23" t="s">
        <v>139</v>
      </c>
    </row>
    <row r="24" spans="2:24" x14ac:dyDescent="0.25">
      <c r="B24" s="261"/>
      <c r="C24" s="65" t="s">
        <v>9</v>
      </c>
      <c r="D24" s="65"/>
      <c r="E24" s="10">
        <v>240</v>
      </c>
      <c r="F24" s="19">
        <f>IFERROR(VLOOKUP($C24,Food_Index!$B$4:$E$107,2,FALSE)*$E24,"-")</f>
        <v>3.5999999999999996</v>
      </c>
      <c r="G24" s="16">
        <f>IFERROR(VLOOKUP($C24,Food_Index!$B$4:$E$107,3,FALSE)*$E24,"-")</f>
        <v>48</v>
      </c>
      <c r="H24" s="21">
        <f>IFERROR(VLOOKUP($C24,Food_Index!$B$4:$E$107,4,FALSE)*$E24,"-")</f>
        <v>0</v>
      </c>
      <c r="I24" s="61">
        <f t="shared" si="1"/>
        <v>206.4</v>
      </c>
      <c r="J24" s="207">
        <f>IFERROR(VLOOKUP($C24,Food_Index!$B$4:$F$107,5,FALSE)*$E24,"-")</f>
        <v>0.48</v>
      </c>
      <c r="X24" t="s">
        <v>140</v>
      </c>
    </row>
    <row r="25" spans="2:24" x14ac:dyDescent="0.25">
      <c r="B25" s="261"/>
      <c r="C25" s="65" t="s">
        <v>153</v>
      </c>
      <c r="D25" s="65"/>
      <c r="E25" s="10">
        <v>0</v>
      </c>
      <c r="F25" s="19">
        <f>IFERROR(VLOOKUP($C25,Food_Index!$B$4:$E$107,2,FALSE)*$E25,"-")</f>
        <v>0</v>
      </c>
      <c r="G25" s="16">
        <f>IFERROR(VLOOKUP($C25,Food_Index!$B$4:$E$107,3,FALSE)*$E25,"-")</f>
        <v>0</v>
      </c>
      <c r="H25" s="21">
        <f>IFERROR(VLOOKUP($C25,Food_Index!$B$4:$E$107,4,FALSE)*$E25,"-")</f>
        <v>0</v>
      </c>
      <c r="I25" s="61">
        <f t="shared" si="1"/>
        <v>0</v>
      </c>
      <c r="J25" s="207">
        <f>IFERROR(VLOOKUP($C25,Food_Index!$B$4:$F$107,5,FALSE)*$E25,"-")</f>
        <v>0</v>
      </c>
      <c r="X25" t="s">
        <v>144</v>
      </c>
    </row>
    <row r="26" spans="2:24" x14ac:dyDescent="0.25">
      <c r="B26" s="261"/>
      <c r="C26" s="65" t="s">
        <v>18</v>
      </c>
      <c r="D26" s="65"/>
      <c r="E26" s="10">
        <v>0</v>
      </c>
      <c r="F26" s="19">
        <f>IFERROR(VLOOKUP($C26,Food_Index!$B$4:$E$107,2,FALSE)*$E26,"-")</f>
        <v>0</v>
      </c>
      <c r="G26" s="16">
        <f>IFERROR(VLOOKUP($C26,Food_Index!$B$4:$E$107,3,FALSE)*$E26,"-")</f>
        <v>0</v>
      </c>
      <c r="H26" s="21">
        <f>IFERROR(VLOOKUP($C26,Food_Index!$B$4:$E$107,4,FALSE)*$E26,"-")</f>
        <v>0</v>
      </c>
      <c r="I26" s="61">
        <f t="shared" si="1"/>
        <v>0</v>
      </c>
      <c r="J26" s="207">
        <f>IFERROR(VLOOKUP($C26,Food_Index!$B$4:$F$107,5,FALSE)*$E26,"-")</f>
        <v>0</v>
      </c>
    </row>
    <row r="27" spans="2:24" x14ac:dyDescent="0.25">
      <c r="B27" s="261"/>
      <c r="C27" s="73" t="s">
        <v>3</v>
      </c>
      <c r="D27" s="65"/>
      <c r="E27" s="10">
        <v>110</v>
      </c>
      <c r="F27" s="19">
        <f>IFERROR(VLOOKUP($C27,Food_Index!$B$4:$E$107,2,FALSE)*$E27,"-")</f>
        <v>13.2</v>
      </c>
      <c r="G27" s="16">
        <f>IFERROR(VLOOKUP($C27,Food_Index!$B$4:$E$107,3,FALSE)*$E27,"-")</f>
        <v>66</v>
      </c>
      <c r="H27" s="21">
        <f>IFERROR(VLOOKUP($C27,Food_Index!$B$4:$E$107,4,FALSE)*$E27,"-")</f>
        <v>7.81</v>
      </c>
      <c r="I27" s="61">
        <f t="shared" si="1"/>
        <v>387.09000000000003</v>
      </c>
      <c r="J27" s="207">
        <f>IFERROR(VLOOKUP($C27,Food_Index!$B$4:$F$107,5,FALSE)*$E27,"-")</f>
        <v>11</v>
      </c>
      <c r="X27" t="s">
        <v>9</v>
      </c>
    </row>
    <row r="28" spans="2:24" x14ac:dyDescent="0.25">
      <c r="B28" s="261"/>
      <c r="C28" s="73" t="s">
        <v>126</v>
      </c>
      <c r="D28" s="65"/>
      <c r="E28" s="10">
        <v>0</v>
      </c>
      <c r="F28" s="19">
        <f>IFERROR(VLOOKUP($C28,Food_Index!$B$4:$E$107,2,FALSE)*$E28,"-")</f>
        <v>0</v>
      </c>
      <c r="G28" s="16">
        <f>IFERROR(VLOOKUP($C28,Food_Index!$B$4:$E$107,3,FALSE)*$E28,"-")</f>
        <v>0</v>
      </c>
      <c r="H28" s="21">
        <f>IFERROR(VLOOKUP($C28,Food_Index!$B$4:$E$107,4,FALSE)*$E28,"-")</f>
        <v>0</v>
      </c>
      <c r="I28" s="61">
        <f t="shared" si="1"/>
        <v>0</v>
      </c>
    </row>
    <row r="29" spans="2:24" ht="15.75" thickBot="1" x14ac:dyDescent="0.3">
      <c r="B29" s="262"/>
      <c r="C29" s="62"/>
      <c r="D29" s="62"/>
      <c r="E29" s="63"/>
      <c r="F29" s="62">
        <f>SUM(F23:F28)</f>
        <v>38.879999999999995</v>
      </c>
      <c r="G29" s="62">
        <f>SUM(G23:G28)</f>
        <v>116.49000000000001</v>
      </c>
      <c r="H29" s="62">
        <f>SUM(H23:H28)</f>
        <v>9.8170000000000002</v>
      </c>
      <c r="I29" s="62">
        <f>SUM(I23:I28)</f>
        <v>709.83300000000008</v>
      </c>
      <c r="N29" s="259" t="s">
        <v>103</v>
      </c>
      <c r="O29" s="259"/>
      <c r="P29">
        <v>2.2046199999999998</v>
      </c>
      <c r="X29" t="s">
        <v>145</v>
      </c>
    </row>
    <row r="30" spans="2:24" ht="15.75" thickBot="1" x14ac:dyDescent="0.3">
      <c r="N30" s="258" t="s">
        <v>102</v>
      </c>
      <c r="O30" s="258"/>
      <c r="P30">
        <v>67</v>
      </c>
      <c r="X30" t="s">
        <v>150</v>
      </c>
    </row>
    <row r="31" spans="2:24" x14ac:dyDescent="0.25">
      <c r="B31" s="260" t="s">
        <v>99</v>
      </c>
      <c r="C31" s="64" t="s">
        <v>126</v>
      </c>
      <c r="D31" s="64"/>
      <c r="E31" s="56">
        <v>0</v>
      </c>
      <c r="F31" s="57">
        <f>IFERROR(VLOOKUP($C31,Food_Index!$B$4:$E$107,2,FALSE)*$E31,"-")</f>
        <v>0</v>
      </c>
      <c r="G31" s="58">
        <f>IFERROR(VLOOKUP($C31,Food_Index!$B$4:$E$107,3,FALSE)*$E31,"-")</f>
        <v>0</v>
      </c>
      <c r="H31" s="59">
        <f>IFERROR(VLOOKUP($C31,Food_Index!$B$4:$E$107,4,FALSE)*$E31,"-")</f>
        <v>0</v>
      </c>
      <c r="I31" s="60">
        <f t="shared" ref="I31:I37" si="2">IFERROR(F31*4+G31*4+H31*9,"-")</f>
        <v>0</v>
      </c>
      <c r="J31" s="207">
        <f>IFERROR(VLOOKUP($C31,Food_Index!$B$4:$F$107,5,FALSE)*$E31,"-")</f>
        <v>0</v>
      </c>
    </row>
    <row r="32" spans="2:24" x14ac:dyDescent="0.25">
      <c r="B32" s="261"/>
      <c r="C32" s="65" t="s">
        <v>272</v>
      </c>
      <c r="D32" s="65"/>
      <c r="E32" s="10">
        <v>100</v>
      </c>
      <c r="F32" s="19">
        <f>IFERROR(VLOOKUP($C32,Food_Index!$B$4:$E$107,2,FALSE)*$E32,"-")</f>
        <v>24</v>
      </c>
      <c r="G32" s="16">
        <f>IFERROR(VLOOKUP($C32,Food_Index!$B$4:$E$107,3,FALSE)*$E32,"-")</f>
        <v>0</v>
      </c>
      <c r="H32" s="21">
        <f>IFERROR(VLOOKUP($C32,Food_Index!$B$4:$E$107,4,FALSE)*$E32,"-")</f>
        <v>2</v>
      </c>
      <c r="I32" s="61">
        <f t="shared" si="2"/>
        <v>114</v>
      </c>
      <c r="J32" s="207">
        <f>IFERROR(VLOOKUP($C32,Food_Index!$B$4:$F$107,5,FALSE)*$E32,"-")</f>
        <v>0</v>
      </c>
      <c r="X32" t="s">
        <v>90</v>
      </c>
    </row>
    <row r="33" spans="2:24" x14ac:dyDescent="0.25">
      <c r="B33" s="261"/>
      <c r="C33" s="73" t="s">
        <v>32</v>
      </c>
      <c r="D33" s="65"/>
      <c r="E33" s="10">
        <v>0</v>
      </c>
      <c r="F33" s="19">
        <f>IFERROR(VLOOKUP($C33,Food_Index!$B$4:$E$107,2,FALSE)*$E33,"-")</f>
        <v>0</v>
      </c>
      <c r="G33" s="16">
        <f>IFERROR(VLOOKUP($C33,Food_Index!$B$4:$E$107,3,FALSE)*$E33,"-")</f>
        <v>0</v>
      </c>
      <c r="H33" s="21">
        <f>IFERROR(VLOOKUP($C33,Food_Index!$B$4:$E$107,4,FALSE)*$E33,"-")</f>
        <v>0</v>
      </c>
      <c r="I33" s="61">
        <f t="shared" si="2"/>
        <v>0</v>
      </c>
      <c r="J33" s="207">
        <f>IFERROR(VLOOKUP($C33,Food_Index!$B$4:$F$107,5,FALSE)*$E33,"-")</f>
        <v>0</v>
      </c>
      <c r="X33" t="s">
        <v>146</v>
      </c>
    </row>
    <row r="34" spans="2:24" x14ac:dyDescent="0.25">
      <c r="B34" s="261"/>
      <c r="C34" s="73" t="s">
        <v>18</v>
      </c>
      <c r="D34" s="65"/>
      <c r="E34" s="10">
        <v>0</v>
      </c>
      <c r="F34" s="19">
        <f>IFERROR(VLOOKUP($C34,Food_Index!$B$4:$E$107,2,FALSE)*$E34,"-")</f>
        <v>0</v>
      </c>
      <c r="G34" s="16">
        <f>IFERROR(VLOOKUP($C34,Food_Index!$B$4:$E$107,3,FALSE)*$E34,"-")</f>
        <v>0</v>
      </c>
      <c r="H34" s="21">
        <f>IFERROR(VLOOKUP($C34,Food_Index!$B$4:$E$107,4,FALSE)*$E34,"-")</f>
        <v>0</v>
      </c>
      <c r="I34" s="61">
        <f t="shared" si="2"/>
        <v>0</v>
      </c>
      <c r="J34" s="207">
        <f>IFERROR(VLOOKUP($C34,Food_Index!$B$4:$F$107,5,FALSE)*$E34,"-")</f>
        <v>0</v>
      </c>
      <c r="X34" t="s">
        <v>147</v>
      </c>
    </row>
    <row r="35" spans="2:24" x14ac:dyDescent="0.25">
      <c r="B35" s="261"/>
      <c r="C35" s="73" t="s">
        <v>9</v>
      </c>
      <c r="D35" s="65"/>
      <c r="E35" s="10">
        <v>110</v>
      </c>
      <c r="F35" s="19">
        <f>IFERROR(VLOOKUP($C35,Food_Index!$B$4:$E$107,2,FALSE)*$E35,"-")</f>
        <v>1.65</v>
      </c>
      <c r="G35" s="16">
        <f>IFERROR(VLOOKUP($C35,Food_Index!$B$4:$E$107,3,FALSE)*$E35,"-")</f>
        <v>22</v>
      </c>
      <c r="H35" s="21">
        <f>IFERROR(VLOOKUP($C35,Food_Index!$B$4:$E$107,4,FALSE)*$E35,"-")</f>
        <v>0</v>
      </c>
      <c r="I35" s="61">
        <f t="shared" si="2"/>
        <v>94.6</v>
      </c>
      <c r="J35" s="207">
        <f>IFERROR(VLOOKUP($C35,Food_Index!$B$4:$F$107,5,FALSE)*$E35,"-")</f>
        <v>0.22</v>
      </c>
    </row>
    <row r="36" spans="2:24" x14ac:dyDescent="0.25">
      <c r="B36" s="261"/>
      <c r="C36" s="73" t="s">
        <v>20</v>
      </c>
      <c r="D36" s="65"/>
      <c r="E36" s="10">
        <v>0</v>
      </c>
      <c r="F36" s="19">
        <f>IFERROR(VLOOKUP($C36,Food_Index!$B$4:$E$107,2,FALSE)*$E36,"-")</f>
        <v>0</v>
      </c>
      <c r="G36" s="16">
        <f>IFERROR(VLOOKUP($C36,Food_Index!$B$4:$E$107,3,FALSE)*$E36,"-")</f>
        <v>0</v>
      </c>
      <c r="H36" s="21">
        <f>IFERROR(VLOOKUP($C36,Food_Index!$B$4:$E$107,4,FALSE)*$E36,"-")</f>
        <v>0</v>
      </c>
      <c r="I36" s="61">
        <f t="shared" si="2"/>
        <v>0</v>
      </c>
      <c r="J36" s="207">
        <f>IFERROR(VLOOKUP($C36,Food_Index!$B$4:$F$107,5,FALSE)*$E36,"-")</f>
        <v>0</v>
      </c>
      <c r="O36" s="210"/>
      <c r="X36" t="s">
        <v>9</v>
      </c>
    </row>
    <row r="37" spans="2:24" x14ac:dyDescent="0.25">
      <c r="B37" s="261"/>
      <c r="C37" s="73" t="s">
        <v>200</v>
      </c>
      <c r="D37" s="65"/>
      <c r="E37" s="124">
        <v>14</v>
      </c>
      <c r="F37" s="19">
        <f>IFERROR(VLOOKUP($C37,Food_Index!$B$4:$E$107,2,FALSE)*$E37,"-")</f>
        <v>0</v>
      </c>
      <c r="G37" s="16">
        <f>IFERROR(VLOOKUP($C37,Food_Index!$B$4:$E$107,3,FALSE)*$E37,"-")</f>
        <v>0</v>
      </c>
      <c r="H37" s="21">
        <f>IFERROR(VLOOKUP($C37,Food_Index!$B$4:$E$107,4,FALSE)*$E37,"-")</f>
        <v>12.74</v>
      </c>
      <c r="I37" s="61">
        <f t="shared" si="2"/>
        <v>114.66</v>
      </c>
      <c r="J37" s="207">
        <f>IFERROR(VLOOKUP($C37,Food_Index!$B$4:$F$107,5,FALSE)*$E37,"-")</f>
        <v>0</v>
      </c>
      <c r="O37" s="210"/>
    </row>
    <row r="38" spans="2:24" x14ac:dyDescent="0.25">
      <c r="B38" s="261"/>
      <c r="C38" s="73" t="s">
        <v>246</v>
      </c>
      <c r="D38" s="65"/>
      <c r="E38" s="10">
        <v>130</v>
      </c>
      <c r="F38" s="19">
        <f>IFERROR(VLOOKUP($C38,Food_Index!$B$4:$E$107,2,FALSE)*$E38,"-")</f>
        <v>9.75</v>
      </c>
      <c r="G38" s="16">
        <f>IFERROR(VLOOKUP($C38,Food_Index!$B$4:$E$107,3,FALSE)*$E38,"-")</f>
        <v>101.4</v>
      </c>
      <c r="H38" s="21">
        <f>IFERROR(VLOOKUP($C38,Food_Index!$B$4:$E$107,4,FALSE)*$E38,"-")</f>
        <v>0.78</v>
      </c>
      <c r="I38" s="61">
        <f>IFERROR(F38*4+G38*4+H38*9,"-")</f>
        <v>451.62</v>
      </c>
      <c r="L38">
        <f>L40/64</f>
        <v>2.4907812499999999</v>
      </c>
      <c r="M38">
        <f>M40/64</f>
        <v>6.4246718749999996</v>
      </c>
      <c r="N38">
        <f>N40/64</f>
        <v>1.6893281250000001</v>
      </c>
      <c r="O38" s="210"/>
    </row>
    <row r="39" spans="2:24" x14ac:dyDescent="0.25">
      <c r="B39" s="261"/>
      <c r="C39" s="65" t="s">
        <v>153</v>
      </c>
      <c r="D39" s="65"/>
      <c r="E39" s="10">
        <v>0</v>
      </c>
      <c r="F39" s="19">
        <f>IFERROR(VLOOKUP($C39,Food_Index!$B$4:$E$107,2,FALSE)*$E39,"-")</f>
        <v>0</v>
      </c>
      <c r="G39" s="16">
        <f>IFERROR(VLOOKUP($C39,Food_Index!$B$4:$E$107,3,FALSE)*$E39,"-")</f>
        <v>0</v>
      </c>
      <c r="H39" s="21">
        <f>IFERROR(VLOOKUP($C39,Food_Index!$B$4:$E$107,4,FALSE)*$E39,"-")</f>
        <v>0</v>
      </c>
      <c r="I39" s="61">
        <f>IFERROR(F39*4+G39*4+H39*9,"-")</f>
        <v>0</v>
      </c>
      <c r="L39" s="211" t="s">
        <v>29</v>
      </c>
      <c r="M39" s="215" t="s">
        <v>30</v>
      </c>
      <c r="N39" s="213" t="s">
        <v>14</v>
      </c>
      <c r="O39" s="210" t="s">
        <v>97</v>
      </c>
    </row>
    <row r="40" spans="2:24" ht="15.75" thickBot="1" x14ac:dyDescent="0.3">
      <c r="B40" s="262"/>
      <c r="C40" s="62"/>
      <c r="D40" s="62"/>
      <c r="E40" s="63"/>
      <c r="F40" s="62">
        <f>SUM(F31:F39)</f>
        <v>35.4</v>
      </c>
      <c r="G40" s="62">
        <f>SUM(G31:G39)</f>
        <v>123.4</v>
      </c>
      <c r="H40" s="62">
        <f>SUM(H31:H39)</f>
        <v>15.52</v>
      </c>
      <c r="I40" s="62">
        <f>SUM(I31:I39)</f>
        <v>774.88</v>
      </c>
      <c r="K40" t="s">
        <v>100</v>
      </c>
      <c r="L40" s="212">
        <f>F10+F21+F29+F40</f>
        <v>159.41</v>
      </c>
      <c r="M40" s="216">
        <f>G10+G21+G29+G40</f>
        <v>411.17899999999997</v>
      </c>
      <c r="N40" s="214">
        <f>H10+H21+H29+H40</f>
        <v>108.117</v>
      </c>
      <c r="O40" s="66">
        <f>L40*4+M40*4+N40*9</f>
        <v>3255.4089999999997</v>
      </c>
      <c r="X40" t="s">
        <v>148</v>
      </c>
    </row>
    <row r="41" spans="2:24" x14ac:dyDescent="0.25">
      <c r="J41" s="207">
        <f>SUM(J5:J40)</f>
        <v>31.324999999999999</v>
      </c>
      <c r="K41" t="s">
        <v>101</v>
      </c>
      <c r="L41" s="206">
        <f>2.2  * $P$30+10</f>
        <v>157.4</v>
      </c>
      <c r="M41" s="206">
        <f>1.25  * $P$29 * $P$30+15+15+15+15+15+15+15+15+15+15+15+15+15+15+15</f>
        <v>409.63692500000002</v>
      </c>
      <c r="N41" s="206">
        <f>0.35 * $P$29 * $P$30+4+4+4+4+4+4+4+4+4+4+4+4+4+4</f>
        <v>107.69833899999999</v>
      </c>
      <c r="O41" s="66">
        <f>L41*4+M41*4+N41*9</f>
        <v>3237.4327509999998</v>
      </c>
      <c r="X41" t="s">
        <v>149</v>
      </c>
    </row>
    <row r="42" spans="2:24" x14ac:dyDescent="0.25">
      <c r="L42" s="49">
        <f>L40-L41</f>
        <v>2.0099999999999909</v>
      </c>
      <c r="M42" s="49">
        <f>M40-M41</f>
        <v>1.5420749999999543</v>
      </c>
      <c r="N42" s="49">
        <f>N40-N41</f>
        <v>0.41866100000001438</v>
      </c>
    </row>
    <row r="43" spans="2:24" x14ac:dyDescent="0.25">
      <c r="F43" s="229" t="s">
        <v>104</v>
      </c>
      <c r="G43" s="229"/>
      <c r="H43" s="229"/>
      <c r="I43" s="229"/>
      <c r="J43" s="229"/>
      <c r="L43" s="43">
        <f>1.25 * $P$29 * $P$30</f>
        <v>184.63692499999999</v>
      </c>
      <c r="M43" s="44">
        <f>1  * $P$29 * $P$30</f>
        <v>147.70953999999998</v>
      </c>
      <c r="N43" s="45">
        <f>0.27 * $P$29 * $P$30</f>
        <v>39.8815758</v>
      </c>
      <c r="O43" s="66">
        <f>L43*4+M43*4+N43*9</f>
        <v>1688.3200422</v>
      </c>
      <c r="X43" t="s">
        <v>180</v>
      </c>
    </row>
    <row r="44" spans="2:24" x14ac:dyDescent="0.25">
      <c r="F44" t="s">
        <v>70</v>
      </c>
      <c r="G44" s="43">
        <f>1.25 * $P$29 * $P$30</f>
        <v>184.63692499999999</v>
      </c>
      <c r="H44" s="44">
        <f>1  * $P$29 * $P$30</f>
        <v>147.70953999999998</v>
      </c>
      <c r="I44" s="45">
        <f>0.27 * $P$29 * $P$30</f>
        <v>39.8815758</v>
      </c>
      <c r="J44">
        <f>G44*4+H44*4+I44*9</f>
        <v>1688.3200422</v>
      </c>
      <c r="L44" s="49">
        <f>L40-L43</f>
        <v>-25.226924999999994</v>
      </c>
      <c r="M44" s="49">
        <f>M40-M43</f>
        <v>263.46946000000003</v>
      </c>
      <c r="N44" s="49">
        <f>N40-N43</f>
        <v>68.235424200000011</v>
      </c>
      <c r="X44" t="s">
        <v>181</v>
      </c>
    </row>
    <row r="45" spans="2:24" x14ac:dyDescent="0.25">
      <c r="F45" t="s">
        <v>71</v>
      </c>
      <c r="G45" s="43">
        <f>1.15 * $P$29 * $P$30</f>
        <v>169.86597099999997</v>
      </c>
      <c r="H45" s="44">
        <f>1.25  * $P$29 * $P$30</f>
        <v>184.63692499999999</v>
      </c>
      <c r="I45" s="45">
        <f>0.35 * $P$29 * $P$30</f>
        <v>51.69833899999999</v>
      </c>
      <c r="J45">
        <f>G45*4+H45*4+I45*9</f>
        <v>1883.2966349999997</v>
      </c>
      <c r="L45">
        <f>L43/64</f>
        <v>2.8849519531249999</v>
      </c>
      <c r="M45">
        <f>M43/64</f>
        <v>2.3079615624999996</v>
      </c>
      <c r="N45">
        <f>N43/64</f>
        <v>0.623149621875</v>
      </c>
      <c r="X45" t="s">
        <v>141</v>
      </c>
    </row>
    <row r="46" spans="2:24" x14ac:dyDescent="0.25">
      <c r="F46" t="s">
        <v>72</v>
      </c>
      <c r="G46" s="43">
        <f>1.1  * $P$29 * $P$30</f>
        <v>162.48049400000002</v>
      </c>
      <c r="H46" s="44">
        <f>2 * $P$29 * $P$30</f>
        <v>295.41907999999995</v>
      </c>
      <c r="I46" s="45">
        <f>0.5 * $P$29 * $P$30</f>
        <v>73.854769999999988</v>
      </c>
      <c r="J46">
        <f>G46*4+H46*4+I46*9</f>
        <v>2496.2912259999998</v>
      </c>
      <c r="X46" t="s">
        <v>182</v>
      </c>
    </row>
    <row r="47" spans="2:24" x14ac:dyDescent="0.25">
      <c r="G47">
        <f>1.15*P29</f>
        <v>2.5353129999999995</v>
      </c>
      <c r="H47">
        <f>H46/P30</f>
        <v>4.4092399999999996</v>
      </c>
      <c r="I47">
        <f>I46/P30</f>
        <v>1.1023099999999999</v>
      </c>
      <c r="J47"/>
      <c r="X47" t="s">
        <v>183</v>
      </c>
    </row>
    <row r="49" spans="10:24" x14ac:dyDescent="0.25">
      <c r="X49" t="s">
        <v>184</v>
      </c>
    </row>
    <row r="50" spans="10:24" x14ac:dyDescent="0.25">
      <c r="J50" s="207" t="s">
        <v>226</v>
      </c>
      <c r="L50">
        <v>175.19499999999999</v>
      </c>
      <c r="M50">
        <v>318.76</v>
      </c>
      <c r="N50">
        <v>110.367</v>
      </c>
      <c r="O50">
        <v>2969.123</v>
      </c>
      <c r="X50" t="s">
        <v>13</v>
      </c>
    </row>
    <row r="51" spans="10:24" x14ac:dyDescent="0.25">
      <c r="X51" t="s">
        <v>185</v>
      </c>
    </row>
  </sheetData>
  <mergeCells count="12">
    <mergeCell ref="N29:O29"/>
    <mergeCell ref="N30:O30"/>
    <mergeCell ref="B31:B40"/>
    <mergeCell ref="B5:B10"/>
    <mergeCell ref="F43:J43"/>
    <mergeCell ref="B12:B21"/>
    <mergeCell ref="B23:B29"/>
    <mergeCell ref="F3:F4"/>
    <mergeCell ref="G3:G4"/>
    <mergeCell ref="H3:H4"/>
    <mergeCell ref="I3:I4"/>
    <mergeCell ref="J3:J4"/>
  </mergeCells>
  <conditionalFormatting sqref="L42">
    <cfRule type="colorScale" priority="6">
      <colorScale>
        <cfvo type="formula" val="-$L$41"/>
        <cfvo type="num" val="0"/>
        <cfvo type="num" val="20"/>
        <color rgb="FFFF8B8B"/>
        <color rgb="FF00B050"/>
        <color rgb="FFFF8B8B"/>
      </colorScale>
    </cfRule>
  </conditionalFormatting>
  <conditionalFormatting sqref="M42">
    <cfRule type="colorScale" priority="5">
      <colorScale>
        <cfvo type="formula" val="-$M$41"/>
        <cfvo type="num" val="0"/>
        <cfvo type="num" val="20"/>
        <color rgb="FFFF8B8B"/>
        <color rgb="FF00B050"/>
        <color rgb="FFFF8B8B"/>
      </colorScale>
    </cfRule>
  </conditionalFormatting>
  <conditionalFormatting sqref="N42">
    <cfRule type="colorScale" priority="4">
      <colorScale>
        <cfvo type="formula" val="-$N$41"/>
        <cfvo type="num" val="0"/>
        <cfvo type="num" val="20"/>
        <color rgb="FFFF8B8B"/>
        <color rgb="FF00B050"/>
        <color rgb="FFFF8B8B"/>
      </colorScale>
    </cfRule>
  </conditionalFormatting>
  <conditionalFormatting sqref="L44">
    <cfRule type="colorScale" priority="3">
      <colorScale>
        <cfvo type="formula" val="-$L$41"/>
        <cfvo type="num" val="0"/>
        <cfvo type="num" val="20"/>
        <color rgb="FFFF8B8B"/>
        <color rgb="FF00B050"/>
        <color rgb="FFFF8B8B"/>
      </colorScale>
    </cfRule>
  </conditionalFormatting>
  <conditionalFormatting sqref="M44">
    <cfRule type="colorScale" priority="2">
      <colorScale>
        <cfvo type="formula" val="-$M$41"/>
        <cfvo type="num" val="0"/>
        <cfvo type="num" val="20"/>
        <color rgb="FFFF8B8B"/>
        <color rgb="FF00B050"/>
        <color rgb="FFFF8B8B"/>
      </colorScale>
    </cfRule>
  </conditionalFormatting>
  <conditionalFormatting sqref="N44">
    <cfRule type="colorScale" priority="1">
      <colorScale>
        <cfvo type="formula" val="-$N$41"/>
        <cfvo type="num" val="0"/>
        <cfvo type="num" val="20"/>
        <color rgb="FFFF8B8B"/>
        <color rgb="FF00B050"/>
        <color rgb="FFFF8B8B"/>
      </colorScale>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Food_Index!$B:$B</xm:f>
          </x14:formula1>
          <xm:sqref>C5:C40</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X51"/>
  <sheetViews>
    <sheetView topLeftCell="A4" zoomScale="85" zoomScaleNormal="85" workbookViewId="0">
      <selection activeCell="K26" sqref="K26"/>
    </sheetView>
  </sheetViews>
  <sheetFormatPr defaultColWidth="8.85546875" defaultRowHeight="15" x14ac:dyDescent="0.25"/>
  <cols>
    <col min="1" max="1" width="1.85546875" customWidth="1"/>
    <col min="5" max="5" width="5.7109375" style="219" bestFit="1" customWidth="1"/>
    <col min="6" max="8" width="7.140625" bestFit="1" customWidth="1"/>
    <col min="9" max="10" width="8.85546875" style="219"/>
  </cols>
  <sheetData>
    <row r="3" spans="2:24" x14ac:dyDescent="0.25">
      <c r="F3" s="251" t="s">
        <v>29</v>
      </c>
      <c r="G3" s="253" t="s">
        <v>30</v>
      </c>
      <c r="H3" s="255" t="s">
        <v>14</v>
      </c>
      <c r="I3" s="257" t="s">
        <v>97</v>
      </c>
      <c r="J3" s="258" t="s">
        <v>187</v>
      </c>
    </row>
    <row r="4" spans="2:24" ht="15.75" thickBot="1" x14ac:dyDescent="0.3">
      <c r="E4" s="220" t="s">
        <v>96</v>
      </c>
      <c r="F4" s="252"/>
      <c r="G4" s="254"/>
      <c r="H4" s="256"/>
      <c r="I4" s="257"/>
      <c r="J4" s="258"/>
      <c r="X4" t="s">
        <v>128</v>
      </c>
    </row>
    <row r="5" spans="2:24" x14ac:dyDescent="0.25">
      <c r="B5" s="260" t="s">
        <v>94</v>
      </c>
      <c r="C5" s="64" t="s">
        <v>33</v>
      </c>
      <c r="D5" s="64"/>
      <c r="E5" s="56">
        <f>40*3</f>
        <v>120</v>
      </c>
      <c r="F5" s="57">
        <f>IFERROR(VLOOKUP($C5,Food_Index!$B$4:$E$107,2,FALSE)*$E5,"-")</f>
        <v>13.2</v>
      </c>
      <c r="G5" s="58">
        <f>IFERROR(VLOOKUP($C5,Food_Index!$B$4:$E$107,3,FALSE)*$E5,"-")</f>
        <v>0.83999999999999986</v>
      </c>
      <c r="H5" s="59">
        <f>IFERROR(VLOOKUP($C5,Food_Index!$B$4:$E$107,4,FALSE)*$E5,"-")</f>
        <v>0.24</v>
      </c>
      <c r="I5" s="60">
        <f>IFERROR(F5*4+G5*4+H5*9,"-")</f>
        <v>58.319999999999993</v>
      </c>
      <c r="J5" s="219">
        <f>IFERROR(VLOOKUP($C5,Food_Index!$B$4:$F$107,5,FALSE)*$E5,"-")</f>
        <v>0</v>
      </c>
      <c r="X5" t="s">
        <v>129</v>
      </c>
    </row>
    <row r="6" spans="2:24" x14ac:dyDescent="0.25">
      <c r="B6" s="261"/>
      <c r="C6" s="67" t="s">
        <v>18</v>
      </c>
      <c r="D6" s="67"/>
      <c r="E6" s="10">
        <f>206</f>
        <v>206</v>
      </c>
      <c r="F6" s="19">
        <f>IFERROR(VLOOKUP($C6,Food_Index!$B$4:$E$107,2,FALSE)*$E6,"-")</f>
        <v>6.5920000000000005</v>
      </c>
      <c r="G6" s="16">
        <f>IFERROR(VLOOKUP($C6,Food_Index!$B$4:$E$107,3,FALSE)*$E6,"-")</f>
        <v>9.8879999999999999</v>
      </c>
      <c r="H6" s="21">
        <f>IFERROR(VLOOKUP($C6,Food_Index!$B$4:$E$107,4,FALSE)*$E6,"-")</f>
        <v>3.2960000000000003</v>
      </c>
      <c r="I6" s="61">
        <f>IFERROR(F6*4+G6*4+H6*9,"-")</f>
        <v>95.584000000000003</v>
      </c>
      <c r="J6" s="219">
        <f>IFERROR(VLOOKUP($C6,Food_Index!$B$4:$F$107,5,FALSE)*$E6,"-")</f>
        <v>0</v>
      </c>
      <c r="L6" t="s">
        <v>77</v>
      </c>
      <c r="N6" t="s">
        <v>78</v>
      </c>
      <c r="O6" s="219"/>
      <c r="P6" s="219"/>
      <c r="X6" t="s">
        <v>130</v>
      </c>
    </row>
    <row r="7" spans="2:24" x14ac:dyDescent="0.25">
      <c r="B7" s="261"/>
      <c r="C7" s="67" t="s">
        <v>3</v>
      </c>
      <c r="D7" s="67"/>
      <c r="E7" s="10">
        <v>140</v>
      </c>
      <c r="F7" s="19">
        <f>IFERROR(VLOOKUP($C7,Food_Index!$B$4:$E$107,2,FALSE)*$E7,"-")</f>
        <v>16.8</v>
      </c>
      <c r="G7" s="16">
        <f>IFERROR(VLOOKUP($C7,Food_Index!$B$4:$E$107,3,FALSE)*$E7,"-")</f>
        <v>84</v>
      </c>
      <c r="H7" s="21">
        <f>IFERROR(VLOOKUP($C7,Food_Index!$B$4:$E$107,4,FALSE)*$E7,"-")</f>
        <v>9.94</v>
      </c>
      <c r="I7" s="61">
        <f>IFERROR(F7*4+G7*4+H7*9,"-")</f>
        <v>492.65999999999997</v>
      </c>
      <c r="J7" s="219">
        <f>IFERROR(VLOOKUP($C7,Food_Index!$B$4:$F$107,5,FALSE)*$E7,"-")</f>
        <v>14</v>
      </c>
      <c r="L7" t="s">
        <v>75</v>
      </c>
      <c r="X7" t="s">
        <v>131</v>
      </c>
    </row>
    <row r="8" spans="2:24" x14ac:dyDescent="0.25">
      <c r="B8" s="261"/>
      <c r="C8" s="65" t="s">
        <v>67</v>
      </c>
      <c r="D8" s="65"/>
      <c r="E8" s="10">
        <f>16*3</f>
        <v>48</v>
      </c>
      <c r="F8" s="19">
        <f>IFERROR(VLOOKUP($C8,Food_Index!$B$4:$E$107,2,FALSE)*$E8,"-")</f>
        <v>7.68</v>
      </c>
      <c r="G8" s="16">
        <f>IFERROR(VLOOKUP($C8,Food_Index!$B$4:$E$107,3,FALSE)*$E8,"-")</f>
        <v>1.7280000000000002</v>
      </c>
      <c r="H8" s="21">
        <f>IFERROR(VLOOKUP($C8,Food_Index!$B$4:$E$107,4,FALSE)*$E8,"-")</f>
        <v>12.96</v>
      </c>
      <c r="I8" s="61">
        <f>IFERROR(F8*4+G8*4+H8*9,"-")</f>
        <v>154.27200000000002</v>
      </c>
      <c r="J8" s="219">
        <f>IFERROR(VLOOKUP($C8,Food_Index!$B$4:$F$107,5,FALSE)*$E8,"-")</f>
        <v>0</v>
      </c>
      <c r="L8" t="s">
        <v>74</v>
      </c>
      <c r="X8" t="s">
        <v>132</v>
      </c>
    </row>
    <row r="9" spans="2:24" x14ac:dyDescent="0.25">
      <c r="B9" s="261"/>
      <c r="C9" s="67"/>
      <c r="D9" s="67"/>
      <c r="E9" s="10">
        <v>70</v>
      </c>
      <c r="F9" s="19" t="str">
        <f>IFERROR(VLOOKUP($C9,Food_Index!$B$4:$E$107,2,FALSE)*$E9,"-")</f>
        <v>-</v>
      </c>
      <c r="G9" s="16" t="str">
        <f>IFERROR(VLOOKUP($C9,Food_Index!$B$4:$E$107,3,FALSE)*$E9,"-")</f>
        <v>-</v>
      </c>
      <c r="H9" s="21" t="str">
        <f>IFERROR(VLOOKUP($C9,Food_Index!$B$4:$E$107,4,FALSE)*$E9,"-")</f>
        <v>-</v>
      </c>
      <c r="I9" s="61" t="str">
        <f>IFERROR(F9*4+G9*4+H9*9,"-")</f>
        <v>-</v>
      </c>
    </row>
    <row r="10" spans="2:24" ht="15.75" thickBot="1" x14ac:dyDescent="0.3">
      <c r="B10" s="262"/>
      <c r="C10" s="62"/>
      <c r="D10" s="62"/>
      <c r="E10" s="63"/>
      <c r="F10" s="63">
        <f>SUM(F5:F9)</f>
        <v>44.271999999999998</v>
      </c>
      <c r="G10" s="63">
        <f>SUM(G5:G9)</f>
        <v>96.455999999999989</v>
      </c>
      <c r="H10" s="63">
        <f>SUM(H5:H9)</f>
        <v>26.436</v>
      </c>
      <c r="I10" s="63">
        <f>SUM(I5:I9)</f>
        <v>800.83600000000001</v>
      </c>
      <c r="L10" s="68">
        <f>0.25*M41</f>
        <v>102.40923125</v>
      </c>
      <c r="X10" t="s">
        <v>133</v>
      </c>
    </row>
    <row r="11" spans="2:24" ht="15.75" thickBot="1" x14ac:dyDescent="0.3">
      <c r="L11" s="68">
        <f>0.35*M41</f>
        <v>143.37292374999998</v>
      </c>
    </row>
    <row r="12" spans="2:24" x14ac:dyDescent="0.25">
      <c r="B12" s="260" t="s">
        <v>95</v>
      </c>
      <c r="C12" s="64" t="s">
        <v>240</v>
      </c>
      <c r="D12" s="64"/>
      <c r="E12" s="56">
        <v>0</v>
      </c>
      <c r="F12" s="57">
        <f>IFERROR(VLOOKUP($C12,Food_Index!$B$4:$E$107,2,FALSE)*$E12,"-")</f>
        <v>0</v>
      </c>
      <c r="G12" s="58">
        <f>IFERROR(VLOOKUP($C12,Food_Index!$B$4:$E$107,3,FALSE)*$E12,"-")</f>
        <v>0</v>
      </c>
      <c r="H12" s="59">
        <f>IFERROR(VLOOKUP($C12,Food_Index!$B$4:$E$107,4,FALSE)*$E12,"-")</f>
        <v>0</v>
      </c>
      <c r="I12" s="60">
        <f t="shared" ref="I12:I20" si="0">IFERROR(F12*4+G12*4+H12*9,"-")</f>
        <v>0</v>
      </c>
      <c r="J12" s="219">
        <f>IFERROR(VLOOKUP($C12,Food_Index!$B$4:$F$107,5,FALSE)*$E12,"-")</f>
        <v>0</v>
      </c>
      <c r="K12">
        <v>135</v>
      </c>
      <c r="L12" t="s">
        <v>76</v>
      </c>
    </row>
    <row r="13" spans="2:24" x14ac:dyDescent="0.25">
      <c r="B13" s="261"/>
      <c r="C13" s="65" t="s">
        <v>272</v>
      </c>
      <c r="D13" s="65"/>
      <c r="E13" s="10">
        <v>70</v>
      </c>
      <c r="F13" s="19">
        <f>IFERROR(VLOOKUP($C13,Food_Index!$B$4:$E$107,2,FALSE)*$E13,"-")</f>
        <v>16.8</v>
      </c>
      <c r="G13" s="16">
        <f>IFERROR(VLOOKUP($C13,Food_Index!$B$4:$E$107,3,FALSE)*$E13,"-")</f>
        <v>0</v>
      </c>
      <c r="H13" s="21">
        <f>IFERROR(VLOOKUP($C13,Food_Index!$B$4:$E$107,4,FALSE)*$E13,"-")</f>
        <v>1.4000000000000001</v>
      </c>
      <c r="I13" s="61">
        <f t="shared" si="0"/>
        <v>79.800000000000011</v>
      </c>
      <c r="J13" s="219">
        <f>IFERROR(VLOOKUP($C13,Food_Index!$B$4:$F$107,5,FALSE)*$E13,"-")</f>
        <v>0</v>
      </c>
    </row>
    <row r="14" spans="2:24" x14ac:dyDescent="0.25">
      <c r="B14" s="261"/>
      <c r="C14" s="65" t="s">
        <v>9</v>
      </c>
      <c r="D14" s="65"/>
      <c r="E14" s="10">
        <v>0</v>
      </c>
      <c r="F14" s="19">
        <f>IFERROR(VLOOKUP($C14,Food_Index!$B$4:$E$107,2,FALSE)*$E14,"-")</f>
        <v>0</v>
      </c>
      <c r="G14" s="16">
        <f>IFERROR(VLOOKUP($C14,Food_Index!$B$4:$E$107,3,FALSE)*$E14,"-")</f>
        <v>0</v>
      </c>
      <c r="H14" s="21">
        <f>IFERROR(VLOOKUP($C14,Food_Index!$B$4:$E$107,4,FALSE)*$E14,"-")</f>
        <v>0</v>
      </c>
      <c r="I14" s="61">
        <f t="shared" si="0"/>
        <v>0</v>
      </c>
      <c r="J14" s="219">
        <f>IFERROR(VLOOKUP($C14,Food_Index!$B$4:$F$107,5,FALSE)*$E14,"-")</f>
        <v>0</v>
      </c>
      <c r="X14" t="s">
        <v>138</v>
      </c>
    </row>
    <row r="15" spans="2:24" x14ac:dyDescent="0.25">
      <c r="B15" s="261"/>
      <c r="C15" s="73" t="s">
        <v>33</v>
      </c>
      <c r="D15" s="65"/>
      <c r="E15" s="10">
        <v>40</v>
      </c>
      <c r="F15" s="19">
        <f>IFERROR(VLOOKUP($C15,Food_Index!$B$4:$E$107,2,FALSE)*$E15,"-")</f>
        <v>4.4000000000000004</v>
      </c>
      <c r="G15" s="16">
        <f>IFERROR(VLOOKUP($C15,Food_Index!$B$4:$E$107,3,FALSE)*$E15,"-")</f>
        <v>0.27999999999999997</v>
      </c>
      <c r="H15" s="21">
        <f>IFERROR(VLOOKUP($C15,Food_Index!$B$4:$E$107,4,FALSE)*$E15,"-")</f>
        <v>0.08</v>
      </c>
      <c r="I15" s="61">
        <f t="shared" si="0"/>
        <v>19.440000000000001</v>
      </c>
      <c r="J15" s="219">
        <f>IFERROR(VLOOKUP($C15,Food_Index!$B$4:$F$107,5,FALSE)*$E15,"-")</f>
        <v>0</v>
      </c>
      <c r="X15" t="s">
        <v>139</v>
      </c>
    </row>
    <row r="16" spans="2:24" x14ac:dyDescent="0.25">
      <c r="B16" s="261"/>
      <c r="C16" s="73" t="s">
        <v>67</v>
      </c>
      <c r="D16" s="65"/>
      <c r="E16" s="10">
        <v>16</v>
      </c>
      <c r="F16" s="19">
        <f>IFERROR(VLOOKUP($C16,Food_Index!$B$4:$E$107,2,FALSE)*$E16,"-")</f>
        <v>2.56</v>
      </c>
      <c r="G16" s="16">
        <f>IFERROR(VLOOKUP($C16,Food_Index!$B$4:$E$107,3,FALSE)*$E16,"-")</f>
        <v>0.57600000000000007</v>
      </c>
      <c r="H16" s="21">
        <f>IFERROR(VLOOKUP($C16,Food_Index!$B$4:$E$107,4,FALSE)*$E16,"-")</f>
        <v>4.32</v>
      </c>
      <c r="I16" s="61">
        <f t="shared" si="0"/>
        <v>51.424000000000007</v>
      </c>
      <c r="J16" s="219">
        <f>IFERROR(VLOOKUP($C16,Food_Index!$B$4:$F$107,5,FALSE)*$E16,"-")</f>
        <v>0</v>
      </c>
      <c r="X16" t="s">
        <v>140</v>
      </c>
    </row>
    <row r="17" spans="2:24" x14ac:dyDescent="0.25">
      <c r="B17" s="261"/>
      <c r="C17" s="73" t="s">
        <v>32</v>
      </c>
      <c r="D17" s="65"/>
      <c r="E17" s="10">
        <v>45</v>
      </c>
      <c r="F17" s="19">
        <f>IFERROR(VLOOKUP($C17,Food_Index!$B$4:$E$107,2,FALSE)*$E17,"-")</f>
        <v>9.9</v>
      </c>
      <c r="G17" s="16">
        <f>IFERROR(VLOOKUP($C17,Food_Index!$B$4:$E$107,3,FALSE)*$E17,"-")</f>
        <v>3.1050000000000004</v>
      </c>
      <c r="H17" s="21">
        <f>IFERROR(VLOOKUP($C17,Food_Index!$B$4:$E$107,4,FALSE)*$E17,"-")</f>
        <v>24.3</v>
      </c>
      <c r="I17" s="61">
        <f t="shared" si="0"/>
        <v>270.72000000000003</v>
      </c>
      <c r="J17" s="219">
        <f>IFERROR(VLOOKUP($C17,Food_Index!$B$4:$F$107,5,FALSE)*$E17,"-")</f>
        <v>5.625</v>
      </c>
      <c r="X17" t="s">
        <v>141</v>
      </c>
    </row>
    <row r="18" spans="2:24" x14ac:dyDescent="0.25">
      <c r="B18" s="261"/>
      <c r="C18" s="73" t="s">
        <v>200</v>
      </c>
      <c r="D18" s="65"/>
      <c r="E18" s="10">
        <v>28</v>
      </c>
      <c r="F18" s="19">
        <f>IFERROR(VLOOKUP($C18,Food_Index!$B$4:$E$107,2,FALSE)*$E18,"-")</f>
        <v>0</v>
      </c>
      <c r="G18" s="16">
        <f>IFERROR(VLOOKUP($C18,Food_Index!$B$4:$E$107,3,FALSE)*$E18,"-")</f>
        <v>0</v>
      </c>
      <c r="H18" s="21">
        <f>IFERROR(VLOOKUP($C18,Food_Index!$B$4:$E$107,4,FALSE)*$E18,"-")</f>
        <v>25.48</v>
      </c>
      <c r="I18" s="61">
        <f t="shared" si="0"/>
        <v>229.32</v>
      </c>
      <c r="J18" s="219">
        <f>IFERROR(VLOOKUP($C18,Food_Index!$B$4:$F$107,5,FALSE)*$E18,"-")</f>
        <v>0</v>
      </c>
      <c r="X18" t="s">
        <v>142</v>
      </c>
    </row>
    <row r="19" spans="2:24" x14ac:dyDescent="0.25">
      <c r="B19" s="261"/>
      <c r="C19" s="73" t="s">
        <v>246</v>
      </c>
      <c r="D19" s="65"/>
      <c r="E19" s="10">
        <v>90</v>
      </c>
      <c r="F19" s="19">
        <f>IFERROR(VLOOKUP($C19,Food_Index!$B$4:$E$107,2,FALSE)*$E19,"-")</f>
        <v>6.75</v>
      </c>
      <c r="G19" s="16">
        <f>IFERROR(VLOOKUP($C19,Food_Index!$B$4:$E$107,3,FALSE)*$E19,"-")</f>
        <v>70.2</v>
      </c>
      <c r="H19" s="21">
        <f>IFERROR(VLOOKUP($C19,Food_Index!$B$4:$E$107,4,FALSE)*$E19,"-")</f>
        <v>0.54</v>
      </c>
      <c r="I19" s="61">
        <f t="shared" si="0"/>
        <v>312.66000000000003</v>
      </c>
    </row>
    <row r="20" spans="2:24" x14ac:dyDescent="0.25">
      <c r="B20" s="261"/>
      <c r="C20" s="73" t="s">
        <v>57</v>
      </c>
      <c r="D20" s="65"/>
      <c r="E20" s="10">
        <v>0</v>
      </c>
      <c r="F20" s="125">
        <f>IFERROR(VLOOKUP($C20,Food_Index!$B$4:$E$107,2,FALSE)*$E20,"-")</f>
        <v>0</v>
      </c>
      <c r="G20" s="126">
        <f>IFERROR(VLOOKUP($C20,Food_Index!$B$4:$E$107,3,FALSE)*$E20,"-")</f>
        <v>0</v>
      </c>
      <c r="H20" s="127">
        <f>IFERROR(VLOOKUP($C20,Food_Index!$B$4:$E$107,4,FALSE)*$E20,"-")</f>
        <v>0</v>
      </c>
      <c r="I20" s="61">
        <f t="shared" si="0"/>
        <v>0</v>
      </c>
    </row>
    <row r="21" spans="2:24" ht="15.75" thickBot="1" x14ac:dyDescent="0.3">
      <c r="B21" s="262"/>
      <c r="C21" s="62"/>
      <c r="D21" s="62"/>
      <c r="E21" s="63"/>
      <c r="F21" s="62">
        <f>SUM(F12:F20)</f>
        <v>40.410000000000004</v>
      </c>
      <c r="G21" s="62">
        <f>SUM(G12:G20)</f>
        <v>74.161000000000001</v>
      </c>
      <c r="H21" s="62">
        <f>SUM(H12:H20)</f>
        <v>56.12</v>
      </c>
      <c r="I21" s="62">
        <f>SUM(I12:I20)</f>
        <v>963.36400000000003</v>
      </c>
      <c r="X21" t="s">
        <v>143</v>
      </c>
    </row>
    <row r="22" spans="2:24" ht="15.75" thickBot="1" x14ac:dyDescent="0.3"/>
    <row r="23" spans="2:24" x14ac:dyDescent="0.25">
      <c r="B23" s="260" t="s">
        <v>98</v>
      </c>
      <c r="C23" s="64" t="s">
        <v>179</v>
      </c>
      <c r="D23" s="64"/>
      <c r="E23" s="56">
        <v>1</v>
      </c>
      <c r="F23" s="57">
        <f>IFERROR(VLOOKUP($C23,Food_Index!$B$4:$E$107,2,FALSE)*$E23,"-")</f>
        <v>22.08</v>
      </c>
      <c r="G23" s="58">
        <f>IFERROR(VLOOKUP($C23,Food_Index!$B$4:$E$107,3,FALSE)*$E23,"-")</f>
        <v>2.4900000000000002</v>
      </c>
      <c r="H23" s="59">
        <f>IFERROR(VLOOKUP($C23,Food_Index!$B$4:$E$107,4,FALSE)*$E23,"-")</f>
        <v>2.0070000000000001</v>
      </c>
      <c r="I23" s="60">
        <f t="shared" ref="I23:I28" si="1">IFERROR(F23*4+G23*4+H23*9,"-")</f>
        <v>116.343</v>
      </c>
      <c r="J23" s="219">
        <f>IFERROR(VLOOKUP($C23,Food_Index!$B$4:$F$107,5,FALSE)*$E23,"-")</f>
        <v>0</v>
      </c>
      <c r="X23" t="s">
        <v>139</v>
      </c>
    </row>
    <row r="24" spans="2:24" x14ac:dyDescent="0.25">
      <c r="B24" s="261"/>
      <c r="C24" s="65" t="s">
        <v>9</v>
      </c>
      <c r="D24" s="65"/>
      <c r="E24" s="10">
        <v>240</v>
      </c>
      <c r="F24" s="19">
        <f>IFERROR(VLOOKUP($C24,Food_Index!$B$4:$E$107,2,FALSE)*$E24,"-")</f>
        <v>3.5999999999999996</v>
      </c>
      <c r="G24" s="16">
        <f>IFERROR(VLOOKUP($C24,Food_Index!$B$4:$E$107,3,FALSE)*$E24,"-")</f>
        <v>48</v>
      </c>
      <c r="H24" s="21">
        <f>IFERROR(VLOOKUP($C24,Food_Index!$B$4:$E$107,4,FALSE)*$E24,"-")</f>
        <v>0</v>
      </c>
      <c r="I24" s="61">
        <f t="shared" si="1"/>
        <v>206.4</v>
      </c>
      <c r="J24" s="219">
        <f>IFERROR(VLOOKUP($C24,Food_Index!$B$4:$F$107,5,FALSE)*$E24,"-")</f>
        <v>0.48</v>
      </c>
      <c r="X24" t="s">
        <v>140</v>
      </c>
    </row>
    <row r="25" spans="2:24" x14ac:dyDescent="0.25">
      <c r="B25" s="261"/>
      <c r="C25" s="65" t="s">
        <v>153</v>
      </c>
      <c r="D25" s="65"/>
      <c r="E25" s="10">
        <v>0</v>
      </c>
      <c r="F25" s="19">
        <f>IFERROR(VLOOKUP($C25,Food_Index!$B$4:$E$107,2,FALSE)*$E25,"-")</f>
        <v>0</v>
      </c>
      <c r="G25" s="16">
        <f>IFERROR(VLOOKUP($C25,Food_Index!$B$4:$E$107,3,FALSE)*$E25,"-")</f>
        <v>0</v>
      </c>
      <c r="H25" s="21">
        <f>IFERROR(VLOOKUP($C25,Food_Index!$B$4:$E$107,4,FALSE)*$E25,"-")</f>
        <v>0</v>
      </c>
      <c r="I25" s="61">
        <f t="shared" si="1"/>
        <v>0</v>
      </c>
      <c r="J25" s="219">
        <f>IFERROR(VLOOKUP($C25,Food_Index!$B$4:$F$107,5,FALSE)*$E25,"-")</f>
        <v>0</v>
      </c>
      <c r="X25" t="s">
        <v>144</v>
      </c>
    </row>
    <row r="26" spans="2:24" x14ac:dyDescent="0.25">
      <c r="B26" s="261"/>
      <c r="C26" s="65" t="s">
        <v>18</v>
      </c>
      <c r="D26" s="65"/>
      <c r="E26" s="10">
        <v>0</v>
      </c>
      <c r="F26" s="19">
        <f>IFERROR(VLOOKUP($C26,Food_Index!$B$4:$E$107,2,FALSE)*$E26,"-")</f>
        <v>0</v>
      </c>
      <c r="G26" s="16">
        <f>IFERROR(VLOOKUP($C26,Food_Index!$B$4:$E$107,3,FALSE)*$E26,"-")</f>
        <v>0</v>
      </c>
      <c r="H26" s="21">
        <f>IFERROR(VLOOKUP($C26,Food_Index!$B$4:$E$107,4,FALSE)*$E26,"-")</f>
        <v>0</v>
      </c>
      <c r="I26" s="61">
        <f t="shared" si="1"/>
        <v>0</v>
      </c>
      <c r="J26" s="219">
        <f>IFERROR(VLOOKUP($C26,Food_Index!$B$4:$F$107,5,FALSE)*$E26,"-")</f>
        <v>0</v>
      </c>
    </row>
    <row r="27" spans="2:24" x14ac:dyDescent="0.25">
      <c r="B27" s="261"/>
      <c r="C27" s="73" t="s">
        <v>3</v>
      </c>
      <c r="D27" s="65"/>
      <c r="E27" s="10">
        <v>110</v>
      </c>
      <c r="F27" s="19">
        <f>IFERROR(VLOOKUP($C27,Food_Index!$B$4:$E$107,2,FALSE)*$E27,"-")</f>
        <v>13.2</v>
      </c>
      <c r="G27" s="16">
        <f>IFERROR(VLOOKUP($C27,Food_Index!$B$4:$E$107,3,FALSE)*$E27,"-")</f>
        <v>66</v>
      </c>
      <c r="H27" s="21">
        <f>IFERROR(VLOOKUP($C27,Food_Index!$B$4:$E$107,4,FALSE)*$E27,"-")</f>
        <v>7.81</v>
      </c>
      <c r="I27" s="61">
        <f t="shared" si="1"/>
        <v>387.09000000000003</v>
      </c>
      <c r="J27" s="219">
        <f>IFERROR(VLOOKUP($C27,Food_Index!$B$4:$F$107,5,FALSE)*$E27,"-")</f>
        <v>11</v>
      </c>
      <c r="X27" t="s">
        <v>9</v>
      </c>
    </row>
    <row r="28" spans="2:24" x14ac:dyDescent="0.25">
      <c r="B28" s="261"/>
      <c r="C28" s="73" t="s">
        <v>126</v>
      </c>
      <c r="D28" s="65"/>
      <c r="E28" s="10">
        <v>0</v>
      </c>
      <c r="F28" s="19">
        <f>IFERROR(VLOOKUP($C28,Food_Index!$B$4:$E$107,2,FALSE)*$E28,"-")</f>
        <v>0</v>
      </c>
      <c r="G28" s="16">
        <f>IFERROR(VLOOKUP($C28,Food_Index!$B$4:$E$107,3,FALSE)*$E28,"-")</f>
        <v>0</v>
      </c>
      <c r="H28" s="21">
        <f>IFERROR(VLOOKUP($C28,Food_Index!$B$4:$E$107,4,FALSE)*$E28,"-")</f>
        <v>0</v>
      </c>
      <c r="I28" s="61">
        <f t="shared" si="1"/>
        <v>0</v>
      </c>
    </row>
    <row r="29" spans="2:24" ht="15.75" thickBot="1" x14ac:dyDescent="0.3">
      <c r="B29" s="262"/>
      <c r="C29" s="62"/>
      <c r="D29" s="62"/>
      <c r="E29" s="63"/>
      <c r="F29" s="62">
        <f>SUM(F23:F28)</f>
        <v>38.879999999999995</v>
      </c>
      <c r="G29" s="62">
        <f>SUM(G23:G28)</f>
        <v>116.49000000000001</v>
      </c>
      <c r="H29" s="62">
        <f>SUM(H23:H28)</f>
        <v>9.8170000000000002</v>
      </c>
      <c r="I29" s="62">
        <f>SUM(I23:I28)</f>
        <v>709.83300000000008</v>
      </c>
      <c r="N29" s="259" t="s">
        <v>103</v>
      </c>
      <c r="O29" s="259"/>
      <c r="P29">
        <v>2.2046199999999998</v>
      </c>
      <c r="X29" t="s">
        <v>145</v>
      </c>
    </row>
    <row r="30" spans="2:24" ht="15.75" thickBot="1" x14ac:dyDescent="0.3">
      <c r="N30" s="258" t="s">
        <v>102</v>
      </c>
      <c r="O30" s="258"/>
      <c r="P30">
        <v>67</v>
      </c>
      <c r="X30" t="s">
        <v>150</v>
      </c>
    </row>
    <row r="31" spans="2:24" x14ac:dyDescent="0.25">
      <c r="B31" s="260" t="s">
        <v>99</v>
      </c>
      <c r="C31" s="64" t="s">
        <v>126</v>
      </c>
      <c r="D31" s="64"/>
      <c r="E31" s="56">
        <v>0</v>
      </c>
      <c r="F31" s="57">
        <f>IFERROR(VLOOKUP($C31,Food_Index!$B$4:$E$107,2,FALSE)*$E31,"-")</f>
        <v>0</v>
      </c>
      <c r="G31" s="58">
        <f>IFERROR(VLOOKUP($C31,Food_Index!$B$4:$E$107,3,FALSE)*$E31,"-")</f>
        <v>0</v>
      </c>
      <c r="H31" s="59">
        <f>IFERROR(VLOOKUP($C31,Food_Index!$B$4:$E$107,4,FALSE)*$E31,"-")</f>
        <v>0</v>
      </c>
      <c r="I31" s="60">
        <f t="shared" ref="I31:I37" si="2">IFERROR(F31*4+G31*4+H31*9,"-")</f>
        <v>0</v>
      </c>
      <c r="J31" s="219">
        <f>IFERROR(VLOOKUP($C31,Food_Index!$B$4:$F$107,5,FALSE)*$E31,"-")</f>
        <v>0</v>
      </c>
    </row>
    <row r="32" spans="2:24" x14ac:dyDescent="0.25">
      <c r="B32" s="261"/>
      <c r="C32" s="65" t="s">
        <v>272</v>
      </c>
      <c r="D32" s="65"/>
      <c r="E32" s="10">
        <v>100</v>
      </c>
      <c r="F32" s="19">
        <f>IFERROR(VLOOKUP($C32,Food_Index!$B$4:$E$107,2,FALSE)*$E32,"-")</f>
        <v>24</v>
      </c>
      <c r="G32" s="16">
        <f>IFERROR(VLOOKUP($C32,Food_Index!$B$4:$E$107,3,FALSE)*$E32,"-")</f>
        <v>0</v>
      </c>
      <c r="H32" s="21">
        <f>IFERROR(VLOOKUP($C32,Food_Index!$B$4:$E$107,4,FALSE)*$E32,"-")</f>
        <v>2</v>
      </c>
      <c r="I32" s="61">
        <f t="shared" si="2"/>
        <v>114</v>
      </c>
      <c r="J32" s="219">
        <f>IFERROR(VLOOKUP($C32,Food_Index!$B$4:$F$107,5,FALSE)*$E32,"-")</f>
        <v>0</v>
      </c>
      <c r="X32" t="s">
        <v>90</v>
      </c>
    </row>
    <row r="33" spans="2:24" x14ac:dyDescent="0.25">
      <c r="B33" s="261"/>
      <c r="C33" s="73" t="s">
        <v>32</v>
      </c>
      <c r="D33" s="65"/>
      <c r="E33" s="10">
        <v>0</v>
      </c>
      <c r="F33" s="19">
        <f>IFERROR(VLOOKUP($C33,Food_Index!$B$4:$E$107,2,FALSE)*$E33,"-")</f>
        <v>0</v>
      </c>
      <c r="G33" s="16">
        <f>IFERROR(VLOOKUP($C33,Food_Index!$B$4:$E$107,3,FALSE)*$E33,"-")</f>
        <v>0</v>
      </c>
      <c r="H33" s="21">
        <f>IFERROR(VLOOKUP($C33,Food_Index!$B$4:$E$107,4,FALSE)*$E33,"-")</f>
        <v>0</v>
      </c>
      <c r="I33" s="61">
        <f t="shared" si="2"/>
        <v>0</v>
      </c>
      <c r="J33" s="219">
        <f>IFERROR(VLOOKUP($C33,Food_Index!$B$4:$F$107,5,FALSE)*$E33,"-")</f>
        <v>0</v>
      </c>
      <c r="X33" t="s">
        <v>146</v>
      </c>
    </row>
    <row r="34" spans="2:24" x14ac:dyDescent="0.25">
      <c r="B34" s="261"/>
      <c r="C34" s="73" t="s">
        <v>18</v>
      </c>
      <c r="D34" s="65"/>
      <c r="E34" s="10">
        <v>0</v>
      </c>
      <c r="F34" s="19">
        <f>IFERROR(VLOOKUP($C34,Food_Index!$B$4:$E$107,2,FALSE)*$E34,"-")</f>
        <v>0</v>
      </c>
      <c r="G34" s="16">
        <f>IFERROR(VLOOKUP($C34,Food_Index!$B$4:$E$107,3,FALSE)*$E34,"-")</f>
        <v>0</v>
      </c>
      <c r="H34" s="21">
        <f>IFERROR(VLOOKUP($C34,Food_Index!$B$4:$E$107,4,FALSE)*$E34,"-")</f>
        <v>0</v>
      </c>
      <c r="I34" s="61">
        <f t="shared" si="2"/>
        <v>0</v>
      </c>
      <c r="J34" s="219">
        <f>IFERROR(VLOOKUP($C34,Food_Index!$B$4:$F$107,5,FALSE)*$E34,"-")</f>
        <v>0</v>
      </c>
      <c r="X34" t="s">
        <v>147</v>
      </c>
    </row>
    <row r="35" spans="2:24" x14ac:dyDescent="0.25">
      <c r="B35" s="261"/>
      <c r="C35" s="73" t="s">
        <v>9</v>
      </c>
      <c r="D35" s="65"/>
      <c r="E35" s="10">
        <v>110</v>
      </c>
      <c r="F35" s="19">
        <f>IFERROR(VLOOKUP($C35,Food_Index!$B$4:$E$107,2,FALSE)*$E35,"-")</f>
        <v>1.65</v>
      </c>
      <c r="G35" s="16">
        <f>IFERROR(VLOOKUP($C35,Food_Index!$B$4:$E$107,3,FALSE)*$E35,"-")</f>
        <v>22</v>
      </c>
      <c r="H35" s="21">
        <f>IFERROR(VLOOKUP($C35,Food_Index!$B$4:$E$107,4,FALSE)*$E35,"-")</f>
        <v>0</v>
      </c>
      <c r="I35" s="61">
        <f t="shared" si="2"/>
        <v>94.6</v>
      </c>
      <c r="J35" s="219">
        <f>IFERROR(VLOOKUP($C35,Food_Index!$B$4:$F$107,5,FALSE)*$E35,"-")</f>
        <v>0.22</v>
      </c>
    </row>
    <row r="36" spans="2:24" x14ac:dyDescent="0.25">
      <c r="B36" s="261"/>
      <c r="C36" s="73" t="s">
        <v>20</v>
      </c>
      <c r="D36" s="65"/>
      <c r="E36" s="10">
        <v>0</v>
      </c>
      <c r="F36" s="19">
        <f>IFERROR(VLOOKUP($C36,Food_Index!$B$4:$E$107,2,FALSE)*$E36,"-")</f>
        <v>0</v>
      </c>
      <c r="G36" s="16">
        <f>IFERROR(VLOOKUP($C36,Food_Index!$B$4:$E$107,3,FALSE)*$E36,"-")</f>
        <v>0</v>
      </c>
      <c r="H36" s="21">
        <f>IFERROR(VLOOKUP($C36,Food_Index!$B$4:$E$107,4,FALSE)*$E36,"-")</f>
        <v>0</v>
      </c>
      <c r="I36" s="61">
        <f t="shared" si="2"/>
        <v>0</v>
      </c>
      <c r="J36" s="219">
        <f>IFERROR(VLOOKUP($C36,Food_Index!$B$4:$F$107,5,FALSE)*$E36,"-")</f>
        <v>0</v>
      </c>
      <c r="O36" s="221"/>
      <c r="X36" t="s">
        <v>9</v>
      </c>
    </row>
    <row r="37" spans="2:24" x14ac:dyDescent="0.25">
      <c r="B37" s="261"/>
      <c r="C37" s="73" t="s">
        <v>200</v>
      </c>
      <c r="D37" s="65"/>
      <c r="E37" s="124">
        <v>14</v>
      </c>
      <c r="F37" s="19">
        <f>IFERROR(VLOOKUP($C37,Food_Index!$B$4:$E$107,2,FALSE)*$E37,"-")</f>
        <v>0</v>
      </c>
      <c r="G37" s="16">
        <f>IFERROR(VLOOKUP($C37,Food_Index!$B$4:$E$107,3,FALSE)*$E37,"-")</f>
        <v>0</v>
      </c>
      <c r="H37" s="21">
        <f>IFERROR(VLOOKUP($C37,Food_Index!$B$4:$E$107,4,FALSE)*$E37,"-")</f>
        <v>12.74</v>
      </c>
      <c r="I37" s="61">
        <f t="shared" si="2"/>
        <v>114.66</v>
      </c>
      <c r="J37" s="219">
        <f>IFERROR(VLOOKUP($C37,Food_Index!$B$4:$F$107,5,FALSE)*$E37,"-")</f>
        <v>0</v>
      </c>
      <c r="O37" s="221"/>
    </row>
    <row r="38" spans="2:24" x14ac:dyDescent="0.25">
      <c r="B38" s="261"/>
      <c r="C38" s="73" t="s">
        <v>246</v>
      </c>
      <c r="D38" s="65"/>
      <c r="E38" s="10">
        <v>130</v>
      </c>
      <c r="F38" s="19">
        <f>IFERROR(VLOOKUP($C38,Food_Index!$B$4:$E$107,2,FALSE)*$E38,"-")</f>
        <v>9.75</v>
      </c>
      <c r="G38" s="16">
        <f>IFERROR(VLOOKUP($C38,Food_Index!$B$4:$E$107,3,FALSE)*$E38,"-")</f>
        <v>101.4</v>
      </c>
      <c r="H38" s="21">
        <f>IFERROR(VLOOKUP($C38,Food_Index!$B$4:$E$107,4,FALSE)*$E38,"-")</f>
        <v>0.78</v>
      </c>
      <c r="I38" s="61">
        <f>IFERROR(F38*4+G38*4+H38*9,"-")</f>
        <v>451.62</v>
      </c>
      <c r="L38">
        <f>L40/64</f>
        <v>2.4837812499999998</v>
      </c>
      <c r="M38">
        <f>M40/64</f>
        <v>6.4141718749999992</v>
      </c>
      <c r="N38">
        <f>N40/64</f>
        <v>1.6858281249999998</v>
      </c>
      <c r="O38" s="221"/>
    </row>
    <row r="39" spans="2:24" x14ac:dyDescent="0.25">
      <c r="B39" s="261"/>
      <c r="C39" s="65" t="s">
        <v>153</v>
      </c>
      <c r="D39" s="65"/>
      <c r="E39" s="10">
        <v>0</v>
      </c>
      <c r="F39" s="19">
        <f>IFERROR(VLOOKUP($C39,Food_Index!$B$4:$E$107,2,FALSE)*$E39,"-")</f>
        <v>0</v>
      </c>
      <c r="G39" s="16">
        <f>IFERROR(VLOOKUP($C39,Food_Index!$B$4:$E$107,3,FALSE)*$E39,"-")</f>
        <v>0</v>
      </c>
      <c r="H39" s="21">
        <f>IFERROR(VLOOKUP($C39,Food_Index!$B$4:$E$107,4,FALSE)*$E39,"-")</f>
        <v>0</v>
      </c>
      <c r="I39" s="61">
        <f>IFERROR(F39*4+G39*4+H39*9,"-")</f>
        <v>0</v>
      </c>
      <c r="L39" s="222" t="s">
        <v>29</v>
      </c>
      <c r="M39" s="226" t="s">
        <v>30</v>
      </c>
      <c r="N39" s="224" t="s">
        <v>14</v>
      </c>
      <c r="O39" s="221" t="s">
        <v>97</v>
      </c>
    </row>
    <row r="40" spans="2:24" ht="15.75" thickBot="1" x14ac:dyDescent="0.3">
      <c r="B40" s="262"/>
      <c r="C40" s="62"/>
      <c r="D40" s="62"/>
      <c r="E40" s="63"/>
      <c r="F40" s="62">
        <f>SUM(F31:F39)</f>
        <v>35.4</v>
      </c>
      <c r="G40" s="62">
        <f>SUM(G31:G39)</f>
        <v>123.4</v>
      </c>
      <c r="H40" s="62">
        <f>SUM(H31:H39)</f>
        <v>15.52</v>
      </c>
      <c r="I40" s="62">
        <f>SUM(I31:I39)</f>
        <v>774.88</v>
      </c>
      <c r="K40" t="s">
        <v>100</v>
      </c>
      <c r="L40" s="223">
        <f>F10+F21+F29+F40</f>
        <v>158.96199999999999</v>
      </c>
      <c r="M40" s="227">
        <f>G10+G21+G29+G40</f>
        <v>410.50699999999995</v>
      </c>
      <c r="N40" s="225">
        <f>H10+H21+H29+H40</f>
        <v>107.89299999999999</v>
      </c>
      <c r="O40" s="66">
        <f>L40*4+M40*4+N40*9</f>
        <v>3248.9129999999996</v>
      </c>
      <c r="X40" t="s">
        <v>148</v>
      </c>
    </row>
    <row r="41" spans="2:24" x14ac:dyDescent="0.25">
      <c r="J41" s="219">
        <f>SUM(J5:J40)</f>
        <v>31.324999999999999</v>
      </c>
      <c r="K41" t="s">
        <v>101</v>
      </c>
      <c r="L41" s="218">
        <f>2.2  * $P$30+10</f>
        <v>157.4</v>
      </c>
      <c r="M41" s="218">
        <f>1.25  * $P$29 * $P$30+15+15+15+15+15+15+15+15+15+15+15+15+15+15+15</f>
        <v>409.63692500000002</v>
      </c>
      <c r="N41" s="218">
        <f>0.35 * $P$29 * $P$30+4+4+4+4+4+4+4+4+4+4+4+4+4+4</f>
        <v>107.69833899999999</v>
      </c>
      <c r="O41" s="66">
        <f>L41*4+M41*4+N41*9</f>
        <v>3237.4327509999998</v>
      </c>
      <c r="X41" t="s">
        <v>149</v>
      </c>
    </row>
    <row r="42" spans="2:24" x14ac:dyDescent="0.25">
      <c r="L42" s="49">
        <f>L40-L41</f>
        <v>1.5619999999999834</v>
      </c>
      <c r="M42" s="49">
        <f>M40-M41</f>
        <v>0.87007499999992888</v>
      </c>
      <c r="N42" s="49">
        <f>N40-N41</f>
        <v>0.19466099999999642</v>
      </c>
    </row>
    <row r="43" spans="2:24" x14ac:dyDescent="0.25">
      <c r="F43" s="229" t="s">
        <v>104</v>
      </c>
      <c r="G43" s="229"/>
      <c r="H43" s="229"/>
      <c r="I43" s="229"/>
      <c r="J43" s="229"/>
      <c r="L43" s="43">
        <f>1.25 * $P$29 * $P$30</f>
        <v>184.63692499999999</v>
      </c>
      <c r="M43" s="44">
        <f>1  * $P$29 * $P$30</f>
        <v>147.70953999999998</v>
      </c>
      <c r="N43" s="45">
        <f>0.27 * $P$29 * $P$30</f>
        <v>39.8815758</v>
      </c>
      <c r="O43" s="66">
        <f>L43*4+M43*4+N43*9</f>
        <v>1688.3200422</v>
      </c>
      <c r="X43" t="s">
        <v>180</v>
      </c>
    </row>
    <row r="44" spans="2:24" x14ac:dyDescent="0.25">
      <c r="F44" t="s">
        <v>70</v>
      </c>
      <c r="G44" s="43">
        <f>1.25 * $P$29 * $P$30</f>
        <v>184.63692499999999</v>
      </c>
      <c r="H44" s="44">
        <f>1  * $P$29 * $P$30</f>
        <v>147.70953999999998</v>
      </c>
      <c r="I44" s="45">
        <f>0.27 * $P$29 * $P$30</f>
        <v>39.8815758</v>
      </c>
      <c r="J44">
        <f>G44*4+H44*4+I44*9</f>
        <v>1688.3200422</v>
      </c>
      <c r="L44" s="49">
        <f>L40-L43</f>
        <v>-25.674925000000002</v>
      </c>
      <c r="M44" s="49">
        <f>M40-M43</f>
        <v>262.79746</v>
      </c>
      <c r="N44" s="49">
        <f>N40-N43</f>
        <v>68.011424199999993</v>
      </c>
      <c r="X44" t="s">
        <v>181</v>
      </c>
    </row>
    <row r="45" spans="2:24" x14ac:dyDescent="0.25">
      <c r="F45" t="s">
        <v>71</v>
      </c>
      <c r="G45" s="43">
        <f>1.15 * $P$29 * $P$30</f>
        <v>169.86597099999997</v>
      </c>
      <c r="H45" s="44">
        <f>1.25  * $P$29 * $P$30</f>
        <v>184.63692499999999</v>
      </c>
      <c r="I45" s="45">
        <f>0.35 * $P$29 * $P$30</f>
        <v>51.69833899999999</v>
      </c>
      <c r="J45">
        <f>G45*4+H45*4+I45*9</f>
        <v>1883.2966349999997</v>
      </c>
      <c r="L45">
        <f>L43/64</f>
        <v>2.8849519531249999</v>
      </c>
      <c r="M45">
        <f>M43/64</f>
        <v>2.3079615624999996</v>
      </c>
      <c r="N45">
        <f>N43/64</f>
        <v>0.623149621875</v>
      </c>
      <c r="X45" t="s">
        <v>141</v>
      </c>
    </row>
    <row r="46" spans="2:24" x14ac:dyDescent="0.25">
      <c r="F46" t="s">
        <v>72</v>
      </c>
      <c r="G46" s="43">
        <f>1.1  * $P$29 * $P$30</f>
        <v>162.48049400000002</v>
      </c>
      <c r="H46" s="44">
        <f>2 * $P$29 * $P$30</f>
        <v>295.41907999999995</v>
      </c>
      <c r="I46" s="45">
        <f>0.5 * $P$29 * $P$30</f>
        <v>73.854769999999988</v>
      </c>
      <c r="J46">
        <f>G46*4+H46*4+I46*9</f>
        <v>2496.2912259999998</v>
      </c>
      <c r="X46" t="s">
        <v>182</v>
      </c>
    </row>
    <row r="47" spans="2:24" x14ac:dyDescent="0.25">
      <c r="G47">
        <f>1.15*P29</f>
        <v>2.5353129999999995</v>
      </c>
      <c r="H47">
        <f>H46/P30</f>
        <v>4.4092399999999996</v>
      </c>
      <c r="I47">
        <f>I46/P30</f>
        <v>1.1023099999999999</v>
      </c>
      <c r="J47"/>
      <c r="X47" t="s">
        <v>183</v>
      </c>
    </row>
    <row r="49" spans="10:24" x14ac:dyDescent="0.25">
      <c r="X49" t="s">
        <v>184</v>
      </c>
    </row>
    <row r="50" spans="10:24" x14ac:dyDescent="0.25">
      <c r="J50" s="219" t="s">
        <v>226</v>
      </c>
      <c r="L50">
        <v>175.19499999999999</v>
      </c>
      <c r="M50">
        <v>318.76</v>
      </c>
      <c r="N50">
        <v>110.367</v>
      </c>
      <c r="O50">
        <v>2969.123</v>
      </c>
      <c r="X50" t="s">
        <v>13</v>
      </c>
    </row>
    <row r="51" spans="10:24" x14ac:dyDescent="0.25">
      <c r="X51" t="s">
        <v>185</v>
      </c>
    </row>
  </sheetData>
  <mergeCells count="12">
    <mergeCell ref="N29:O29"/>
    <mergeCell ref="N30:O30"/>
    <mergeCell ref="B31:B40"/>
    <mergeCell ref="B5:B10"/>
    <mergeCell ref="F43:J43"/>
    <mergeCell ref="B12:B21"/>
    <mergeCell ref="B23:B29"/>
    <mergeCell ref="F3:F4"/>
    <mergeCell ref="G3:G4"/>
    <mergeCell ref="H3:H4"/>
    <mergeCell ref="I3:I4"/>
    <mergeCell ref="J3:J4"/>
  </mergeCells>
  <conditionalFormatting sqref="L42">
    <cfRule type="colorScale" priority="6">
      <colorScale>
        <cfvo type="formula" val="-$L$41"/>
        <cfvo type="num" val="0"/>
        <cfvo type="num" val="20"/>
        <color rgb="FFFF8B8B"/>
        <color rgb="FF00B050"/>
        <color rgb="FFFF8B8B"/>
      </colorScale>
    </cfRule>
  </conditionalFormatting>
  <conditionalFormatting sqref="M42">
    <cfRule type="colorScale" priority="5">
      <colorScale>
        <cfvo type="formula" val="-$M$41"/>
        <cfvo type="num" val="0"/>
        <cfvo type="num" val="20"/>
        <color rgb="FFFF8B8B"/>
        <color rgb="FF00B050"/>
        <color rgb="FFFF8B8B"/>
      </colorScale>
    </cfRule>
  </conditionalFormatting>
  <conditionalFormatting sqref="N42">
    <cfRule type="colorScale" priority="4">
      <colorScale>
        <cfvo type="formula" val="-$N$41"/>
        <cfvo type="num" val="0"/>
        <cfvo type="num" val="20"/>
        <color rgb="FFFF8B8B"/>
        <color rgb="FF00B050"/>
        <color rgb="FFFF8B8B"/>
      </colorScale>
    </cfRule>
  </conditionalFormatting>
  <conditionalFormatting sqref="L44">
    <cfRule type="colorScale" priority="3">
      <colorScale>
        <cfvo type="formula" val="-$L$41"/>
        <cfvo type="num" val="0"/>
        <cfvo type="num" val="20"/>
        <color rgb="FFFF8B8B"/>
        <color rgb="FF00B050"/>
        <color rgb="FFFF8B8B"/>
      </colorScale>
    </cfRule>
  </conditionalFormatting>
  <conditionalFormatting sqref="M44">
    <cfRule type="colorScale" priority="2">
      <colorScale>
        <cfvo type="formula" val="-$M$41"/>
        <cfvo type="num" val="0"/>
        <cfvo type="num" val="20"/>
        <color rgb="FFFF8B8B"/>
        <color rgb="FF00B050"/>
        <color rgb="FFFF8B8B"/>
      </colorScale>
    </cfRule>
  </conditionalFormatting>
  <conditionalFormatting sqref="N44">
    <cfRule type="colorScale" priority="1">
      <colorScale>
        <cfvo type="formula" val="-$N$41"/>
        <cfvo type="num" val="0"/>
        <cfvo type="num" val="20"/>
        <color rgb="FFFF8B8B"/>
        <color rgb="FF00B050"/>
        <color rgb="FFFF8B8B"/>
      </colorScale>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Food_Index!$B:$B</xm:f>
          </x14:formula1>
          <xm:sqref>C5:C40</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5"/>
  <sheetViews>
    <sheetView topLeftCell="S1" zoomScale="85" zoomScaleNormal="85" workbookViewId="0">
      <selection activeCell="AG3" sqref="AG3"/>
    </sheetView>
  </sheetViews>
  <sheetFormatPr defaultColWidth="9.140625" defaultRowHeight="15" x14ac:dyDescent="0.25"/>
  <cols>
    <col min="1" max="1" width="9.5703125" bestFit="1" customWidth="1"/>
    <col min="2" max="2" width="5" style="143" bestFit="1" customWidth="1"/>
    <col min="3" max="4" width="8.42578125" style="143" bestFit="1" customWidth="1"/>
    <col min="5" max="6" width="5" style="143" bestFit="1" customWidth="1"/>
    <col min="7" max="7" width="11" style="143" bestFit="1" customWidth="1"/>
    <col min="8" max="9" width="5" style="143" bestFit="1" customWidth="1"/>
    <col min="10" max="10" width="9" style="143" bestFit="1" customWidth="1"/>
    <col min="11" max="14" width="11" style="143" bestFit="1" customWidth="1"/>
    <col min="15" max="16" width="9" style="143" bestFit="1" customWidth="1"/>
    <col min="17" max="18" width="10.7109375" style="143" bestFit="1" customWidth="1"/>
    <col min="19" max="20" width="10.7109375" bestFit="1" customWidth="1"/>
    <col min="21" max="23" width="11" bestFit="1" customWidth="1"/>
    <col min="24" max="24" width="10.7109375" style="181" bestFit="1" customWidth="1"/>
    <col min="25" max="27" width="10.85546875" bestFit="1" customWidth="1"/>
  </cols>
  <sheetData>
    <row r="1" spans="1:34" x14ac:dyDescent="0.25">
      <c r="B1" s="158"/>
      <c r="C1" s="158"/>
      <c r="D1" s="158"/>
      <c r="E1" s="158"/>
      <c r="F1" s="158"/>
      <c r="G1" s="158"/>
      <c r="H1" s="158"/>
      <c r="I1" s="158"/>
      <c r="J1" s="158"/>
      <c r="K1" s="158"/>
      <c r="L1" s="158"/>
      <c r="M1" s="158"/>
      <c r="N1" s="158"/>
      <c r="O1" s="158"/>
      <c r="P1" s="158"/>
      <c r="Q1" s="174" t="s">
        <v>247</v>
      </c>
      <c r="R1" s="174" t="s">
        <v>248</v>
      </c>
      <c r="S1" s="174" t="s">
        <v>249</v>
      </c>
      <c r="T1" s="174" t="s">
        <v>250</v>
      </c>
      <c r="U1" s="174" t="s">
        <v>254</v>
      </c>
      <c r="V1" s="174" t="s">
        <v>255</v>
      </c>
      <c r="W1" s="174" t="s">
        <v>258</v>
      </c>
      <c r="X1" s="174" t="s">
        <v>259</v>
      </c>
      <c r="Y1" s="174" t="s">
        <v>265</v>
      </c>
      <c r="Z1" s="174" t="s">
        <v>266</v>
      </c>
      <c r="AA1" s="174" t="s">
        <v>268</v>
      </c>
      <c r="AB1" s="174" t="s">
        <v>269</v>
      </c>
      <c r="AC1" s="174" t="s">
        <v>271</v>
      </c>
      <c r="AD1" s="174" t="s">
        <v>276</v>
      </c>
      <c r="AE1" s="174" t="s">
        <v>277</v>
      </c>
      <c r="AF1" s="174" t="s">
        <v>275</v>
      </c>
      <c r="AG1" s="174" t="s">
        <v>278</v>
      </c>
      <c r="AH1" s="174" t="s">
        <v>279</v>
      </c>
    </row>
    <row r="2" spans="1:34" x14ac:dyDescent="0.25">
      <c r="A2" t="s">
        <v>97</v>
      </c>
      <c r="C2" s="143">
        <v>2167</v>
      </c>
      <c r="D2" s="143" t="s">
        <v>244</v>
      </c>
      <c r="E2" s="143">
        <v>2178</v>
      </c>
      <c r="F2" s="143">
        <v>2129</v>
      </c>
      <c r="G2" s="143">
        <v>2239.1877299999996</v>
      </c>
      <c r="H2" s="147">
        <v>2335</v>
      </c>
      <c r="I2" s="147">
        <v>2335</v>
      </c>
      <c r="J2" s="143">
        <v>2333.5129999999999</v>
      </c>
      <c r="K2" s="143">
        <v>2527.1877299999996</v>
      </c>
      <c r="L2" s="153">
        <v>2527.1877299999996</v>
      </c>
      <c r="M2" s="143">
        <v>2623.1877299999996</v>
      </c>
      <c r="N2" s="156">
        <v>2623.1877299999996</v>
      </c>
      <c r="O2" s="143">
        <v>2740.067</v>
      </c>
      <c r="P2" s="143">
        <v>2740.067</v>
      </c>
      <c r="Q2" s="158">
        <v>2740.067</v>
      </c>
      <c r="R2" s="143">
        <v>2704.6770000000001</v>
      </c>
      <c r="S2" s="172">
        <v>2704.6770000000001</v>
      </c>
      <c r="T2" s="175">
        <v>2704.6770000000001</v>
      </c>
      <c r="U2">
        <v>2815.1877299999996</v>
      </c>
      <c r="V2">
        <v>2815.1877299999996</v>
      </c>
      <c r="W2">
        <v>2815.1877299999996</v>
      </c>
      <c r="X2">
        <v>2815.1877299999996</v>
      </c>
      <c r="Y2">
        <v>2909.6089999999999</v>
      </c>
      <c r="Z2">
        <v>2955.4970000000003</v>
      </c>
      <c r="AA2">
        <v>3034.2939999999999</v>
      </c>
      <c r="AB2">
        <v>3043.9140000000002</v>
      </c>
      <c r="AC2">
        <v>3043.9140000000002</v>
      </c>
      <c r="AD2">
        <v>3157.9690000000001</v>
      </c>
      <c r="AE2">
        <v>3157.9690000000001</v>
      </c>
      <c r="AF2">
        <v>3157.9690000000001</v>
      </c>
      <c r="AG2">
        <v>3234.933</v>
      </c>
      <c r="AH2" s="66">
        <v>3248.9129999999996</v>
      </c>
    </row>
    <row r="3" spans="1:34" x14ac:dyDescent="0.25">
      <c r="A3" t="s">
        <v>237</v>
      </c>
      <c r="B3" s="143">
        <v>64.900000000000006</v>
      </c>
      <c r="C3" s="143">
        <v>66</v>
      </c>
      <c r="D3" s="143">
        <v>65.7</v>
      </c>
      <c r="E3" s="143">
        <v>65.5</v>
      </c>
      <c r="F3" s="143">
        <v>65.400000000000006</v>
      </c>
      <c r="G3" s="143">
        <v>64.900000000000006</v>
      </c>
      <c r="H3" s="143">
        <v>65.400000000000006</v>
      </c>
      <c r="I3" s="143">
        <v>65.400000000000006</v>
      </c>
      <c r="J3" s="143">
        <v>65.3</v>
      </c>
      <c r="K3" s="143">
        <v>64.3</v>
      </c>
      <c r="L3" s="143">
        <v>64.900000000000006</v>
      </c>
      <c r="M3" s="143">
        <v>65</v>
      </c>
      <c r="N3" s="143">
        <v>65.7</v>
      </c>
      <c r="O3" s="143">
        <v>65.5</v>
      </c>
      <c r="P3" s="143">
        <v>65.3</v>
      </c>
      <c r="Q3" s="143">
        <v>65.599999999999994</v>
      </c>
      <c r="R3" s="143">
        <v>66.2</v>
      </c>
      <c r="S3" s="173">
        <v>65.900000000000006</v>
      </c>
      <c r="T3" s="175">
        <v>65.599999999999994</v>
      </c>
      <c r="U3" s="177">
        <v>65.3</v>
      </c>
      <c r="V3" s="179">
        <v>65.5</v>
      </c>
      <c r="W3" s="181">
        <v>65.900000000000006</v>
      </c>
      <c r="X3" s="182">
        <v>65.900000000000006</v>
      </c>
      <c r="Y3" s="185">
        <v>65.2</v>
      </c>
      <c r="Z3" s="186">
        <v>65.5</v>
      </c>
      <c r="AA3" s="200">
        <v>66</v>
      </c>
      <c r="AB3" s="201">
        <v>66.099999999999994</v>
      </c>
      <c r="AC3" s="203">
        <v>65.900000000000006</v>
      </c>
      <c r="AD3" s="207">
        <v>65.7</v>
      </c>
      <c r="AE3" s="207">
        <v>65.7</v>
      </c>
      <c r="AF3" s="217">
        <v>62.1</v>
      </c>
    </row>
    <row r="4" spans="1:34" x14ac:dyDescent="0.25">
      <c r="A4" t="s">
        <v>238</v>
      </c>
      <c r="C4" s="143">
        <v>67</v>
      </c>
      <c r="D4" s="143">
        <v>67.2</v>
      </c>
      <c r="E4" s="143">
        <v>67.2</v>
      </c>
      <c r="F4" s="143">
        <v>67.5</v>
      </c>
    </row>
    <row r="5" spans="1:34" x14ac:dyDescent="0.25">
      <c r="A5" t="s">
        <v>242</v>
      </c>
      <c r="C5" s="143" t="s">
        <v>243</v>
      </c>
      <c r="D5" s="143" t="s">
        <v>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Food_Index</vt:lpstr>
      <vt:lpstr>RPE_1RM</vt:lpstr>
      <vt:lpstr>Training</vt:lpstr>
      <vt:lpstr>Eaten Day1</vt:lpstr>
      <vt:lpstr>Eaten D2</vt:lpstr>
      <vt:lpstr>Eaten D3</vt:lpstr>
      <vt:lpstr>Eaten D4</vt:lpstr>
      <vt:lpstr>Eaten D5</vt:lpstr>
      <vt:lpstr>Eaten D6</vt:lpstr>
      <vt:lpstr>Eaten D7</vt:lpstr>
      <vt:lpstr>Eaten D8</vt:lpstr>
      <vt:lpstr>Eaten D9</vt:lpstr>
      <vt:lpstr>Eaten D10</vt:lpstr>
      <vt:lpstr>Eaten D11</vt:lpstr>
      <vt:lpstr>Eaten D12</vt:lpstr>
      <vt:lpstr>Eaten D13</vt:lpstr>
      <vt:lpstr>Eaten D14</vt:lpstr>
      <vt:lpstr>Eaten D15</vt:lpstr>
      <vt:lpstr>Eaten D16</vt:lpstr>
      <vt:lpstr>Eaten D17</vt:lpstr>
      <vt:lpstr>Eaten D18</vt:lpstr>
      <vt:lpstr>Eaten D19</vt:lpstr>
      <vt:lpstr>Eaten D20</vt:lpstr>
      <vt:lpstr>Eaten D21</vt:lpstr>
      <vt:lpstr>Eaten D22</vt:lpstr>
      <vt:lpstr>Prot</vt:lpstr>
      <vt:lpstr>Food_Log</vt:lpstr>
      <vt:lpstr>Food_Log (1)</vt:lpstr>
      <vt:lpstr>BW</vt:lpstr>
      <vt:lpstr>Food_Index!Food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Florent Rouxel</dc:creator>
  <cp:lastModifiedBy>Utilisateur Windows</cp:lastModifiedBy>
  <dcterms:created xsi:type="dcterms:W3CDTF">2018-04-10T10:44:13Z</dcterms:created>
  <dcterms:modified xsi:type="dcterms:W3CDTF">2018-12-15T08:05:58Z</dcterms:modified>
</cp:coreProperties>
</file>